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bc060fc6f0f95225/Documents/"/>
    </mc:Choice>
  </mc:AlternateContent>
  <xr:revisionPtr revIDLastSave="4380" documentId="8_{C4F98EA8-2036-46D9-BEB9-FA7B9AF190B1}" xr6:coauthVersionLast="47" xr6:coauthVersionMax="47" xr10:uidLastSave="{45E47335-2940-4C57-8359-42361A7748ED}"/>
  <bookViews>
    <workbookView xWindow="-108" yWindow="-108" windowWidth="23256" windowHeight="12456" tabRatio="571" xr2:uid="{D1BE87B9-BD35-4CFA-BBFE-D1618C6E66CC}"/>
  </bookViews>
  <sheets>
    <sheet name="Table" sheetId="1" r:id="rId1"/>
    <sheet name="KPIS" sheetId="3" r:id="rId2"/>
    <sheet name="Pivots" sheetId="4" r:id="rId3"/>
    <sheet name="Dashboard" sheetId="5" r:id="rId4"/>
  </sheets>
  <definedNames>
    <definedName name="Slicer_Department">#N/A</definedName>
    <definedName name="Slicer_Employee_Level">#N/A</definedName>
    <definedName name="Slicer_JobLev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5" i="3"/>
  <c r="B8" i="3"/>
  <c r="B10" i="3"/>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S35" authorId="0" shapeId="0" xr:uid="{D164E0C4-B5E7-4E9C-810A-410CE8C2DC13}">
      <text>
        <r>
          <rPr>
            <b/>
            <sz val="9"/>
            <color indexed="81"/>
            <rFont val="Tahoma"/>
            <charset val="1"/>
          </rPr>
          <t>DELL:</t>
        </r>
        <r>
          <rPr>
            <sz val="9"/>
            <color indexed="81"/>
            <rFont val="Tahoma"/>
            <charset val="1"/>
          </rPr>
          <t xml:space="preserve">
</t>
        </r>
      </text>
    </comment>
  </commentList>
</comments>
</file>

<file path=xl/sharedStrings.xml><?xml version="1.0" encoding="utf-8"?>
<sst xmlns="http://schemas.openxmlformats.org/spreadsheetml/2006/main" count="8909" uniqueCount="72">
  <si>
    <t>Attrition</t>
  </si>
  <si>
    <t>Department</t>
  </si>
  <si>
    <t>Employee
Count</t>
  </si>
  <si>
    <t>Gender</t>
  </si>
  <si>
    <t>JobLevel</t>
  </si>
  <si>
    <t>JobRole</t>
  </si>
  <si>
    <t>Job
Satisfaction</t>
  </si>
  <si>
    <t>Monthly 
Income</t>
  </si>
  <si>
    <t>Percent
SalaryHike</t>
  </si>
  <si>
    <t>Performance
Rating</t>
  </si>
  <si>
    <t>Stock
OptionLevel</t>
  </si>
  <si>
    <t>Total
WorkingYears</t>
  </si>
  <si>
    <t>Training
TimesLastYear</t>
  </si>
  <si>
    <t>Work
LifeBalance</t>
  </si>
  <si>
    <t>Years
AtCompany</t>
  </si>
  <si>
    <t>Years
InCurrentRole</t>
  </si>
  <si>
    <t>YearsSince
LastPromotion</t>
  </si>
  <si>
    <t>WLB</t>
  </si>
  <si>
    <t>Employee Level</t>
  </si>
  <si>
    <t>No</t>
  </si>
  <si>
    <t>Sales</t>
  </si>
  <si>
    <t>Female</t>
  </si>
  <si>
    <t>Manager</t>
  </si>
  <si>
    <t>Bad</t>
  </si>
  <si>
    <t>New</t>
  </si>
  <si>
    <t>Research &amp; Development</t>
  </si>
  <si>
    <t>Research Scientist</t>
  </si>
  <si>
    <t>Yes</t>
  </si>
  <si>
    <t>Male</t>
  </si>
  <si>
    <t>Laboratory Technician</t>
  </si>
  <si>
    <t>Sales Representative</t>
  </si>
  <si>
    <t>Healthcare Representative</t>
  </si>
  <si>
    <t>Sales Executive</t>
  </si>
  <si>
    <t>Manufacturing Director</t>
  </si>
  <si>
    <t>Good</t>
  </si>
  <si>
    <t>Research Director</t>
  </si>
  <si>
    <t>Human Resources</t>
  </si>
  <si>
    <t>Senior</t>
  </si>
  <si>
    <t>Mid</t>
  </si>
  <si>
    <t>Career Progression &amp; Stagnation Risk Analysis</t>
  </si>
  <si>
    <t>Promotion Duration</t>
  </si>
  <si>
    <t>Role Stagnency</t>
  </si>
  <si>
    <t>Stagnation Risk</t>
  </si>
  <si>
    <t>Performance Analysis</t>
  </si>
  <si>
    <t>Employee Number</t>
  </si>
  <si>
    <t>Total Employees</t>
  </si>
  <si>
    <t>Attrition Rate</t>
  </si>
  <si>
    <t>Avg Slary Hike</t>
  </si>
  <si>
    <t>Promotion delayed</t>
  </si>
  <si>
    <t>Promotion delayed %</t>
  </si>
  <si>
    <t>Row Labels</t>
  </si>
  <si>
    <t>Grand Total</t>
  </si>
  <si>
    <t>Delayed</t>
  </si>
  <si>
    <t>Normal</t>
  </si>
  <si>
    <t/>
  </si>
  <si>
    <t>Depatment</t>
  </si>
  <si>
    <t>Count of Employee
Count</t>
  </si>
  <si>
    <t>Promotion Status</t>
  </si>
  <si>
    <t>Role Stagnent</t>
  </si>
  <si>
    <t>Roles Stagnation</t>
  </si>
  <si>
    <t>High Performer</t>
  </si>
  <si>
    <t>Low Performer</t>
  </si>
  <si>
    <t>High Risk</t>
  </si>
  <si>
    <t xml:space="preserve">Employee
</t>
  </si>
  <si>
    <t>Count of Employee</t>
  </si>
  <si>
    <t>Average of Percent
SalaryHike</t>
  </si>
  <si>
    <t>Performance Rating</t>
  </si>
  <si>
    <t>Attrition Number</t>
  </si>
  <si>
    <t>1470</t>
  </si>
  <si>
    <t>15.21</t>
  </si>
  <si>
    <t>17.69</t>
  </si>
  <si>
    <t>16.12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</si>
</sst>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20"/>
      <color theme="5" tint="-0.499984740745262"/>
      <name val="Times New Roman"/>
      <family val="1"/>
    </font>
    <font>
      <sz val="14"/>
      <color theme="1"/>
      <name val="Arial"/>
      <family val="2"/>
    </font>
    <font>
      <b/>
      <sz val="16"/>
      <color theme="1"/>
      <name val="Arial"/>
      <family val="2"/>
    </font>
    <font>
      <b/>
      <sz val="18"/>
      <color theme="1" tint="4.9989318521683403E-2"/>
      <name val="Arial"/>
      <family val="2"/>
    </font>
    <font>
      <b/>
      <sz val="14"/>
      <color theme="1" tint="0.34998626667073579"/>
      <name val="Arial"/>
      <family val="2"/>
    </font>
    <font>
      <b/>
      <sz val="26"/>
      <color theme="5" tint="-0.499984740745262"/>
      <name val="Arial"/>
      <family val="2"/>
    </font>
    <font>
      <sz val="9"/>
      <color indexed="81"/>
      <name val="Tahoma"/>
      <charset val="1"/>
    </font>
    <font>
      <b/>
      <sz val="9"/>
      <color indexed="81"/>
      <name val="Tahoma"/>
      <charset val="1"/>
    </font>
  </fonts>
  <fills count="8">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rgb="FFFDF1E3"/>
        <bgColor indexed="64"/>
      </patternFill>
    </fill>
    <fill>
      <patternFill patternType="solid">
        <fgColor theme="4" tint="0.79998168889431442"/>
        <bgColor indexed="64"/>
      </patternFill>
    </fill>
    <fill>
      <patternFill patternType="solid">
        <fgColor theme="0"/>
        <bgColor indexed="64"/>
      </patternFill>
    </fill>
    <fill>
      <patternFill patternType="solid">
        <fgColor rgb="FFFFFDFB"/>
        <bgColor indexed="64"/>
      </patternFill>
    </fill>
  </fills>
  <borders count="2">
    <border>
      <left/>
      <right/>
      <top/>
      <bottom/>
      <diagonal/>
    </border>
    <border>
      <left/>
      <right/>
      <top style="double">
        <color theme="4"/>
      </top>
      <bottom style="thin">
        <color theme="4" tint="0.39997558519241921"/>
      </bottom>
      <diagonal/>
    </border>
  </borders>
  <cellStyleXfs count="1">
    <xf numFmtId="0" fontId="0" fillId="0" borderId="0"/>
  </cellStyleXfs>
  <cellXfs count="18">
    <xf numFmtId="0" fontId="0" fillId="0" borderId="0" xfId="0"/>
    <xf numFmtId="0" fontId="0" fillId="0" borderId="0" xfId="0" applyAlignment="1">
      <alignment wrapText="1"/>
    </xf>
    <xf numFmtId="0" fontId="1" fillId="3" borderId="1" xfId="0" applyFont="1" applyFill="1" applyBorder="1"/>
    <xf numFmtId="0" fontId="0" fillId="3" borderId="0" xfId="0" applyFill="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4" fillId="5" borderId="0" xfId="0" applyFont="1" applyFill="1" applyAlignment="1">
      <alignment horizontal="center" vertical="center"/>
    </xf>
    <xf numFmtId="0" fontId="0" fillId="5" borderId="0" xfId="0" applyFill="1"/>
    <xf numFmtId="0" fontId="3" fillId="5" borderId="0" xfId="0" applyFont="1" applyFill="1" applyAlignment="1">
      <alignment horizontal="center" vertical="center"/>
    </xf>
    <xf numFmtId="0" fontId="0" fillId="5" borderId="0" xfId="0" applyFill="1" applyAlignment="1">
      <alignment vertical="center"/>
    </xf>
    <xf numFmtId="0" fontId="5" fillId="7" borderId="0" xfId="0" applyFont="1" applyFill="1" applyAlignment="1">
      <alignment horizontal="center" vertical="center"/>
    </xf>
    <xf numFmtId="2" fontId="5" fillId="7" borderId="0" xfId="0" applyNumberFormat="1" applyFont="1" applyFill="1" applyAlignment="1">
      <alignment horizontal="center" vertical="center"/>
    </xf>
    <xf numFmtId="0" fontId="6" fillId="7" borderId="0" xfId="0" applyFont="1" applyFill="1" applyAlignment="1">
      <alignment horizontal="center" vertical="center"/>
    </xf>
    <xf numFmtId="0" fontId="7" fillId="6" borderId="0" xfId="0" applyFont="1" applyFill="1" applyAlignment="1">
      <alignment horizontal="center" vertical="center"/>
    </xf>
    <xf numFmtId="0" fontId="2" fillId="2" borderId="0" xfId="0" applyFont="1" applyFill="1" applyAlignment="1">
      <alignment horizontal="center"/>
    </xf>
    <xf numFmtId="0" fontId="0" fillId="4" borderId="0" xfId="0" applyFill="1" applyAlignment="1">
      <alignment horizontal="center"/>
    </xf>
  </cellXfs>
  <cellStyles count="1">
    <cellStyle name="Normal" xfId="0" builtinId="0"/>
  </cellStyles>
  <dxfs count="22">
    <dxf>
      <fill>
        <patternFill>
          <bgColor theme="4" tint="0.79998168889431442"/>
        </patternFill>
      </fill>
    </dxf>
    <dxf>
      <alignment wrapText="1"/>
    </dxf>
    <dxf>
      <alignment wrapText="1"/>
    </dxf>
    <dxf>
      <alignment wrapText="1"/>
    </dxf>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font>
        <b/>
        <i val="0"/>
        <strike val="0"/>
        <condense val="0"/>
        <extend val="0"/>
        <outline val="0"/>
        <shadow val="0"/>
        <u val="none"/>
        <vertAlign val="baseline"/>
        <sz val="14"/>
        <color theme="1" tint="0.34998626667073579"/>
        <name val="Arial"/>
        <family val="2"/>
        <scheme val="none"/>
      </font>
      <numFmt numFmtId="2" formatCode="0.00"/>
      <fill>
        <patternFill patternType="solid">
          <fgColor indexed="64"/>
          <bgColor rgb="FFFFFDFB"/>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Arial"/>
        <family val="2"/>
        <scheme val="none"/>
      </font>
      <numFmt numFmtId="2" formatCode="0.00"/>
      <fill>
        <patternFill patternType="solid">
          <fgColor indexed="64"/>
          <bgColor rgb="FFFFFDFB"/>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Arial"/>
        <family val="2"/>
        <scheme val="none"/>
      </font>
      <numFmt numFmtId="2" formatCode="0.00"/>
      <fill>
        <patternFill patternType="solid">
          <fgColor indexed="64"/>
          <bgColor rgb="FFFFFDFB"/>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Arial"/>
        <family val="2"/>
        <scheme val="none"/>
      </font>
      <fill>
        <patternFill patternType="solid">
          <fgColor indexed="64"/>
          <bgColor rgb="FFFFFDFB"/>
        </patternFill>
      </fill>
      <alignment horizontal="center" vertical="center" textRotation="0" wrapText="0" indent="0" justifyLastLine="0" shrinkToFit="0" readingOrder="0"/>
    </dxf>
    <dxf>
      <font>
        <strike val="0"/>
        <outline val="0"/>
        <shadow val="0"/>
        <u val="none"/>
        <vertAlign val="baseline"/>
        <sz val="14"/>
        <color theme="1" tint="0.34998626667073579"/>
        <name val="Arial"/>
        <family val="2"/>
        <scheme val="none"/>
      </font>
      <fill>
        <patternFill patternType="solid">
          <fgColor indexed="64"/>
          <bgColor rgb="FFFFFDFB"/>
        </patternFill>
      </fill>
    </dxf>
    <dxf>
      <font>
        <strike val="0"/>
        <outline val="0"/>
        <shadow val="0"/>
        <u val="none"/>
        <vertAlign val="baseline"/>
        <sz val="18"/>
        <color theme="1" tint="4.9989318521683403E-2"/>
        <name val="Arial"/>
        <family val="2"/>
        <scheme val="none"/>
      </font>
      <fill>
        <patternFill patternType="solid">
          <fgColor indexed="64"/>
          <bgColor rgb="FFFFFDFB"/>
        </patternFill>
      </fill>
    </dxf>
  </dxfs>
  <tableStyles count="0" defaultTableStyle="TableStyleMedium2" defaultPivotStyle="PivotStyleLight16"/>
  <colors>
    <mruColors>
      <color rgb="FFFDF1E3"/>
      <color rgb="FFFFFDFB"/>
      <color rgb="FFFFF9F3"/>
      <color rgb="FFFFFFFF"/>
      <color rgb="FFFBDBB7"/>
      <color rgb="FFFCE3C8"/>
      <color rgb="FFFDEFD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Promotion Status</a:t>
            </a:r>
          </a:p>
        </c:rich>
      </c:tx>
      <c:layout>
        <c:manualLayout>
          <c:xMode val="edge"/>
          <c:yMode val="edge"/>
          <c:x val="0.34590747330960853"/>
          <c:y val="4.34367814575941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454566421728"/>
          <c:y val="0.1860945145675886"/>
          <c:w val="0.86018732500265238"/>
          <c:h val="0.69049226886840154"/>
        </c:manualLayout>
      </c:layout>
      <c:barChart>
        <c:barDir val="col"/>
        <c:grouping val="clustered"/>
        <c:varyColors val="0"/>
        <c:ser>
          <c:idx val="0"/>
          <c:order val="0"/>
          <c:tx>
            <c:strRef>
              <c:f>Pivots!$B$3:$B$4</c:f>
              <c:strCache>
                <c:ptCount val="1"/>
                <c:pt idx="0">
                  <c:v>Delayed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Pivots!$A$5:$A$8</c:f>
              <c:strCache>
                <c:ptCount val="3"/>
                <c:pt idx="0">
                  <c:v>Human Resources</c:v>
                </c:pt>
                <c:pt idx="1">
                  <c:v>Research &amp; Development</c:v>
                </c:pt>
                <c:pt idx="2">
                  <c:v>Sales</c:v>
                </c:pt>
              </c:strCache>
            </c:strRef>
          </c:cat>
          <c:val>
            <c:numRef>
              <c:f>Pivots!$B$5:$B$8</c:f>
              <c:numCache>
                <c:formatCode>General</c:formatCode>
                <c:ptCount val="3"/>
                <c:pt idx="0">
                  <c:v>8</c:v>
                </c:pt>
                <c:pt idx="1">
                  <c:v>160</c:v>
                </c:pt>
                <c:pt idx="2">
                  <c:v>92</c:v>
                </c:pt>
              </c:numCache>
            </c:numRef>
          </c:val>
          <c:extLst>
            <c:ext xmlns:c16="http://schemas.microsoft.com/office/drawing/2014/chart" uri="{C3380CC4-5D6E-409C-BE32-E72D297353CC}">
              <c16:uniqueId val="{00000000-CFEA-40C6-871A-E27210C4ED7E}"/>
            </c:ext>
          </c:extLst>
        </c:ser>
        <c:ser>
          <c:idx val="1"/>
          <c:order val="1"/>
          <c:tx>
            <c:strRef>
              <c:f>Pivots!$C$3:$C$4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Pivots!$A$5:$A$8</c:f>
              <c:strCache>
                <c:ptCount val="3"/>
                <c:pt idx="0">
                  <c:v>Human Resources</c:v>
                </c:pt>
                <c:pt idx="1">
                  <c:v>Research &amp; Development</c:v>
                </c:pt>
                <c:pt idx="2">
                  <c:v>Sales</c:v>
                </c:pt>
              </c:strCache>
            </c:strRef>
          </c:cat>
          <c:val>
            <c:numRef>
              <c:f>Pivots!$C$5:$C$8</c:f>
              <c:numCache>
                <c:formatCode>General</c:formatCode>
                <c:ptCount val="3"/>
                <c:pt idx="0">
                  <c:v>55</c:v>
                </c:pt>
                <c:pt idx="1">
                  <c:v>801</c:v>
                </c:pt>
                <c:pt idx="2">
                  <c:v>354</c:v>
                </c:pt>
              </c:numCache>
            </c:numRef>
          </c:val>
          <c:extLst>
            <c:ext xmlns:c16="http://schemas.microsoft.com/office/drawing/2014/chart" uri="{C3380CC4-5D6E-409C-BE32-E72D297353CC}">
              <c16:uniqueId val="{00000001-CFEA-40C6-871A-E27210C4ED7E}"/>
            </c:ext>
          </c:extLst>
        </c:ser>
        <c:dLbls>
          <c:showLegendKey val="0"/>
          <c:showVal val="0"/>
          <c:showCatName val="0"/>
          <c:showSerName val="0"/>
          <c:showPercent val="0"/>
          <c:showBubbleSize val="0"/>
        </c:dLbls>
        <c:gapWidth val="100"/>
        <c:overlap val="-24"/>
        <c:axId val="400456368"/>
        <c:axId val="400458288"/>
      </c:barChart>
      <c:catAx>
        <c:axId val="400456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58288"/>
        <c:crosses val="autoZero"/>
        <c:auto val="1"/>
        <c:lblAlgn val="ctr"/>
        <c:lblOffset val="100"/>
        <c:noMultiLvlLbl val="0"/>
      </c:catAx>
      <c:valAx>
        <c:axId val="40045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56368"/>
        <c:crosses val="autoZero"/>
        <c:crossBetween val="between"/>
      </c:valAx>
      <c:spPr>
        <a:noFill/>
        <a:ln>
          <a:noFill/>
        </a:ln>
        <a:effectLst/>
      </c:spPr>
    </c:plotArea>
    <c:legend>
      <c:legendPos val="r"/>
      <c:layout>
        <c:manualLayout>
          <c:xMode val="edge"/>
          <c:yMode val="edge"/>
          <c:x val="0.78351126927639381"/>
          <c:y val="4.783585468901818E-2"/>
          <c:w val="0.20166073546856464"/>
          <c:h val="0.269568753654536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90000">
          <a:schemeClr val="accent1">
            <a:lumMod val="45000"/>
            <a:lumOff val="55000"/>
          </a:schemeClr>
        </a:gs>
        <a:gs pos="80000">
          <a:schemeClr val="accent1">
            <a:lumMod val="45000"/>
            <a:lumOff val="55000"/>
          </a:schemeClr>
        </a:gs>
        <a:gs pos="59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HRA.xlsx]Pivots!PivotTable2</c:name>
    <c:fmtId val="0"/>
  </c:pivotSource>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08308220731668"/>
          <c:y val="9.593503028187958E-2"/>
          <c:w val="0.46694695570461103"/>
          <c:h val="0.79733243178397717"/>
        </c:manualLayout>
      </c:layout>
      <c:bar3DChart>
        <c:barDir val="bar"/>
        <c:grouping val="clustered"/>
        <c:varyColors val="0"/>
        <c:ser>
          <c:idx val="0"/>
          <c:order val="0"/>
          <c:tx>
            <c:strRef>
              <c:f>Pivots!$B$12:$B$13</c:f>
              <c:strCache>
                <c:ptCount val="1"/>
                <c:pt idx="0">
                  <c:v>Normal</c:v>
                </c:pt>
              </c:strCache>
            </c:strRef>
          </c:tx>
          <c:spPr>
            <a:solidFill>
              <a:schemeClr val="accent1"/>
            </a:solidFill>
            <a:ln>
              <a:noFill/>
            </a:ln>
            <a:effectLst/>
            <a:sp3d/>
          </c:spPr>
          <c:invertIfNegative val="0"/>
          <c:cat>
            <c:strRef>
              <c:f>Pivots!$A$14:$A$23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Pivots!$B$14:$B$23</c:f>
              <c:numCache>
                <c:formatCode>General</c:formatCode>
                <c:ptCount val="9"/>
                <c:pt idx="0">
                  <c:v>67</c:v>
                </c:pt>
                <c:pt idx="1">
                  <c:v>40</c:v>
                </c:pt>
                <c:pt idx="2">
                  <c:v>193</c:v>
                </c:pt>
                <c:pt idx="3">
                  <c:v>37</c:v>
                </c:pt>
                <c:pt idx="4">
                  <c:v>73</c:v>
                </c:pt>
                <c:pt idx="5">
                  <c:v>34</c:v>
                </c:pt>
                <c:pt idx="6">
                  <c:v>220</c:v>
                </c:pt>
                <c:pt idx="7">
                  <c:v>174</c:v>
                </c:pt>
                <c:pt idx="8">
                  <c:v>74</c:v>
                </c:pt>
              </c:numCache>
            </c:numRef>
          </c:val>
          <c:extLst>
            <c:ext xmlns:c16="http://schemas.microsoft.com/office/drawing/2014/chart" uri="{C3380CC4-5D6E-409C-BE32-E72D297353CC}">
              <c16:uniqueId val="{00000000-FC5D-4454-AD4E-4CDD25EB6B73}"/>
            </c:ext>
          </c:extLst>
        </c:ser>
        <c:ser>
          <c:idx val="1"/>
          <c:order val="1"/>
          <c:tx>
            <c:strRef>
              <c:f>Pivots!$C$12:$C$13</c:f>
              <c:strCache>
                <c:ptCount val="1"/>
                <c:pt idx="0">
                  <c:v>Role Stagnent</c:v>
                </c:pt>
              </c:strCache>
            </c:strRef>
          </c:tx>
          <c:spPr>
            <a:solidFill>
              <a:schemeClr val="accent2"/>
            </a:solidFill>
            <a:ln>
              <a:noFill/>
            </a:ln>
            <a:effectLst/>
            <a:sp3d/>
          </c:spPr>
          <c:invertIfNegative val="0"/>
          <c:cat>
            <c:strRef>
              <c:f>Pivots!$A$14:$A$23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Pivots!$C$14:$C$23</c:f>
              <c:numCache>
                <c:formatCode>General</c:formatCode>
                <c:ptCount val="9"/>
                <c:pt idx="0">
                  <c:v>64</c:v>
                </c:pt>
                <c:pt idx="1">
                  <c:v>12</c:v>
                </c:pt>
                <c:pt idx="2">
                  <c:v>66</c:v>
                </c:pt>
                <c:pt idx="3">
                  <c:v>65</c:v>
                </c:pt>
                <c:pt idx="4">
                  <c:v>72</c:v>
                </c:pt>
                <c:pt idx="5">
                  <c:v>46</c:v>
                </c:pt>
                <c:pt idx="6">
                  <c:v>72</c:v>
                </c:pt>
                <c:pt idx="7">
                  <c:v>152</c:v>
                </c:pt>
                <c:pt idx="8">
                  <c:v>9</c:v>
                </c:pt>
              </c:numCache>
            </c:numRef>
          </c:val>
          <c:extLst>
            <c:ext xmlns:c16="http://schemas.microsoft.com/office/drawing/2014/chart" uri="{C3380CC4-5D6E-409C-BE32-E72D297353CC}">
              <c16:uniqueId val="{00000001-FC5D-4454-AD4E-4CDD25EB6B73}"/>
            </c:ext>
          </c:extLst>
        </c:ser>
        <c:dLbls>
          <c:showLegendKey val="0"/>
          <c:showVal val="0"/>
          <c:showCatName val="0"/>
          <c:showSerName val="0"/>
          <c:showPercent val="0"/>
          <c:showBubbleSize val="0"/>
        </c:dLbls>
        <c:gapWidth val="219"/>
        <c:shape val="box"/>
        <c:axId val="786317712"/>
        <c:axId val="784946176"/>
        <c:axId val="0"/>
      </c:bar3DChart>
      <c:catAx>
        <c:axId val="78631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46176"/>
        <c:crosses val="autoZero"/>
        <c:auto val="1"/>
        <c:lblAlgn val="ctr"/>
        <c:lblOffset val="100"/>
        <c:noMultiLvlLbl val="0"/>
      </c:catAx>
      <c:valAx>
        <c:axId val="78494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31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00">
          <a:schemeClr val="accent2">
            <a:lumMod val="40000"/>
            <a:lumOff val="60000"/>
          </a:schemeClr>
        </a:gs>
        <a:gs pos="14000">
          <a:schemeClr val="accent3">
            <a:lumMod val="40000"/>
            <a:lumOff val="60000"/>
          </a:schemeClr>
        </a:gs>
        <a:gs pos="90000">
          <a:schemeClr val="accent1">
            <a:lumMod val="45000"/>
            <a:lumOff val="55000"/>
          </a:schemeClr>
        </a:gs>
        <a:gs pos="77000">
          <a:srgbClr val="FBDBB7"/>
        </a:gs>
        <a:gs pos="59000">
          <a:schemeClr val="accent1">
            <a:lumMod val="30000"/>
            <a:lumOff val="70000"/>
          </a:schemeClr>
        </a:gs>
      </a:gsLst>
      <a:lin ang="5400000" scaled="1"/>
    </a:gradFill>
    <a:ln w="9525" cap="flat" cmpd="sng" algn="ctr">
      <a:solidFill>
        <a:schemeClr val="tx1">
          <a:lumMod val="15000"/>
          <a:lumOff val="85000"/>
        </a:schemeClr>
      </a:solidFill>
      <a:round/>
    </a:ln>
    <a:effectLst>
      <a:outerShdw blurRad="114300" dist="50800" dir="5400000" algn="ctr" rotWithShape="0">
        <a:schemeClr val="accent1">
          <a:lumMod val="75000"/>
          <a:alpha val="4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HRA.xlsx]Pivots!PivotTable3</c:name>
    <c:fmtId val="0"/>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19E-2"/>
              <c:y val="-0.117710005350454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44444444444443"/>
              <c:y val="-9.63081861958266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77777777777779"/>
              <c:y val="-8.0256821829855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33"/>
              <c:y val="-6.9555912252541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80927384076988E-2"/>
          <c:y val="0.15316063251566372"/>
          <c:w val="0.77555796150481182"/>
          <c:h val="0.63122278578439639"/>
        </c:manualLayout>
      </c:layout>
      <c:barChart>
        <c:barDir val="col"/>
        <c:grouping val="stacked"/>
        <c:varyColors val="0"/>
        <c:ser>
          <c:idx val="0"/>
          <c:order val="0"/>
          <c:tx>
            <c:strRef>
              <c:f>Pivots!$O$3:$O$4</c:f>
              <c:strCache>
                <c:ptCount val="1"/>
                <c:pt idx="0">
                  <c:v>High Risk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6-5ECC-43A8-8772-A2FD612045FF}"/>
              </c:ext>
            </c:extLst>
          </c:dPt>
          <c:dPt>
            <c:idx val="1"/>
            <c:invertIfNegative val="0"/>
            <c:bubble3D val="0"/>
            <c:extLst>
              <c:ext xmlns:c16="http://schemas.microsoft.com/office/drawing/2014/chart" uri="{C3380CC4-5D6E-409C-BE32-E72D297353CC}">
                <c16:uniqueId val="{00000005-5ECC-43A8-8772-A2FD612045FF}"/>
              </c:ext>
            </c:extLst>
          </c:dPt>
          <c:dLbls>
            <c:dLbl>
              <c:idx val="0"/>
              <c:layout>
                <c:manualLayout>
                  <c:x val="0.13333333333333333"/>
                  <c:y val="-6.955591225254147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CC-43A8-8772-A2FD612045FF}"/>
                </c:ext>
              </c:extLst>
            </c:dLbl>
            <c:dLbl>
              <c:idx val="1"/>
              <c:layout>
                <c:manualLayout>
                  <c:x val="-0.15277777777777779"/>
                  <c:y val="-8.025682182985553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CC-43A8-8772-A2FD612045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Pivots!$N$5:$N$7</c:f>
              <c:strCache>
                <c:ptCount val="2"/>
                <c:pt idx="0">
                  <c:v>High Performer</c:v>
                </c:pt>
                <c:pt idx="1">
                  <c:v>Low Performer</c:v>
                </c:pt>
              </c:strCache>
            </c:strRef>
          </c:cat>
          <c:val>
            <c:numRef>
              <c:f>Pivots!$O$5:$O$7</c:f>
              <c:numCache>
                <c:formatCode>General</c:formatCode>
                <c:ptCount val="2"/>
                <c:pt idx="0">
                  <c:v>94</c:v>
                </c:pt>
                <c:pt idx="1">
                  <c:v>464</c:v>
                </c:pt>
              </c:numCache>
            </c:numRef>
          </c:val>
          <c:extLst>
            <c:ext xmlns:c16="http://schemas.microsoft.com/office/drawing/2014/chart" uri="{C3380CC4-5D6E-409C-BE32-E72D297353CC}">
              <c16:uniqueId val="{00000000-5ECC-43A8-8772-A2FD612045FF}"/>
            </c:ext>
          </c:extLst>
        </c:ser>
        <c:ser>
          <c:idx val="1"/>
          <c:order val="1"/>
          <c:tx>
            <c:strRef>
              <c:f>Pivots!$P$3:$P$4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ECC-43A8-8772-A2FD612045FF}"/>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ECC-43A8-8772-A2FD612045FF}"/>
              </c:ext>
            </c:extLst>
          </c:dPt>
          <c:dLbls>
            <c:dLbl>
              <c:idx val="0"/>
              <c:layout>
                <c:manualLayout>
                  <c:x val="9.1666666666666619E-2"/>
                  <c:y val="-0.117710005350454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CC-43A8-8772-A2FD612045FF}"/>
                </c:ext>
              </c:extLst>
            </c:dLbl>
            <c:dLbl>
              <c:idx val="1"/>
              <c:layout>
                <c:manualLayout>
                  <c:x val="-0.14444444444444443"/>
                  <c:y val="-9.630818619582665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CC-43A8-8772-A2FD612045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Pivots!$N$5:$N$7</c:f>
              <c:strCache>
                <c:ptCount val="2"/>
                <c:pt idx="0">
                  <c:v>High Performer</c:v>
                </c:pt>
                <c:pt idx="1">
                  <c:v>Low Performer</c:v>
                </c:pt>
              </c:strCache>
            </c:strRef>
          </c:cat>
          <c:val>
            <c:numRef>
              <c:f>Pivots!$P$5:$P$7</c:f>
              <c:numCache>
                <c:formatCode>General</c:formatCode>
                <c:ptCount val="2"/>
                <c:pt idx="0">
                  <c:v>132</c:v>
                </c:pt>
                <c:pt idx="1">
                  <c:v>780</c:v>
                </c:pt>
              </c:numCache>
            </c:numRef>
          </c:val>
          <c:extLst>
            <c:ext xmlns:c16="http://schemas.microsoft.com/office/drawing/2014/chart" uri="{C3380CC4-5D6E-409C-BE32-E72D297353CC}">
              <c16:uniqueId val="{00000001-5ECC-43A8-8772-A2FD612045FF}"/>
            </c:ext>
          </c:extLst>
        </c:ser>
        <c:dLbls>
          <c:dLblPos val="ctr"/>
          <c:showLegendKey val="0"/>
          <c:showVal val="1"/>
          <c:showCatName val="0"/>
          <c:showSerName val="0"/>
          <c:showPercent val="0"/>
          <c:showBubbleSize val="0"/>
        </c:dLbls>
        <c:gapWidth val="150"/>
        <c:overlap val="100"/>
        <c:axId val="940280064"/>
        <c:axId val="940278144"/>
      </c:barChart>
      <c:catAx>
        <c:axId val="940280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78144"/>
        <c:crosses val="autoZero"/>
        <c:auto val="1"/>
        <c:lblAlgn val="ctr"/>
        <c:lblOffset val="100"/>
        <c:noMultiLvlLbl val="0"/>
      </c:catAx>
      <c:valAx>
        <c:axId val="94027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80064"/>
        <c:crosses val="autoZero"/>
        <c:crossBetween val="between"/>
      </c:valAx>
      <c:spPr>
        <a:noFill/>
        <a:ln>
          <a:noFill/>
        </a:ln>
        <a:effectLst/>
      </c:spPr>
    </c:plotArea>
    <c:legend>
      <c:legendPos val="r"/>
      <c:layout>
        <c:manualLayout>
          <c:xMode val="edge"/>
          <c:yMode val="edge"/>
          <c:x val="0.82847222222222217"/>
          <c:y val="0.37898184601924756"/>
          <c:w val="0.15486111111111112"/>
          <c:h val="0.232776684164479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90000">
          <a:schemeClr val="accent1">
            <a:lumMod val="45000"/>
            <a:lumOff val="55000"/>
          </a:schemeClr>
        </a:gs>
        <a:gs pos="80000">
          <a:schemeClr val="accent1">
            <a:lumMod val="45000"/>
            <a:lumOff val="55000"/>
          </a:schemeClr>
        </a:gs>
        <a:gs pos="59000">
          <a:schemeClr val="accent1">
            <a:lumMod val="30000"/>
            <a:lumOff val="70000"/>
          </a:schemeClr>
        </a:gs>
      </a:gsLst>
      <a:lin ang="5400000" scaled="1"/>
    </a:gradFill>
    <a:ln w="9525" cap="flat" cmpd="sng" algn="ctr">
      <a:solidFill>
        <a:schemeClr val="tx1">
          <a:lumMod val="15000"/>
          <a:lumOff val="85000"/>
        </a:schemeClr>
      </a:solidFill>
      <a:round/>
    </a:ln>
    <a:effectLst>
      <a:outerShdw blurRad="431800" dist="50800" dir="5400000" sx="96000" sy="96000" algn="ctr" rotWithShape="0">
        <a:schemeClr val="accent1">
          <a:lumMod val="75000"/>
          <a:alpha val="4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0.1683673739944358"/>
              <c:y val="-0.19342107267106015"/>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682134566711849"/>
              <c:y val="-0.14605264671080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0.1362245116864072"/>
              <c:y val="-0.18157896618099523"/>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2857144923211461"/>
              <c:y val="-0.1855263350110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81636121104952"/>
          <c:y val="0.11360341002936283"/>
          <c:w val="0.56147952136903767"/>
          <c:h val="0.74074738300325149"/>
        </c:manualLayout>
      </c:layout>
      <c:barChart>
        <c:barDir val="col"/>
        <c:grouping val="percentStacked"/>
        <c:varyColors val="0"/>
        <c:ser>
          <c:idx val="0"/>
          <c:order val="0"/>
          <c:tx>
            <c:strRef>
              <c:f>Pivots!$O$13:$O$14</c:f>
              <c:strCache>
                <c:ptCount val="1"/>
                <c:pt idx="0">
                  <c:v>Delayed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C-F5AE-43EE-BE3E-DE038788BF9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A-F5AE-43EE-BE3E-DE038788BF99}"/>
              </c:ext>
            </c:extLst>
          </c:dPt>
          <c:dLbls>
            <c:dLbl>
              <c:idx val="0"/>
              <c:layout>
                <c:manualLayout>
                  <c:x val="0.12857144923211461"/>
                  <c:y val="-0.18552633501101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5AE-43EE-BE3E-DE038788BF99}"/>
                </c:ext>
              </c:extLst>
            </c:dLbl>
            <c:dLbl>
              <c:idx val="1"/>
              <c:layout>
                <c:manualLayout>
                  <c:x val="0.1682134566711849"/>
                  <c:y val="-0.146052646710800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5AE-43EE-BE3E-DE038788BF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Pivots!$N$15:$N$17</c:f>
              <c:strCache>
                <c:ptCount val="2"/>
                <c:pt idx="0">
                  <c:v>High Performer</c:v>
                </c:pt>
                <c:pt idx="1">
                  <c:v>Low Performer</c:v>
                </c:pt>
              </c:strCache>
            </c:strRef>
          </c:cat>
          <c:val>
            <c:numRef>
              <c:f>Pivots!$O$15:$O$17</c:f>
              <c:numCache>
                <c:formatCode>0.00%</c:formatCode>
                <c:ptCount val="2"/>
                <c:pt idx="0">
                  <c:v>0.20353982300884957</c:v>
                </c:pt>
                <c:pt idx="1">
                  <c:v>0.17202572347266881</c:v>
                </c:pt>
              </c:numCache>
            </c:numRef>
          </c:val>
          <c:extLst>
            <c:ext xmlns:c16="http://schemas.microsoft.com/office/drawing/2014/chart" uri="{C3380CC4-5D6E-409C-BE32-E72D297353CC}">
              <c16:uniqueId val="{00000002-F5AE-43EE-BE3E-DE038788BF99}"/>
            </c:ext>
          </c:extLst>
        </c:ser>
        <c:ser>
          <c:idx val="1"/>
          <c:order val="1"/>
          <c:tx>
            <c:strRef>
              <c:f>Pivots!$P$13:$P$14</c:f>
              <c:strCache>
                <c:ptCount val="1"/>
                <c:pt idx="0">
                  <c:v>Normal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B-F5AE-43EE-BE3E-DE038788BF9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9-F5AE-43EE-BE3E-DE038788BF99}"/>
              </c:ext>
            </c:extLst>
          </c:dPt>
          <c:dLbls>
            <c:dLbl>
              <c:idx val="0"/>
              <c:layout>
                <c:manualLayout>
                  <c:x val="0.1362245116864072"/>
                  <c:y val="-0.18157896618099523"/>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5AE-43EE-BE3E-DE038788BF99}"/>
                </c:ext>
              </c:extLst>
            </c:dLbl>
            <c:dLbl>
              <c:idx val="1"/>
              <c:layout>
                <c:manualLayout>
                  <c:x val="0.1683673739944358"/>
                  <c:y val="-0.19342107267106015"/>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5AE-43EE-BE3E-DE038788BF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Pivots!$N$15:$N$17</c:f>
              <c:strCache>
                <c:ptCount val="2"/>
                <c:pt idx="0">
                  <c:v>High Performer</c:v>
                </c:pt>
                <c:pt idx="1">
                  <c:v>Low Performer</c:v>
                </c:pt>
              </c:strCache>
            </c:strRef>
          </c:cat>
          <c:val>
            <c:numRef>
              <c:f>Pivots!$P$15:$P$17</c:f>
              <c:numCache>
                <c:formatCode>0.00%</c:formatCode>
                <c:ptCount val="2"/>
                <c:pt idx="0">
                  <c:v>0.79646017699115046</c:v>
                </c:pt>
                <c:pt idx="1">
                  <c:v>0.82797427652733124</c:v>
                </c:pt>
              </c:numCache>
            </c:numRef>
          </c:val>
          <c:extLst>
            <c:ext xmlns:c16="http://schemas.microsoft.com/office/drawing/2014/chart" uri="{C3380CC4-5D6E-409C-BE32-E72D297353CC}">
              <c16:uniqueId val="{00000008-F5AE-43EE-BE3E-DE038788BF99}"/>
            </c:ext>
          </c:extLst>
        </c:ser>
        <c:dLbls>
          <c:dLblPos val="ctr"/>
          <c:showLegendKey val="0"/>
          <c:showVal val="1"/>
          <c:showCatName val="0"/>
          <c:showSerName val="0"/>
          <c:showPercent val="0"/>
          <c:showBubbleSize val="0"/>
        </c:dLbls>
        <c:gapWidth val="150"/>
        <c:overlap val="100"/>
        <c:axId val="804300576"/>
        <c:axId val="787910672"/>
      </c:barChart>
      <c:catAx>
        <c:axId val="80430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10672"/>
        <c:crosses val="autoZero"/>
        <c:auto val="1"/>
        <c:lblAlgn val="ctr"/>
        <c:lblOffset val="100"/>
        <c:noMultiLvlLbl val="0"/>
      </c:catAx>
      <c:valAx>
        <c:axId val="787910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300576"/>
        <c:crosses val="autoZero"/>
        <c:crossBetween val="between"/>
      </c:valAx>
      <c:spPr>
        <a:noFill/>
        <a:ln>
          <a:noFill/>
        </a:ln>
        <a:effectLst/>
      </c:spPr>
    </c:plotArea>
    <c:legend>
      <c:legendPos val="r"/>
      <c:overlay val="0"/>
      <c:spPr>
        <a:gradFill>
          <a:gsLst>
            <a:gs pos="18000">
              <a:srgbClr val="FCE3C8"/>
            </a:gs>
            <a:gs pos="100000">
              <a:schemeClr val="bg1">
                <a:lumMod val="95000"/>
              </a:schemeClr>
            </a:gs>
            <a:gs pos="25000">
              <a:srgbClr val="EBBEAB"/>
            </a:gs>
            <a:gs pos="0">
              <a:schemeClr val="accent2">
                <a:lumMod val="40000"/>
                <a:lumOff val="60000"/>
              </a:schemeClr>
            </a:gs>
            <a:gs pos="3000">
              <a:srgbClr val="FDEFDF"/>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8000">
          <a:schemeClr val="accent2">
            <a:lumMod val="60000"/>
            <a:lumOff val="40000"/>
          </a:schemeClr>
        </a:gs>
        <a:gs pos="80000">
          <a:schemeClr val="accent1">
            <a:lumMod val="45000"/>
            <a:lumOff val="55000"/>
          </a:schemeClr>
        </a:gs>
        <a:gs pos="64000">
          <a:schemeClr val="accent2">
            <a:lumMod val="40000"/>
            <a:lumOff val="60000"/>
          </a:schemeClr>
        </a:gs>
        <a:gs pos="92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Vs Salary Hike</a:t>
            </a:r>
            <a:endParaRPr lang="en-US"/>
          </a:p>
        </c:rich>
      </c:tx>
      <c:layout>
        <c:manualLayout>
          <c:xMode val="edge"/>
          <c:yMode val="edge"/>
          <c:x val="0.33027777777777784"/>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outerShdw blurRad="266700" dist="50800" dir="5400000" sx="52000" sy="52000" algn="ctr" rotWithShape="0">
            <a:schemeClr val="accent1">
              <a:lumMod val="75000"/>
              <a:alpha val="92000"/>
            </a:schemeClr>
          </a:outerShdw>
        </a:effectLst>
        <a:sp3d/>
      </c:spPr>
    </c:sideWall>
    <c:backWall>
      <c:thickness val="0"/>
      <c:spPr>
        <a:noFill/>
        <a:ln>
          <a:noFill/>
        </a:ln>
        <a:effectLst>
          <a:outerShdw blurRad="266700" dist="50800" dir="5400000" sx="52000" sy="52000" algn="ctr" rotWithShape="0">
            <a:schemeClr val="accent1">
              <a:lumMod val="75000"/>
              <a:alpha val="92000"/>
            </a:schemeClr>
          </a:outerShdw>
        </a:effectLst>
        <a:sp3d/>
      </c:spPr>
    </c:backWall>
    <c:plotArea>
      <c:layout>
        <c:manualLayout>
          <c:layoutTarget val="inner"/>
          <c:xMode val="edge"/>
          <c:yMode val="edge"/>
          <c:x val="9.8303149606299212E-2"/>
          <c:y val="0.1290255905511811"/>
          <c:w val="0.80699759405074367"/>
          <c:h val="0.67237350539515894"/>
        </c:manualLayout>
      </c:layout>
      <c:bar3DChart>
        <c:barDir val="col"/>
        <c:grouping val="clustered"/>
        <c:varyColors val="0"/>
        <c:ser>
          <c:idx val="0"/>
          <c:order val="0"/>
          <c:tx>
            <c:strRef>
              <c:f>Pivots!$B$28</c:f>
              <c:strCache>
                <c:ptCount val="1"/>
                <c:pt idx="0">
                  <c:v>Total</c:v>
                </c:pt>
              </c:strCache>
            </c:strRef>
          </c:tx>
          <c:spPr>
            <a:solidFill>
              <a:schemeClr val="accent1"/>
            </a:solidFill>
            <a:ln>
              <a:noFill/>
            </a:ln>
            <a:effectLst/>
            <a:sp3d/>
          </c:spPr>
          <c:invertIfNegative val="0"/>
          <c:cat>
            <c:strRef>
              <c:f>Pivots!$A$29:$A$31</c:f>
              <c:strCache>
                <c:ptCount val="2"/>
                <c:pt idx="0">
                  <c:v>3</c:v>
                </c:pt>
                <c:pt idx="1">
                  <c:v>4</c:v>
                </c:pt>
              </c:strCache>
            </c:strRef>
          </c:cat>
          <c:val>
            <c:numRef>
              <c:f>Pivots!$B$29:$B$31</c:f>
              <c:numCache>
                <c:formatCode>0.00</c:formatCode>
                <c:ptCount val="2"/>
                <c:pt idx="0">
                  <c:v>14.003215434083602</c:v>
                </c:pt>
                <c:pt idx="1">
                  <c:v>21.849557522123895</c:v>
                </c:pt>
              </c:numCache>
            </c:numRef>
          </c:val>
          <c:extLst>
            <c:ext xmlns:c16="http://schemas.microsoft.com/office/drawing/2014/chart" uri="{C3380CC4-5D6E-409C-BE32-E72D297353CC}">
              <c16:uniqueId val="{00000000-5DB4-40C1-B272-B9675C56839D}"/>
            </c:ext>
          </c:extLst>
        </c:ser>
        <c:dLbls>
          <c:showLegendKey val="0"/>
          <c:showVal val="0"/>
          <c:showCatName val="0"/>
          <c:showSerName val="0"/>
          <c:showPercent val="0"/>
          <c:showBubbleSize val="0"/>
        </c:dLbls>
        <c:gapWidth val="219"/>
        <c:shape val="box"/>
        <c:axId val="1034393840"/>
        <c:axId val="1034401040"/>
        <c:axId val="0"/>
      </c:bar3DChart>
      <c:catAx>
        <c:axId val="103439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401040"/>
        <c:crosses val="autoZero"/>
        <c:auto val="1"/>
        <c:lblAlgn val="ctr"/>
        <c:lblOffset val="100"/>
        <c:noMultiLvlLbl val="0"/>
      </c:catAx>
      <c:valAx>
        <c:axId val="1034401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93840"/>
        <c:crosses val="autoZero"/>
        <c:crossBetween val="between"/>
      </c:valAx>
      <c:spPr>
        <a:gradFill>
          <a:gsLst>
            <a:gs pos="37000">
              <a:schemeClr val="accent2">
                <a:lumMod val="40000"/>
                <a:lumOff val="60000"/>
              </a:schemeClr>
            </a:gs>
            <a:gs pos="14000">
              <a:schemeClr val="accent3">
                <a:lumMod val="40000"/>
                <a:lumOff val="60000"/>
              </a:schemeClr>
            </a:gs>
            <a:gs pos="90000">
              <a:schemeClr val="accent1">
                <a:lumMod val="45000"/>
                <a:lumOff val="55000"/>
              </a:schemeClr>
            </a:gs>
            <a:gs pos="77000">
              <a:srgbClr val="FBDBB7"/>
            </a:gs>
            <a:gs pos="59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00">
          <a:schemeClr val="accent2">
            <a:lumMod val="40000"/>
            <a:lumOff val="60000"/>
          </a:schemeClr>
        </a:gs>
        <a:gs pos="14000">
          <a:schemeClr val="accent3">
            <a:lumMod val="40000"/>
            <a:lumOff val="60000"/>
          </a:schemeClr>
        </a:gs>
        <a:gs pos="90000">
          <a:schemeClr val="accent1">
            <a:lumMod val="45000"/>
            <a:lumOff val="55000"/>
          </a:schemeClr>
        </a:gs>
        <a:gs pos="77000">
          <a:srgbClr val="FBDBB7"/>
        </a:gs>
        <a:gs pos="59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HRA.xlsx]Pivots!PivotTable1</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tx1">
                    <a:lumMod val="95000"/>
                    <a:lumOff val="5000"/>
                  </a:schemeClr>
                </a:solidFill>
              </a:rPr>
              <a:t>R&amp;D Shows the Highest Promotion Delays</a:t>
            </a:r>
            <a:endParaRPr lang="en-IN">
              <a:solidFill>
                <a:schemeClr val="tx1">
                  <a:lumMod val="95000"/>
                  <a:lumOff val="5000"/>
                </a:schemeClr>
              </a:solidFill>
            </a:endParaRPr>
          </a:p>
        </c:rich>
      </c:tx>
      <c:layout>
        <c:manualLayout>
          <c:xMode val="edge"/>
          <c:yMode val="edge"/>
          <c:x val="0.1169696525364497"/>
          <c:y val="1.41481577424331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454566421728"/>
          <c:y val="0.1860945145675886"/>
          <c:w val="0.86018732500265238"/>
          <c:h val="0.69049226886840154"/>
        </c:manualLayout>
      </c:layout>
      <c:barChart>
        <c:barDir val="col"/>
        <c:grouping val="clustered"/>
        <c:varyColors val="0"/>
        <c:ser>
          <c:idx val="0"/>
          <c:order val="0"/>
          <c:tx>
            <c:strRef>
              <c:f>Pivots!$B$3:$B$4</c:f>
              <c:strCache>
                <c:ptCount val="1"/>
                <c:pt idx="0">
                  <c:v>Delayed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Pivots!$A$5:$A$8</c:f>
              <c:strCache>
                <c:ptCount val="3"/>
                <c:pt idx="0">
                  <c:v>Human Resources</c:v>
                </c:pt>
                <c:pt idx="1">
                  <c:v>Research &amp; Development</c:v>
                </c:pt>
                <c:pt idx="2">
                  <c:v>Sales</c:v>
                </c:pt>
              </c:strCache>
            </c:strRef>
          </c:cat>
          <c:val>
            <c:numRef>
              <c:f>Pivots!$B$5:$B$8</c:f>
              <c:numCache>
                <c:formatCode>General</c:formatCode>
                <c:ptCount val="3"/>
                <c:pt idx="0">
                  <c:v>8</c:v>
                </c:pt>
                <c:pt idx="1">
                  <c:v>160</c:v>
                </c:pt>
                <c:pt idx="2">
                  <c:v>92</c:v>
                </c:pt>
              </c:numCache>
            </c:numRef>
          </c:val>
          <c:extLst>
            <c:ext xmlns:c16="http://schemas.microsoft.com/office/drawing/2014/chart" uri="{C3380CC4-5D6E-409C-BE32-E72D297353CC}">
              <c16:uniqueId val="{00000000-DFD0-4F51-B20C-0A1F4F4C31FE}"/>
            </c:ext>
          </c:extLst>
        </c:ser>
        <c:ser>
          <c:idx val="1"/>
          <c:order val="1"/>
          <c:tx>
            <c:strRef>
              <c:f>Pivots!$C$3:$C$4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Pivots!$A$5:$A$8</c:f>
              <c:strCache>
                <c:ptCount val="3"/>
                <c:pt idx="0">
                  <c:v>Human Resources</c:v>
                </c:pt>
                <c:pt idx="1">
                  <c:v>Research &amp; Development</c:v>
                </c:pt>
                <c:pt idx="2">
                  <c:v>Sales</c:v>
                </c:pt>
              </c:strCache>
            </c:strRef>
          </c:cat>
          <c:val>
            <c:numRef>
              <c:f>Pivots!$C$5:$C$8</c:f>
              <c:numCache>
                <c:formatCode>General</c:formatCode>
                <c:ptCount val="3"/>
                <c:pt idx="0">
                  <c:v>55</c:v>
                </c:pt>
                <c:pt idx="1">
                  <c:v>801</c:v>
                </c:pt>
                <c:pt idx="2">
                  <c:v>354</c:v>
                </c:pt>
              </c:numCache>
            </c:numRef>
          </c:val>
          <c:extLst>
            <c:ext xmlns:c16="http://schemas.microsoft.com/office/drawing/2014/chart" uri="{C3380CC4-5D6E-409C-BE32-E72D297353CC}">
              <c16:uniqueId val="{00000001-DFD0-4F51-B20C-0A1F4F4C31FE}"/>
            </c:ext>
          </c:extLst>
        </c:ser>
        <c:dLbls>
          <c:showLegendKey val="0"/>
          <c:showVal val="0"/>
          <c:showCatName val="0"/>
          <c:showSerName val="0"/>
          <c:showPercent val="0"/>
          <c:showBubbleSize val="0"/>
        </c:dLbls>
        <c:gapWidth val="100"/>
        <c:overlap val="-24"/>
        <c:axId val="400456368"/>
        <c:axId val="400458288"/>
      </c:barChart>
      <c:catAx>
        <c:axId val="400456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58288"/>
        <c:crosses val="autoZero"/>
        <c:auto val="1"/>
        <c:lblAlgn val="ctr"/>
        <c:lblOffset val="100"/>
        <c:noMultiLvlLbl val="0"/>
      </c:catAx>
      <c:valAx>
        <c:axId val="40045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56368"/>
        <c:crosses val="autoZero"/>
        <c:crossBetween val="between"/>
      </c:valAx>
      <c:spPr>
        <a:noFill/>
        <a:ln>
          <a:noFill/>
        </a:ln>
        <a:effectLst/>
      </c:spPr>
    </c:plotArea>
    <c:legend>
      <c:legendPos val="r"/>
      <c:layout>
        <c:manualLayout>
          <c:xMode val="edge"/>
          <c:yMode val="edge"/>
          <c:x val="0.84852446516811098"/>
          <c:y val="4.3426041666666665E-2"/>
          <c:w val="0.13958757948552519"/>
          <c:h val="0.150506250000000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HRA.xlsx]Pivots!PivotTable3</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450" b="1" i="0" u="none" strike="noStrike" cap="none" normalizeH="0" baseline="0">
                <a:solidFill>
                  <a:schemeClr val="tx1">
                    <a:lumMod val="95000"/>
                    <a:lumOff val="5000"/>
                  </a:schemeClr>
                </a:solidFill>
              </a:rPr>
              <a:t>Several High Performers Fall into High Stagnation Risk</a:t>
            </a:r>
            <a:endParaRPr lang="en-IN" sz="1450" b="1" baseline="0">
              <a:solidFill>
                <a:schemeClr val="tx1">
                  <a:lumMod val="95000"/>
                  <a:lumOff val="5000"/>
                </a:schemeClr>
              </a:solidFill>
            </a:endParaRPr>
          </a:p>
        </c:rich>
      </c:tx>
      <c:layout>
        <c:manualLayout>
          <c:xMode val="edge"/>
          <c:yMode val="edge"/>
          <c:x val="0.14961583236321305"/>
          <c:y val="3.787892942934628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1666666666666619E-2"/>
              <c:y val="-0.1177100053504547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4444444444444443"/>
              <c:y val="-9.6308186195826651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5277777777777779"/>
              <c:y val="-8.025682182985553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3333333333333333"/>
              <c:y val="-6.9555912252541471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3333333333333333"/>
              <c:y val="-6.9555912252541471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5277777777777779"/>
              <c:y val="-8.025682182985553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9.1666666666666619E-2"/>
              <c:y val="-0.1177100053504547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4444444444444443"/>
              <c:y val="-9.6308186195826651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3333333333333333"/>
              <c:y val="-6.9555912252541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15277777777777779"/>
              <c:y val="-8.0256821829855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9.1666666666666619E-2"/>
              <c:y val="-0.117710005350454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0.14444444444444443"/>
              <c:y val="-9.63081861958266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80927384076988E-2"/>
          <c:y val="0.15316063251566372"/>
          <c:w val="0.77555796150481182"/>
          <c:h val="0.63122278578439639"/>
        </c:manualLayout>
      </c:layout>
      <c:barChart>
        <c:barDir val="col"/>
        <c:grouping val="stacked"/>
        <c:varyColors val="0"/>
        <c:ser>
          <c:idx val="0"/>
          <c:order val="0"/>
          <c:tx>
            <c:strRef>
              <c:f>Pivots!$O$3:$O$4</c:f>
              <c:strCache>
                <c:ptCount val="1"/>
                <c:pt idx="0">
                  <c:v>High Risk</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BB9-4686-BC21-C40CAEDCB1A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BB9-4686-BC21-C40CAEDCB1A6}"/>
              </c:ext>
            </c:extLst>
          </c:dPt>
          <c:dLbls>
            <c:dLbl>
              <c:idx val="0"/>
              <c:layout>
                <c:manualLayout>
                  <c:x val="0.13333333333333333"/>
                  <c:y val="-6.955591225254147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B9-4686-BC21-C40CAEDCB1A6}"/>
                </c:ext>
              </c:extLst>
            </c:dLbl>
            <c:dLbl>
              <c:idx val="1"/>
              <c:layout>
                <c:manualLayout>
                  <c:x val="-0.15277777777777779"/>
                  <c:y val="-8.025682182985553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B9-4686-BC21-C40CAEDCB1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Pivots!$N$5:$N$7</c:f>
              <c:strCache>
                <c:ptCount val="2"/>
                <c:pt idx="0">
                  <c:v>High Performer</c:v>
                </c:pt>
                <c:pt idx="1">
                  <c:v>Low Performer</c:v>
                </c:pt>
              </c:strCache>
            </c:strRef>
          </c:cat>
          <c:val>
            <c:numRef>
              <c:f>Pivots!$O$5:$O$7</c:f>
              <c:numCache>
                <c:formatCode>General</c:formatCode>
                <c:ptCount val="2"/>
                <c:pt idx="0">
                  <c:v>94</c:v>
                </c:pt>
                <c:pt idx="1">
                  <c:v>464</c:v>
                </c:pt>
              </c:numCache>
            </c:numRef>
          </c:val>
          <c:extLst>
            <c:ext xmlns:c16="http://schemas.microsoft.com/office/drawing/2014/chart" uri="{C3380CC4-5D6E-409C-BE32-E72D297353CC}">
              <c16:uniqueId val="{00000002-4BB9-4686-BC21-C40CAEDCB1A6}"/>
            </c:ext>
          </c:extLst>
        </c:ser>
        <c:ser>
          <c:idx val="1"/>
          <c:order val="1"/>
          <c:tx>
            <c:strRef>
              <c:f>Pivots!$P$3:$P$4</c:f>
              <c:strCache>
                <c:ptCount val="1"/>
                <c:pt idx="0">
                  <c:v>Normal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4BB9-4686-BC21-C40CAEDCB1A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4BB9-4686-BC21-C40CAEDCB1A6}"/>
              </c:ext>
            </c:extLst>
          </c:dPt>
          <c:dLbls>
            <c:dLbl>
              <c:idx val="0"/>
              <c:layout>
                <c:manualLayout>
                  <c:x val="9.1666666666666619E-2"/>
                  <c:y val="-0.117710005350454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B9-4686-BC21-C40CAEDCB1A6}"/>
                </c:ext>
              </c:extLst>
            </c:dLbl>
            <c:dLbl>
              <c:idx val="1"/>
              <c:layout>
                <c:manualLayout>
                  <c:x val="-0.14444444444444443"/>
                  <c:y val="-9.630818619582665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B9-4686-BC21-C40CAEDCB1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Pivots!$N$5:$N$7</c:f>
              <c:strCache>
                <c:ptCount val="2"/>
                <c:pt idx="0">
                  <c:v>High Performer</c:v>
                </c:pt>
                <c:pt idx="1">
                  <c:v>Low Performer</c:v>
                </c:pt>
              </c:strCache>
            </c:strRef>
          </c:cat>
          <c:val>
            <c:numRef>
              <c:f>Pivots!$P$5:$P$7</c:f>
              <c:numCache>
                <c:formatCode>General</c:formatCode>
                <c:ptCount val="2"/>
                <c:pt idx="0">
                  <c:v>132</c:v>
                </c:pt>
                <c:pt idx="1">
                  <c:v>780</c:v>
                </c:pt>
              </c:numCache>
            </c:numRef>
          </c:val>
          <c:extLst>
            <c:ext xmlns:c16="http://schemas.microsoft.com/office/drawing/2014/chart" uri="{C3380CC4-5D6E-409C-BE32-E72D297353CC}">
              <c16:uniqueId val="{00000006-4BB9-4686-BC21-C40CAEDCB1A6}"/>
            </c:ext>
          </c:extLst>
        </c:ser>
        <c:dLbls>
          <c:dLblPos val="ctr"/>
          <c:showLegendKey val="0"/>
          <c:showVal val="1"/>
          <c:showCatName val="0"/>
          <c:showSerName val="0"/>
          <c:showPercent val="0"/>
          <c:showBubbleSize val="0"/>
        </c:dLbls>
        <c:gapWidth val="150"/>
        <c:overlap val="100"/>
        <c:axId val="940280064"/>
        <c:axId val="940278144"/>
      </c:barChart>
      <c:catAx>
        <c:axId val="94028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40278144"/>
        <c:crosses val="autoZero"/>
        <c:auto val="1"/>
        <c:lblAlgn val="ctr"/>
        <c:lblOffset val="100"/>
        <c:noMultiLvlLbl val="0"/>
      </c:catAx>
      <c:valAx>
        <c:axId val="9402781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80064"/>
        <c:crosses val="autoZero"/>
        <c:crossBetween val="between"/>
      </c:valAx>
      <c:spPr>
        <a:noFill/>
        <a:ln>
          <a:noFill/>
        </a:ln>
        <a:effectLst/>
      </c:spPr>
    </c:plotArea>
    <c:legend>
      <c:legendPos val="r"/>
      <c:layout>
        <c:manualLayout>
          <c:xMode val="edge"/>
          <c:yMode val="edge"/>
          <c:x val="0.82847222222222217"/>
          <c:y val="0.37898184601924756"/>
          <c:w val="0.15486111111111112"/>
          <c:h val="0.232776684164479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HRA.xlsx]Pivots!PivotTable2</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2164982212762"/>
          <c:y val="0.12341813143277761"/>
          <c:w val="0.56588112586166439"/>
          <c:h val="0.76984934938385396"/>
        </c:manualLayout>
      </c:layout>
      <c:barChart>
        <c:barDir val="bar"/>
        <c:grouping val="clustered"/>
        <c:varyColors val="0"/>
        <c:ser>
          <c:idx val="0"/>
          <c:order val="0"/>
          <c:tx>
            <c:strRef>
              <c:f>Pivots!$B$12:$B$13</c:f>
              <c:strCache>
                <c:ptCount val="1"/>
                <c:pt idx="0">
                  <c:v>Normal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Pivots!$A$14:$A$23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Pivots!$B$14:$B$23</c:f>
              <c:numCache>
                <c:formatCode>General</c:formatCode>
                <c:ptCount val="9"/>
                <c:pt idx="0">
                  <c:v>67</c:v>
                </c:pt>
                <c:pt idx="1">
                  <c:v>40</c:v>
                </c:pt>
                <c:pt idx="2">
                  <c:v>193</c:v>
                </c:pt>
                <c:pt idx="3">
                  <c:v>37</c:v>
                </c:pt>
                <c:pt idx="4">
                  <c:v>73</c:v>
                </c:pt>
                <c:pt idx="5">
                  <c:v>34</c:v>
                </c:pt>
                <c:pt idx="6">
                  <c:v>220</c:v>
                </c:pt>
                <c:pt idx="7">
                  <c:v>174</c:v>
                </c:pt>
                <c:pt idx="8">
                  <c:v>74</c:v>
                </c:pt>
              </c:numCache>
            </c:numRef>
          </c:val>
          <c:extLst>
            <c:ext xmlns:c16="http://schemas.microsoft.com/office/drawing/2014/chart" uri="{C3380CC4-5D6E-409C-BE32-E72D297353CC}">
              <c16:uniqueId val="{00000000-F27B-44DB-979A-7214DCF53D2B}"/>
            </c:ext>
          </c:extLst>
        </c:ser>
        <c:ser>
          <c:idx val="1"/>
          <c:order val="1"/>
          <c:tx>
            <c:strRef>
              <c:f>Pivots!$C$12:$C$13</c:f>
              <c:strCache>
                <c:ptCount val="1"/>
                <c:pt idx="0">
                  <c:v>Role Stagnent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Pivots!$A$14:$A$23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Pivots!$C$14:$C$23</c:f>
              <c:numCache>
                <c:formatCode>General</c:formatCode>
                <c:ptCount val="9"/>
                <c:pt idx="0">
                  <c:v>64</c:v>
                </c:pt>
                <c:pt idx="1">
                  <c:v>12</c:v>
                </c:pt>
                <c:pt idx="2">
                  <c:v>66</c:v>
                </c:pt>
                <c:pt idx="3">
                  <c:v>65</c:v>
                </c:pt>
                <c:pt idx="4">
                  <c:v>72</c:v>
                </c:pt>
                <c:pt idx="5">
                  <c:v>46</c:v>
                </c:pt>
                <c:pt idx="6">
                  <c:v>72</c:v>
                </c:pt>
                <c:pt idx="7">
                  <c:v>152</c:v>
                </c:pt>
                <c:pt idx="8">
                  <c:v>9</c:v>
                </c:pt>
              </c:numCache>
            </c:numRef>
          </c:val>
          <c:extLst>
            <c:ext xmlns:c16="http://schemas.microsoft.com/office/drawing/2014/chart" uri="{C3380CC4-5D6E-409C-BE32-E72D297353CC}">
              <c16:uniqueId val="{00000001-F27B-44DB-979A-7214DCF53D2B}"/>
            </c:ext>
          </c:extLst>
        </c:ser>
        <c:dLbls>
          <c:showLegendKey val="0"/>
          <c:showVal val="0"/>
          <c:showCatName val="0"/>
          <c:showSerName val="0"/>
          <c:showPercent val="0"/>
          <c:showBubbleSize val="0"/>
        </c:dLbls>
        <c:gapWidth val="100"/>
        <c:axId val="786317712"/>
        <c:axId val="784946176"/>
      </c:barChart>
      <c:catAx>
        <c:axId val="7863177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4946176"/>
        <c:crosses val="autoZero"/>
        <c:auto val="1"/>
        <c:lblAlgn val="ctr"/>
        <c:lblOffset val="100"/>
        <c:noMultiLvlLbl val="0"/>
      </c:catAx>
      <c:valAx>
        <c:axId val="78494617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1400" b="1" i="0" u="none" strike="noStrike" baseline="0">
                    <a:solidFill>
                      <a:schemeClr val="tx1">
                        <a:lumMod val="95000"/>
                        <a:lumOff val="5000"/>
                      </a:schemeClr>
                    </a:solidFill>
                  </a:rPr>
                  <a:t>Several Roles — Especially Research Directors — Show High Career Stagnation</a:t>
                </a:r>
                <a:endParaRPr lang="en-IN" sz="1400" b="1">
                  <a:solidFill>
                    <a:schemeClr val="tx1">
                      <a:lumMod val="95000"/>
                      <a:lumOff val="5000"/>
                    </a:schemeClr>
                  </a:solidFill>
                </a:endParaRPr>
              </a:p>
            </c:rich>
          </c:tx>
          <c:layout>
            <c:manualLayout>
              <c:xMode val="edge"/>
              <c:yMode val="edge"/>
              <c:x val="0.20458736680498532"/>
              <c:y val="2.244193670949079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6317712"/>
        <c:crosses val="autoZero"/>
        <c:crossBetween val="between"/>
      </c:valAx>
      <c:spPr>
        <a:noFill/>
        <a:ln>
          <a:noFill/>
        </a:ln>
        <a:effectLst/>
      </c:spPr>
    </c:plotArea>
    <c:legend>
      <c:legendPos val="r"/>
      <c:layout>
        <c:manualLayout>
          <c:xMode val="edge"/>
          <c:yMode val="edge"/>
          <c:x val="0.87441240359718642"/>
          <c:y val="2.7776893272736324E-2"/>
          <c:w val="0.116097222659929"/>
          <c:h val="0.18520628432672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baseline="0">
                <a:solidFill>
                  <a:schemeClr val="tx1">
                    <a:lumMod val="95000"/>
                    <a:lumOff val="5000"/>
                  </a:schemeClr>
                </a:solidFill>
              </a:rPr>
              <a:t>High Performers Experience Similar Promotion Delays as Low Performers</a:t>
            </a:r>
            <a:endParaRPr lang="en-IN" sz="1100" baseline="0">
              <a:solidFill>
                <a:schemeClr val="tx1">
                  <a:lumMod val="95000"/>
                  <a:lumOff val="5000"/>
                </a:schemeClr>
              </a:solidFill>
            </a:endParaRPr>
          </a:p>
        </c:rich>
      </c:tx>
      <c:layout>
        <c:manualLayout>
          <c:xMode val="edge"/>
          <c:yMode val="edge"/>
          <c:x val="0.23572993255998809"/>
          <c:y val="3.367289671944354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683673739944358"/>
              <c:y val="-0.1934210726710601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682134566711849"/>
              <c:y val="-0.14605264671080054"/>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362245116864072"/>
              <c:y val="-0.1815789661809952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2857144923211461"/>
              <c:y val="-0.185526335011016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12857144923211461"/>
              <c:y val="-0.185526335011016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682134566711849"/>
              <c:y val="-0.14605264671080054"/>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1362245116864072"/>
              <c:y val="-0.1815789661809952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683673739944358"/>
              <c:y val="-0.1934210726710601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857144923211461"/>
              <c:y val="-0.1855263350110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1682134566711849"/>
              <c:y val="-0.14605264671080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0.1362245116864072"/>
              <c:y val="-0.18157896618099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0.1683673739944358"/>
              <c:y val="-0.193421072671060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81638276864226"/>
          <c:y val="0.13952143671026002"/>
          <c:w val="0.56147952136903767"/>
          <c:h val="0.74074738300325149"/>
        </c:manualLayout>
      </c:layout>
      <c:barChart>
        <c:barDir val="col"/>
        <c:grouping val="percentStacked"/>
        <c:varyColors val="0"/>
        <c:ser>
          <c:idx val="0"/>
          <c:order val="0"/>
          <c:tx>
            <c:strRef>
              <c:f>Pivots!$O$13:$O$14</c:f>
              <c:strCache>
                <c:ptCount val="1"/>
                <c:pt idx="0">
                  <c:v>Delayed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D76D-4ED1-B19C-5AC72B881CB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D76D-4ED1-B19C-5AC72B881CB4}"/>
              </c:ext>
            </c:extLst>
          </c:dPt>
          <c:dLbls>
            <c:dLbl>
              <c:idx val="0"/>
              <c:layout>
                <c:manualLayout>
                  <c:x val="0.12857144923211461"/>
                  <c:y val="-0.18552633501101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76D-4ED1-B19C-5AC72B881CB4}"/>
                </c:ext>
              </c:extLst>
            </c:dLbl>
            <c:dLbl>
              <c:idx val="1"/>
              <c:layout>
                <c:manualLayout>
                  <c:x val="0.1682134566711849"/>
                  <c:y val="-0.146052646710800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6D-4ED1-B19C-5AC72B881C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Pivots!$N$15:$N$17</c:f>
              <c:strCache>
                <c:ptCount val="2"/>
                <c:pt idx="0">
                  <c:v>High Performer</c:v>
                </c:pt>
                <c:pt idx="1">
                  <c:v>Low Performer</c:v>
                </c:pt>
              </c:strCache>
            </c:strRef>
          </c:cat>
          <c:val>
            <c:numRef>
              <c:f>Pivots!$O$15:$O$17</c:f>
              <c:numCache>
                <c:formatCode>0.00%</c:formatCode>
                <c:ptCount val="2"/>
                <c:pt idx="0">
                  <c:v>0.20353982300884957</c:v>
                </c:pt>
                <c:pt idx="1">
                  <c:v>0.17202572347266881</c:v>
                </c:pt>
              </c:numCache>
            </c:numRef>
          </c:val>
          <c:extLst>
            <c:ext xmlns:c16="http://schemas.microsoft.com/office/drawing/2014/chart" uri="{C3380CC4-5D6E-409C-BE32-E72D297353CC}">
              <c16:uniqueId val="{00000002-D76D-4ED1-B19C-5AC72B881CB4}"/>
            </c:ext>
          </c:extLst>
        </c:ser>
        <c:ser>
          <c:idx val="1"/>
          <c:order val="1"/>
          <c:tx>
            <c:strRef>
              <c:f>Pivots!$P$13:$P$14</c:f>
              <c:strCache>
                <c:ptCount val="1"/>
                <c:pt idx="0">
                  <c:v>Normal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D76D-4ED1-B19C-5AC72B881CB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6-D76D-4ED1-B19C-5AC72B881CB4}"/>
              </c:ext>
            </c:extLst>
          </c:dPt>
          <c:dLbls>
            <c:dLbl>
              <c:idx val="0"/>
              <c:layout>
                <c:manualLayout>
                  <c:x val="0.1362245116864072"/>
                  <c:y val="-0.181578966180995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6D-4ED1-B19C-5AC72B881CB4}"/>
                </c:ext>
              </c:extLst>
            </c:dLbl>
            <c:dLbl>
              <c:idx val="1"/>
              <c:layout>
                <c:manualLayout>
                  <c:x val="0.1683673739944358"/>
                  <c:y val="-0.193421072671060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6D-4ED1-B19C-5AC72B881C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Pivots!$N$15:$N$17</c:f>
              <c:strCache>
                <c:ptCount val="2"/>
                <c:pt idx="0">
                  <c:v>High Performer</c:v>
                </c:pt>
                <c:pt idx="1">
                  <c:v>Low Performer</c:v>
                </c:pt>
              </c:strCache>
            </c:strRef>
          </c:cat>
          <c:val>
            <c:numRef>
              <c:f>Pivots!$P$15:$P$17</c:f>
              <c:numCache>
                <c:formatCode>0.00%</c:formatCode>
                <c:ptCount val="2"/>
                <c:pt idx="0">
                  <c:v>0.79646017699115046</c:v>
                </c:pt>
                <c:pt idx="1">
                  <c:v>0.82797427652733124</c:v>
                </c:pt>
              </c:numCache>
            </c:numRef>
          </c:val>
          <c:extLst>
            <c:ext xmlns:c16="http://schemas.microsoft.com/office/drawing/2014/chart" uri="{C3380CC4-5D6E-409C-BE32-E72D297353CC}">
              <c16:uniqueId val="{00000007-D76D-4ED1-B19C-5AC72B881CB4}"/>
            </c:ext>
          </c:extLst>
        </c:ser>
        <c:dLbls>
          <c:dLblPos val="ctr"/>
          <c:showLegendKey val="0"/>
          <c:showVal val="1"/>
          <c:showCatName val="0"/>
          <c:showSerName val="0"/>
          <c:showPercent val="0"/>
          <c:showBubbleSize val="0"/>
        </c:dLbls>
        <c:gapWidth val="150"/>
        <c:overlap val="100"/>
        <c:axId val="804300576"/>
        <c:axId val="787910672"/>
      </c:barChart>
      <c:catAx>
        <c:axId val="80430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10672"/>
        <c:crosses val="autoZero"/>
        <c:auto val="1"/>
        <c:lblAlgn val="ctr"/>
        <c:lblOffset val="100"/>
        <c:noMultiLvlLbl val="0"/>
      </c:catAx>
      <c:valAx>
        <c:axId val="787910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300576"/>
        <c:crosses val="autoZero"/>
        <c:crossBetween val="between"/>
      </c:valAx>
      <c:spPr>
        <a:noFill/>
        <a:ln>
          <a:noFill/>
        </a:ln>
        <a:effectLst/>
      </c:spPr>
    </c:plotArea>
    <c:legend>
      <c:legendPos val="r"/>
      <c:layout>
        <c:manualLayout>
          <c:xMode val="edge"/>
          <c:yMode val="edge"/>
          <c:x val="0.76615384615384619"/>
          <c:y val="0.39124772972359384"/>
          <c:w val="0.2153846153846154"/>
          <c:h val="0.217504185822123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[Ishita HRA.xlsx]Pivots!PivotTable6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Salary Hikes Increase with Higher Performance Ratings</a:t>
            </a:r>
            <a:endParaRPr lang="en-US" b="1">
              <a:solidFill>
                <a:schemeClr val="tx1">
                  <a:lumMod val="95000"/>
                  <a:lumOff val="5000"/>
                </a:schemeClr>
              </a:solidFill>
            </a:endParaRPr>
          </a:p>
        </c:rich>
      </c:tx>
      <c:layout>
        <c:manualLayout>
          <c:xMode val="edge"/>
          <c:yMode val="edge"/>
          <c:x val="0.23012217716963401"/>
          <c:y val="2.6757163788688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303149606299212E-2"/>
          <c:y val="0.1290255905511811"/>
          <c:w val="0.80699759405074367"/>
          <c:h val="0.67237350539515894"/>
        </c:manualLayout>
      </c:layout>
      <c:bar3DChart>
        <c:barDir val="col"/>
        <c:grouping val="clustered"/>
        <c:varyColors val="0"/>
        <c:ser>
          <c:idx val="0"/>
          <c:order val="0"/>
          <c:tx>
            <c:strRef>
              <c:f>Pivots!$B$28</c:f>
              <c:strCache>
                <c:ptCount val="1"/>
                <c:pt idx="0">
                  <c:v>Total</c:v>
                </c:pt>
              </c:strCache>
            </c:strRef>
          </c:tx>
          <c:spPr>
            <a:solidFill>
              <a:schemeClr val="accent1"/>
            </a:solidFill>
            <a:ln>
              <a:noFill/>
            </a:ln>
            <a:effectLst/>
            <a:sp3d/>
          </c:spPr>
          <c:invertIfNegative val="0"/>
          <c:cat>
            <c:strRef>
              <c:f>Pivots!$A$29:$A$31</c:f>
              <c:strCache>
                <c:ptCount val="2"/>
                <c:pt idx="0">
                  <c:v>3</c:v>
                </c:pt>
                <c:pt idx="1">
                  <c:v>4</c:v>
                </c:pt>
              </c:strCache>
            </c:strRef>
          </c:cat>
          <c:val>
            <c:numRef>
              <c:f>Pivots!$B$29:$B$31</c:f>
              <c:numCache>
                <c:formatCode>0.00</c:formatCode>
                <c:ptCount val="2"/>
                <c:pt idx="0">
                  <c:v>14.003215434083602</c:v>
                </c:pt>
                <c:pt idx="1">
                  <c:v>21.849557522123895</c:v>
                </c:pt>
              </c:numCache>
            </c:numRef>
          </c:val>
          <c:extLst>
            <c:ext xmlns:c16="http://schemas.microsoft.com/office/drawing/2014/chart" uri="{C3380CC4-5D6E-409C-BE32-E72D297353CC}">
              <c16:uniqueId val="{00000000-BC61-4B40-A7B3-60C1DB0C5CAF}"/>
            </c:ext>
          </c:extLst>
        </c:ser>
        <c:dLbls>
          <c:showLegendKey val="0"/>
          <c:showVal val="0"/>
          <c:showCatName val="0"/>
          <c:showSerName val="0"/>
          <c:showPercent val="0"/>
          <c:showBubbleSize val="0"/>
        </c:dLbls>
        <c:gapWidth val="150"/>
        <c:shape val="box"/>
        <c:axId val="1034393840"/>
        <c:axId val="1034401040"/>
        <c:axId val="0"/>
      </c:bar3DChart>
      <c:catAx>
        <c:axId val="103439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401040"/>
        <c:crosses val="autoZero"/>
        <c:auto val="1"/>
        <c:lblAlgn val="ctr"/>
        <c:lblOffset val="100"/>
        <c:noMultiLvlLbl val="0"/>
      </c:catAx>
      <c:valAx>
        <c:axId val="1034401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9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171450</xdr:rowOff>
    </xdr:from>
    <xdr:to>
      <xdr:col>12</xdr:col>
      <xdr:colOff>736600</xdr:colOff>
      <xdr:row>11</xdr:row>
      <xdr:rowOff>0</xdr:rowOff>
    </xdr:to>
    <xdr:graphicFrame macro="">
      <xdr:nvGraphicFramePr>
        <xdr:cNvPr id="2" name="Chart 1">
          <a:extLst>
            <a:ext uri="{FF2B5EF4-FFF2-40B4-BE49-F238E27FC236}">
              <a16:creationId xmlns:a16="http://schemas.microsoft.com/office/drawing/2014/main" id="{B0923D29-91EC-AF97-166A-30EE39798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11</xdr:row>
      <xdr:rowOff>50800</xdr:rowOff>
    </xdr:from>
    <xdr:to>
      <xdr:col>12</xdr:col>
      <xdr:colOff>736600</xdr:colOff>
      <xdr:row>26</xdr:row>
      <xdr:rowOff>58420</xdr:rowOff>
    </xdr:to>
    <xdr:graphicFrame macro="">
      <xdr:nvGraphicFramePr>
        <xdr:cNvPr id="3" name="Chart 2">
          <a:extLst>
            <a:ext uri="{FF2B5EF4-FFF2-40B4-BE49-F238E27FC236}">
              <a16:creationId xmlns:a16="http://schemas.microsoft.com/office/drawing/2014/main" id="{503D5DF8-E564-A5E9-E290-554F8B31E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321732</xdr:colOff>
      <xdr:row>1</xdr:row>
      <xdr:rowOff>118110</xdr:rowOff>
    </xdr:from>
    <xdr:to>
      <xdr:col>22</xdr:col>
      <xdr:colOff>850900</xdr:colOff>
      <xdr:row>11</xdr:row>
      <xdr:rowOff>148166</xdr:rowOff>
    </xdr:to>
    <xdr:graphicFrame macro="">
      <xdr:nvGraphicFramePr>
        <xdr:cNvPr id="4" name="Chart 3">
          <a:extLst>
            <a:ext uri="{FF2B5EF4-FFF2-40B4-BE49-F238E27FC236}">
              <a16:creationId xmlns:a16="http://schemas.microsoft.com/office/drawing/2014/main" id="{93FF1CA7-0235-77CB-AFC1-82911CA04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296336</xdr:colOff>
      <xdr:row>12</xdr:row>
      <xdr:rowOff>55034</xdr:rowOff>
    </xdr:from>
    <xdr:to>
      <xdr:col>22</xdr:col>
      <xdr:colOff>806451</xdr:colOff>
      <xdr:row>27</xdr:row>
      <xdr:rowOff>4234</xdr:rowOff>
    </xdr:to>
    <xdr:graphicFrame macro="">
      <xdr:nvGraphicFramePr>
        <xdr:cNvPr id="6" name="Chart 5">
          <a:extLst>
            <a:ext uri="{FF2B5EF4-FFF2-40B4-BE49-F238E27FC236}">
              <a16:creationId xmlns:a16="http://schemas.microsoft.com/office/drawing/2014/main" id="{04666053-285B-B4E8-56A5-6AE08E4F3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27</xdr:row>
      <xdr:rowOff>7938</xdr:rowOff>
    </xdr:from>
    <xdr:to>
      <xdr:col>10</xdr:col>
      <xdr:colOff>161925</xdr:colOff>
      <xdr:row>42</xdr:row>
      <xdr:rowOff>36513</xdr:rowOff>
    </xdr:to>
    <xdr:graphicFrame macro="">
      <xdr:nvGraphicFramePr>
        <xdr:cNvPr id="7" name="Chart 6">
          <a:extLst>
            <a:ext uri="{FF2B5EF4-FFF2-40B4-BE49-F238E27FC236}">
              <a16:creationId xmlns:a16="http://schemas.microsoft.com/office/drawing/2014/main" id="{4A2B3D36-0B16-4D84-69A7-24F1E96DA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82187</xdr:rowOff>
    </xdr:from>
    <xdr:to>
      <xdr:col>2</xdr:col>
      <xdr:colOff>923925</xdr:colOff>
      <xdr:row>17</xdr:row>
      <xdr:rowOff>160042</xdr:rowOff>
    </xdr:to>
    <xdr:graphicFrame macro="">
      <xdr:nvGraphicFramePr>
        <xdr:cNvPr id="2" name="Chart 1">
          <a:extLst>
            <a:ext uri="{FF2B5EF4-FFF2-40B4-BE49-F238E27FC236}">
              <a16:creationId xmlns:a16="http://schemas.microsoft.com/office/drawing/2014/main" id="{CA84E111-DA4C-42D4-A885-14D461CDCA3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1212850</xdr:colOff>
      <xdr:row>19</xdr:row>
      <xdr:rowOff>44086</xdr:rowOff>
    </xdr:from>
    <xdr:to>
      <xdr:col>6</xdr:col>
      <xdr:colOff>152400</xdr:colOff>
      <xdr:row>34</xdr:row>
      <xdr:rowOff>142875</xdr:rowOff>
    </xdr:to>
    <xdr:graphicFrame macro="">
      <xdr:nvGraphicFramePr>
        <xdr:cNvPr id="3" name="Chart 2">
          <a:extLst>
            <a:ext uri="{FF2B5EF4-FFF2-40B4-BE49-F238E27FC236}">
              <a16:creationId xmlns:a16="http://schemas.microsoft.com/office/drawing/2014/main" id="{016B6E9C-99E8-43F1-842E-216EAC48E88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289560</xdr:colOff>
      <xdr:row>36</xdr:row>
      <xdr:rowOff>96882</xdr:rowOff>
    </xdr:from>
    <xdr:to>
      <xdr:col>4</xdr:col>
      <xdr:colOff>270510</xdr:colOff>
      <xdr:row>54</xdr:row>
      <xdr:rowOff>141817</xdr:rowOff>
    </xdr:to>
    <xdr:graphicFrame macro="">
      <xdr:nvGraphicFramePr>
        <xdr:cNvPr id="4" name="Chart 3">
          <a:extLst>
            <a:ext uri="{FF2B5EF4-FFF2-40B4-BE49-F238E27FC236}">
              <a16:creationId xmlns:a16="http://schemas.microsoft.com/office/drawing/2014/main" id="{ED30194D-433E-48D4-972E-30AE79522B0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47626</xdr:rowOff>
    </xdr:from>
    <xdr:to>
      <xdr:col>2</xdr:col>
      <xdr:colOff>904875</xdr:colOff>
      <xdr:row>34</xdr:row>
      <xdr:rowOff>142876</xdr:rowOff>
    </xdr:to>
    <xdr:graphicFrame macro="">
      <xdr:nvGraphicFramePr>
        <xdr:cNvPr id="5" name="Chart 4">
          <a:extLst>
            <a:ext uri="{FF2B5EF4-FFF2-40B4-BE49-F238E27FC236}">
              <a16:creationId xmlns:a16="http://schemas.microsoft.com/office/drawing/2014/main" id="{7A629D61-85AF-45DE-AC25-DE6F1DA88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1230457</xdr:colOff>
      <xdr:row>6</xdr:row>
      <xdr:rowOff>85725</xdr:rowOff>
    </xdr:from>
    <xdr:to>
      <xdr:col>6</xdr:col>
      <xdr:colOff>171450</xdr:colOff>
      <xdr:row>17</xdr:row>
      <xdr:rowOff>152401</xdr:rowOff>
    </xdr:to>
    <xdr:graphicFrame macro="">
      <xdr:nvGraphicFramePr>
        <xdr:cNvPr id="6" name="Chart 5">
          <a:extLst>
            <a:ext uri="{FF2B5EF4-FFF2-40B4-BE49-F238E27FC236}">
              <a16:creationId xmlns:a16="http://schemas.microsoft.com/office/drawing/2014/main" id="{B664809B-6FDF-41AE-B209-833B3BF707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416676</xdr:colOff>
      <xdr:row>36</xdr:row>
      <xdr:rowOff>32098</xdr:rowOff>
    </xdr:from>
    <xdr:to>
      <xdr:col>11</xdr:col>
      <xdr:colOff>24246</xdr:colOff>
      <xdr:row>54</xdr:row>
      <xdr:rowOff>134968</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3E494F08-B6C9-58DD-0E81-03AB0E3FFB2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76247" y="8522955"/>
              <a:ext cx="2691856" cy="3368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397164</xdr:colOff>
      <xdr:row>4</xdr:row>
      <xdr:rowOff>97328</xdr:rowOff>
    </xdr:from>
    <xdr:to>
      <xdr:col>10</xdr:col>
      <xdr:colOff>591473</xdr:colOff>
      <xdr:row>15</xdr:row>
      <xdr:rowOff>162098</xdr:rowOff>
    </xdr:to>
    <mc:AlternateContent xmlns:mc="http://schemas.openxmlformats.org/markup-compatibility/2006" xmlns:a14="http://schemas.microsoft.com/office/drawing/2010/main">
      <mc:Choice Requires="a14">
        <xdr:graphicFrame macro="">
          <xdr:nvGraphicFramePr>
            <xdr:cNvPr id="8" name="JobLevel">
              <a:extLst>
                <a:ext uri="{FF2B5EF4-FFF2-40B4-BE49-F238E27FC236}">
                  <a16:creationId xmlns:a16="http://schemas.microsoft.com/office/drawing/2014/main" id="{204A03A7-7913-F699-122E-42E4F89E6258}"/>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10756735" y="1258471"/>
              <a:ext cx="2661738" cy="3403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407325</xdr:colOff>
      <xdr:row>17</xdr:row>
      <xdr:rowOff>10045</xdr:rowOff>
    </xdr:from>
    <xdr:to>
      <xdr:col>11</xdr:col>
      <xdr:colOff>7275</xdr:colOff>
      <xdr:row>34</xdr:row>
      <xdr:rowOff>172605</xdr:rowOff>
    </xdr:to>
    <mc:AlternateContent xmlns:mc="http://schemas.openxmlformats.org/markup-compatibility/2006" xmlns:a14="http://schemas.microsoft.com/office/drawing/2010/main">
      <mc:Choice Requires="a14">
        <xdr:graphicFrame macro="">
          <xdr:nvGraphicFramePr>
            <xdr:cNvPr id="9" name="Employee Level">
              <a:extLst>
                <a:ext uri="{FF2B5EF4-FFF2-40B4-BE49-F238E27FC236}">
                  <a16:creationId xmlns:a16="http://schemas.microsoft.com/office/drawing/2014/main" id="{7EB256EB-7923-D8FD-0C35-5242A020B44F}"/>
                </a:ext>
              </a:extLst>
            </xdr:cNvPr>
            <xdr:cNvGraphicFramePr/>
          </xdr:nvGraphicFramePr>
          <xdr:xfrm>
            <a:off x="0" y="0"/>
            <a:ext cx="0" cy="0"/>
          </xdr:xfrm>
          <a:graphic>
            <a:graphicData uri="http://schemas.microsoft.com/office/drawing/2010/slicer">
              <sle:slicer xmlns:sle="http://schemas.microsoft.com/office/drawing/2010/slicer" name="Employee Level"/>
            </a:graphicData>
          </a:graphic>
        </xdr:graphicFrame>
      </mc:Choice>
      <mc:Fallback xmlns="">
        <xdr:sp macro="" textlink="">
          <xdr:nvSpPr>
            <xdr:cNvPr id="0" name=""/>
            <xdr:cNvSpPr>
              <a:spLocks noTextEdit="1"/>
            </xdr:cNvSpPr>
          </xdr:nvSpPr>
          <xdr:spPr>
            <a:xfrm>
              <a:off x="10766896" y="4872331"/>
              <a:ext cx="2684236" cy="3428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252430</xdr:colOff>
      <xdr:row>4</xdr:row>
      <xdr:rowOff>88606</xdr:rowOff>
    </xdr:from>
    <xdr:ext cx="7991602" cy="2288108"/>
    <xdr:sp macro="" textlink="">
      <xdr:nvSpPr>
        <xdr:cNvPr id="10" name="TextBox 9">
          <a:extLst>
            <a:ext uri="{FF2B5EF4-FFF2-40B4-BE49-F238E27FC236}">
              <a16:creationId xmlns:a16="http://schemas.microsoft.com/office/drawing/2014/main" id="{25A7A955-6E8E-150F-12D1-F82E935BD970}"/>
            </a:ext>
          </a:extLst>
        </xdr:cNvPr>
        <xdr:cNvSpPr txBox="1"/>
      </xdr:nvSpPr>
      <xdr:spPr>
        <a:xfrm>
          <a:off x="13696287" y="1249749"/>
          <a:ext cx="7991602" cy="2288108"/>
        </a:xfrm>
        <a:prstGeom prst="rect">
          <a:avLst/>
        </a:prstGeom>
        <a:solidFill>
          <a:srgbClr val="FFFFFF">
            <a:alpha val="59000"/>
          </a:srgb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2400" b="1" u="sng">
              <a:latin typeface="Arial" panose="020B0604020202020204" pitchFamily="34" charset="0"/>
              <a:cs typeface="Arial" panose="020B0604020202020204" pitchFamily="34" charset="0"/>
            </a:rPr>
            <a:t>Objective:</a:t>
          </a:r>
          <a:endParaRPr lang="en-IN" sz="2400" b="1">
            <a:latin typeface="Arial" panose="020B0604020202020204" pitchFamily="34" charset="0"/>
            <a:cs typeface="Arial" panose="020B0604020202020204" pitchFamily="34" charset="0"/>
          </a:endParaRPr>
        </a:p>
        <a:p>
          <a:pPr algn="l"/>
          <a:br>
            <a:rPr lang="en-IN" sz="2000" b="1">
              <a:latin typeface="Arial" panose="020B0604020202020204" pitchFamily="34" charset="0"/>
              <a:cs typeface="Arial" panose="020B0604020202020204" pitchFamily="34" charset="0"/>
            </a:rPr>
          </a:br>
          <a:r>
            <a:rPr lang="en-IN" sz="2000" b="1" i="1">
              <a:latin typeface="Arial" panose="020B0604020202020204" pitchFamily="34" charset="0"/>
              <a:cs typeface="Arial" panose="020B0604020202020204" pitchFamily="34" charset="0"/>
            </a:rPr>
            <a:t>Analyze promotion delays and identify employee stagnation risks across</a:t>
          </a:r>
          <a:r>
            <a:rPr lang="en-IN" sz="2000" b="1" i="1" baseline="0">
              <a:latin typeface="Arial" panose="020B0604020202020204" pitchFamily="34" charset="0"/>
              <a:cs typeface="Arial" panose="020B0604020202020204" pitchFamily="34" charset="0"/>
            </a:rPr>
            <a:t> </a:t>
          </a:r>
          <a:r>
            <a:rPr lang="en-IN" sz="2000" b="1" i="1">
              <a:latin typeface="Arial" panose="020B0604020202020204" pitchFamily="34" charset="0"/>
              <a:cs typeface="Arial" panose="020B0604020202020204" pitchFamily="34" charset="0"/>
            </a:rPr>
            <a:t>departments and roles</a:t>
          </a:r>
          <a:r>
            <a:rPr lang="en-IN" sz="3600" b="1" i="1">
              <a:latin typeface="Arial" panose="020B0604020202020204" pitchFamily="34" charset="0"/>
              <a:cs typeface="Arial" panose="020B0604020202020204" pitchFamily="34" charset="0"/>
            </a:rPr>
            <a:t>.</a:t>
          </a:r>
        </a:p>
      </xdr:txBody>
    </xdr:sp>
    <xdr:clientData/>
  </xdr:oneCellAnchor>
  <xdr:oneCellAnchor>
    <xdr:from>
      <xdr:col>11</xdr:col>
      <xdr:colOff>273554</xdr:colOff>
      <xdr:row>10</xdr:row>
      <xdr:rowOff>144221</xdr:rowOff>
    </xdr:from>
    <xdr:ext cx="7970520" cy="8149598"/>
    <xdr:sp macro="" textlink="">
      <xdr:nvSpPr>
        <xdr:cNvPr id="11" name="TextBox 10">
          <a:extLst>
            <a:ext uri="{FF2B5EF4-FFF2-40B4-BE49-F238E27FC236}">
              <a16:creationId xmlns:a16="http://schemas.microsoft.com/office/drawing/2014/main" id="{630C56A2-A495-4470-B1B6-D4DA53F05754}"/>
            </a:ext>
          </a:extLst>
        </xdr:cNvPr>
        <xdr:cNvSpPr txBox="1"/>
      </xdr:nvSpPr>
      <xdr:spPr>
        <a:xfrm>
          <a:off x="13717411" y="3736507"/>
          <a:ext cx="7970520" cy="8149598"/>
        </a:xfrm>
        <a:prstGeom prst="rect">
          <a:avLst/>
        </a:prstGeom>
        <a:solidFill>
          <a:schemeClr val="bg1">
            <a:alpha val="71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400" b="1" i="0" u="sng"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Key Insights:</a:t>
          </a:r>
        </a:p>
        <a:p>
          <a:endParaRPr lang="en-IN" sz="1800">
            <a:latin typeface="Arial" panose="020B0604020202020204" pitchFamily="34" charset="0"/>
            <a:cs typeface="Arial" panose="020B0604020202020204" pitchFamily="34" charset="0"/>
          </a:endParaRPr>
        </a:p>
        <a:p>
          <a:pPr algn="l"/>
          <a:r>
            <a:rPr lang="en-IN" sz="1800" b="1" u="sng">
              <a:latin typeface="Arial" panose="020B0604020202020204" pitchFamily="34" charset="0"/>
              <a:cs typeface="Arial" panose="020B0604020202020204" pitchFamily="34" charset="0"/>
            </a:rPr>
            <a:t>Insight 1 — Promotion delay across departments</a:t>
          </a:r>
        </a:p>
        <a:p>
          <a:pPr algn="l"/>
          <a:endParaRPr lang="en-IN" sz="1800" b="1">
            <a:latin typeface="Arial" panose="020B0604020202020204" pitchFamily="34" charset="0"/>
            <a:cs typeface="Arial" panose="020B0604020202020204" pitchFamily="34" charset="0"/>
          </a:endParaRPr>
        </a:p>
        <a:p>
          <a:pPr algn="l"/>
          <a:r>
            <a:rPr lang="en-IN" sz="1800" i="1">
              <a:latin typeface="Arial" panose="020B0604020202020204" pitchFamily="34" charset="0"/>
              <a:cs typeface="Arial" panose="020B0604020202020204" pitchFamily="34" charset="0"/>
            </a:rPr>
            <a:t>Research &amp; Development has the </a:t>
          </a:r>
          <a:r>
            <a:rPr lang="en-IN" sz="1800" b="1" i="1">
              <a:latin typeface="Arial" panose="020B0604020202020204" pitchFamily="34" charset="0"/>
              <a:cs typeface="Arial" panose="020B0604020202020204" pitchFamily="34" charset="0"/>
            </a:rPr>
            <a:t>highest number of delayed promotions</a:t>
          </a:r>
          <a:r>
            <a:rPr lang="en-IN" sz="1800" i="1">
              <a:latin typeface="Arial" panose="020B0604020202020204" pitchFamily="34" charset="0"/>
              <a:cs typeface="Arial" panose="020B0604020202020204" pitchFamily="34" charset="0"/>
            </a:rPr>
            <a:t>, while Sales shows a </a:t>
          </a:r>
          <a:r>
            <a:rPr lang="en-IN" sz="1800" b="1" i="1">
              <a:latin typeface="Arial" panose="020B0604020202020204" pitchFamily="34" charset="0"/>
              <a:cs typeface="Arial" panose="020B0604020202020204" pitchFamily="34" charset="0"/>
            </a:rPr>
            <a:t>smaller gap between normal and delayed promotions</a:t>
          </a:r>
          <a:r>
            <a:rPr lang="en-IN" sz="1800" i="1">
              <a:latin typeface="Arial" panose="020B0604020202020204" pitchFamily="34" charset="0"/>
              <a:cs typeface="Arial" panose="020B0604020202020204" pitchFamily="34" charset="0"/>
            </a:rPr>
            <a:t>, indicating relatively slower progression in that department.</a:t>
          </a:r>
          <a:endParaRPr lang="en-IN" sz="1800">
            <a:latin typeface="Arial" panose="020B0604020202020204" pitchFamily="34" charset="0"/>
            <a:cs typeface="Arial" panose="020B0604020202020204" pitchFamily="34" charset="0"/>
          </a:endParaRPr>
        </a:p>
        <a:p>
          <a:endParaRPr lang="en-IN" sz="1800">
            <a:latin typeface="Arial" panose="020B0604020202020204" pitchFamily="34" charset="0"/>
            <a:cs typeface="Arial" panose="020B0604020202020204" pitchFamily="34" charset="0"/>
          </a:endParaRPr>
        </a:p>
        <a:p>
          <a:pPr>
            <a:buNone/>
          </a:pPr>
          <a:r>
            <a:rPr lang="en-IN" sz="1800" b="1" u="sng">
              <a:latin typeface="Arial" panose="020B0604020202020204" pitchFamily="34" charset="0"/>
              <a:cs typeface="Arial" panose="020B0604020202020204" pitchFamily="34" charset="0"/>
            </a:rPr>
            <a:t>Insight 2 — High performers also face delays</a:t>
          </a:r>
        </a:p>
        <a:p>
          <a:pPr>
            <a:buNone/>
          </a:pPr>
          <a:endParaRPr lang="en-IN" sz="1800" b="1" u="sng">
            <a:latin typeface="Arial" panose="020B0604020202020204" pitchFamily="34" charset="0"/>
            <a:cs typeface="Arial" panose="020B0604020202020204" pitchFamily="34" charset="0"/>
          </a:endParaRPr>
        </a:p>
        <a:p>
          <a:pPr algn="l">
            <a:buNone/>
          </a:pPr>
          <a:r>
            <a:rPr lang="en-IN" sz="1800" i="1">
              <a:latin typeface="Arial" panose="020B0604020202020204" pitchFamily="34" charset="0"/>
              <a:cs typeface="Arial" panose="020B0604020202020204" pitchFamily="34" charset="0"/>
            </a:rPr>
            <a:t>High performers experience </a:t>
          </a:r>
          <a:r>
            <a:rPr lang="en-IN" sz="1800" b="1" i="1">
              <a:latin typeface="Arial" panose="020B0604020202020204" pitchFamily="34" charset="0"/>
              <a:cs typeface="Arial" panose="020B0604020202020204" pitchFamily="34" charset="0"/>
            </a:rPr>
            <a:t>~20% promotion delay</a:t>
          </a:r>
          <a:r>
            <a:rPr lang="en-IN" sz="1800" i="1">
              <a:latin typeface="Arial" panose="020B0604020202020204" pitchFamily="34" charset="0"/>
              <a:cs typeface="Arial" panose="020B0604020202020204" pitchFamily="34" charset="0"/>
            </a:rPr>
            <a:t>, which is </a:t>
          </a:r>
          <a:r>
            <a:rPr lang="en-IN" sz="1800" b="1" i="1">
              <a:latin typeface="Arial" panose="020B0604020202020204" pitchFamily="34" charset="0"/>
              <a:cs typeface="Arial" panose="020B0604020202020204" pitchFamily="34" charset="0"/>
            </a:rPr>
            <a:t>higher than low performers (~17%)</a:t>
          </a:r>
          <a:r>
            <a:rPr lang="en-IN" sz="1800" i="1">
              <a:latin typeface="Arial" panose="020B0604020202020204" pitchFamily="34" charset="0"/>
              <a:cs typeface="Arial" panose="020B0604020202020204" pitchFamily="34" charset="0"/>
            </a:rPr>
            <a:t>.</a:t>
          </a:r>
          <a:r>
            <a:rPr lang="en-IN" sz="1800" i="1" baseline="0">
              <a:latin typeface="Arial" panose="020B0604020202020204" pitchFamily="34" charset="0"/>
              <a:cs typeface="Arial" panose="020B0604020202020204" pitchFamily="34" charset="0"/>
            </a:rPr>
            <a:t> </a:t>
          </a:r>
          <a:r>
            <a:rPr lang="en-IN" sz="1800" i="1">
              <a:latin typeface="Arial" panose="020B0604020202020204" pitchFamily="34" charset="0"/>
              <a:cs typeface="Arial" panose="020B0604020202020204" pitchFamily="34" charset="0"/>
            </a:rPr>
            <a:t>This suggests </a:t>
          </a:r>
          <a:r>
            <a:rPr lang="en-IN" sz="1800" b="1" i="1">
              <a:latin typeface="Arial" panose="020B0604020202020204" pitchFamily="34" charset="0"/>
              <a:cs typeface="Arial" panose="020B0604020202020204" pitchFamily="34" charset="0"/>
            </a:rPr>
            <a:t>performance is not strongly influencing promotion decisions</a:t>
          </a:r>
          <a:r>
            <a:rPr lang="en-IN" sz="1800" i="1">
              <a:latin typeface="Arial" panose="020B0604020202020204" pitchFamily="34" charset="0"/>
              <a:cs typeface="Arial" panose="020B0604020202020204" pitchFamily="34" charset="0"/>
            </a:rPr>
            <a:t>.</a:t>
          </a:r>
        </a:p>
        <a:p>
          <a:endParaRPr lang="en-IN" sz="1800">
            <a:latin typeface="Arial" panose="020B0604020202020204" pitchFamily="34" charset="0"/>
            <a:cs typeface="Arial" panose="020B0604020202020204" pitchFamily="34" charset="0"/>
          </a:endParaRPr>
        </a:p>
        <a:p>
          <a:pPr>
            <a:buNone/>
          </a:pPr>
          <a:r>
            <a:rPr lang="en-IN" sz="1800" b="1" u="sng">
              <a:latin typeface="Arial" panose="020B0604020202020204" pitchFamily="34" charset="0"/>
              <a:cs typeface="Arial" panose="020B0604020202020204" pitchFamily="34" charset="0"/>
            </a:rPr>
            <a:t>Insight 3 — High stagnation risk among strong performers</a:t>
          </a:r>
        </a:p>
        <a:p>
          <a:pPr>
            <a:buNone/>
          </a:pPr>
          <a:endParaRPr lang="en-IN" sz="1800" b="1">
            <a:latin typeface="Arial" panose="020B0604020202020204" pitchFamily="34" charset="0"/>
            <a:cs typeface="Arial" panose="020B0604020202020204" pitchFamily="34" charset="0"/>
          </a:endParaRPr>
        </a:p>
        <a:p>
          <a:pPr>
            <a:buNone/>
          </a:pPr>
          <a:r>
            <a:rPr lang="en-IN" sz="1800" i="1">
              <a:latin typeface="Arial" panose="020B0604020202020204" pitchFamily="34" charset="0"/>
              <a:cs typeface="Arial" panose="020B0604020202020204" pitchFamily="34" charset="0"/>
            </a:rPr>
            <a:t>A noticeable number of </a:t>
          </a:r>
          <a:r>
            <a:rPr lang="en-IN" sz="1800" b="1" i="1">
              <a:latin typeface="Arial" panose="020B0604020202020204" pitchFamily="34" charset="0"/>
              <a:cs typeface="Arial" panose="020B0604020202020204" pitchFamily="34" charset="0"/>
            </a:rPr>
            <a:t>high performers fall into the high stagnation risk category</a:t>
          </a:r>
          <a:r>
            <a:rPr lang="en-IN" sz="1800" i="1">
              <a:latin typeface="Arial" panose="020B0604020202020204" pitchFamily="34" charset="0"/>
              <a:cs typeface="Arial" panose="020B0604020202020204" pitchFamily="34" charset="0"/>
            </a:rPr>
            <a:t>, indicating potential </a:t>
          </a:r>
          <a:r>
            <a:rPr lang="en-IN" sz="1800" b="1" i="1">
              <a:latin typeface="Arial" panose="020B0604020202020204" pitchFamily="34" charset="0"/>
              <a:cs typeface="Arial" panose="020B0604020202020204" pitchFamily="34" charset="0"/>
            </a:rPr>
            <a:t>career progression issues for top talent</a:t>
          </a:r>
          <a:r>
            <a:rPr lang="en-IN" sz="1800" i="1">
              <a:latin typeface="Arial" panose="020B0604020202020204" pitchFamily="34" charset="0"/>
              <a:cs typeface="Arial" panose="020B0604020202020204" pitchFamily="34" charset="0"/>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800" b="0" i="1"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a:t>
          </a:r>
          <a:endParaRPr lang="en-IN" sz="1800">
            <a:latin typeface="Arial" panose="020B0604020202020204" pitchFamily="34" charset="0"/>
            <a:cs typeface="Arial" panose="020B0604020202020204" pitchFamily="34" charset="0"/>
          </a:endParaRPr>
        </a:p>
        <a:p>
          <a:pPr algn="l"/>
          <a:r>
            <a:rPr lang="en-IN" sz="1800" b="1" u="sng">
              <a:latin typeface="Arial" panose="020B0604020202020204" pitchFamily="34" charset="0"/>
              <a:cs typeface="Arial" panose="020B0604020202020204" pitchFamily="34" charset="0"/>
            </a:rPr>
            <a:t>Insight 4 — Salary hikes follow performance but ratings are limited</a:t>
          </a:r>
        </a:p>
        <a:p>
          <a:pPr algn="l"/>
          <a:endParaRPr lang="en-IN" sz="1800" b="1">
            <a:latin typeface="Arial" panose="020B0604020202020204" pitchFamily="34" charset="0"/>
            <a:cs typeface="Arial" panose="020B0604020202020204" pitchFamily="34" charset="0"/>
          </a:endParaRPr>
        </a:p>
        <a:p>
          <a:pPr algn="l"/>
          <a:r>
            <a:rPr lang="en-IN" sz="1800" i="1">
              <a:latin typeface="Arial" panose="020B0604020202020204" pitchFamily="34" charset="0"/>
              <a:cs typeface="Arial" panose="020B0604020202020204" pitchFamily="34" charset="0"/>
            </a:rPr>
            <a:t>Higher performance ratings receive </a:t>
          </a:r>
          <a:r>
            <a:rPr lang="en-IN" sz="1800" b="1" i="1">
              <a:latin typeface="Arial" panose="020B0604020202020204" pitchFamily="34" charset="0"/>
              <a:cs typeface="Arial" panose="020B0604020202020204" pitchFamily="34" charset="0"/>
            </a:rPr>
            <a:t>larger salary hikes</a:t>
          </a:r>
          <a:r>
            <a:rPr lang="en-IN" sz="1800" i="1">
              <a:latin typeface="Arial" panose="020B0604020202020204" pitchFamily="34" charset="0"/>
              <a:cs typeface="Arial" panose="020B0604020202020204" pitchFamily="34" charset="0"/>
            </a:rPr>
            <a:t>, but ratings are concentrated around </a:t>
          </a:r>
          <a:r>
            <a:rPr lang="en-IN" sz="1800" b="1" i="1">
              <a:latin typeface="Arial" panose="020B0604020202020204" pitchFamily="34" charset="0"/>
              <a:cs typeface="Arial" panose="020B0604020202020204" pitchFamily="34" charset="0"/>
            </a:rPr>
            <a:t>3 and 4</a:t>
          </a:r>
          <a:r>
            <a:rPr lang="en-IN" sz="1800" i="1">
              <a:latin typeface="Arial" panose="020B0604020202020204" pitchFamily="34" charset="0"/>
              <a:cs typeface="Arial" panose="020B0604020202020204" pitchFamily="34" charset="0"/>
            </a:rPr>
            <a:t>, suggesting </a:t>
          </a:r>
          <a:r>
            <a:rPr lang="en-IN" sz="1800" b="1" i="1">
              <a:latin typeface="Arial" panose="020B0604020202020204" pitchFamily="34" charset="0"/>
              <a:cs typeface="Arial" panose="020B0604020202020204" pitchFamily="34" charset="0"/>
            </a:rPr>
            <a:t>limited differentiation in performance evaluation</a:t>
          </a:r>
          <a:r>
            <a:rPr lang="en-IN" sz="1800" i="1">
              <a:latin typeface="Arial" panose="020B0604020202020204" pitchFamily="34" charset="0"/>
              <a:cs typeface="Arial" panose="020B0604020202020204" pitchFamily="34" charset="0"/>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800" b="0" i="1"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800" b="1" i="0" u="sng"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Insight 5 — </a:t>
          </a:r>
          <a:r>
            <a:rPr lang="en-IN" sz="1800" b="1" u="sng">
              <a:latin typeface="Arial" panose="020B0604020202020204" pitchFamily="34" charset="0"/>
              <a:cs typeface="Arial" panose="020B0604020202020204" pitchFamily="34" charset="0"/>
            </a:rPr>
            <a:t>Research Directors Show the Highest Role Stagnation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800" b="1" i="0" u="sng"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800" b="1" i="1">
              <a:latin typeface="Arial" panose="020B0604020202020204" pitchFamily="34" charset="0"/>
              <a:cs typeface="Arial" panose="020B0604020202020204" pitchFamily="34" charset="0"/>
            </a:rPr>
            <a:t>Research Directors </a:t>
          </a:r>
          <a:r>
            <a:rPr lang="en-IN" sz="1800" i="1">
              <a:latin typeface="Arial" panose="020B0604020202020204" pitchFamily="34" charset="0"/>
              <a:cs typeface="Arial" panose="020B0604020202020204" pitchFamily="34" charset="0"/>
            </a:rPr>
            <a:t>have more employees </a:t>
          </a:r>
          <a:r>
            <a:rPr lang="en-IN" sz="1800" b="1" i="1">
              <a:latin typeface="Arial" panose="020B0604020202020204" pitchFamily="34" charset="0"/>
              <a:cs typeface="Arial" panose="020B0604020202020204" pitchFamily="34" charset="0"/>
            </a:rPr>
            <a:t>stagnant</a:t>
          </a:r>
          <a:r>
            <a:rPr lang="en-IN" sz="1800" i="1">
              <a:latin typeface="Arial" panose="020B0604020202020204" pitchFamily="34" charset="0"/>
              <a:cs typeface="Arial" panose="020B0604020202020204" pitchFamily="34" charset="0"/>
            </a:rPr>
            <a:t> than </a:t>
          </a:r>
          <a:r>
            <a:rPr lang="en-IN" sz="1800" b="1" i="1">
              <a:latin typeface="Arial" panose="020B0604020202020204" pitchFamily="34" charset="0"/>
              <a:cs typeface="Arial" panose="020B0604020202020204" pitchFamily="34" charset="0"/>
            </a:rPr>
            <a:t>promoted,</a:t>
          </a:r>
          <a:r>
            <a:rPr lang="en-IN" sz="1800" i="1">
              <a:latin typeface="Arial" panose="020B0604020202020204" pitchFamily="34" charset="0"/>
              <a:cs typeface="Arial" panose="020B0604020202020204" pitchFamily="34" charset="0"/>
            </a:rPr>
            <a:t> while Manufacturing Directors, Healthcare Representatives, and Sales Executives also show relatively high stagnation levels</a:t>
          </a:r>
          <a:r>
            <a:rPr lang="en-IN" sz="1800"/>
            <a:t>.</a:t>
          </a:r>
          <a:endParaRPr lang="en-IN" sz="1100"/>
        </a:p>
      </xdr:txBody>
    </xdr:sp>
    <xdr:clientData/>
  </xdr:oneCellAnchor>
  <xdr:twoCellAnchor>
    <xdr:from>
      <xdr:col>25</xdr:col>
      <xdr:colOff>181429</xdr:colOff>
      <xdr:row>0</xdr:row>
      <xdr:rowOff>0</xdr:rowOff>
    </xdr:from>
    <xdr:to>
      <xdr:col>43</xdr:col>
      <xdr:colOff>1</xdr:colOff>
      <xdr:row>22</xdr:row>
      <xdr:rowOff>36286</xdr:rowOff>
    </xdr:to>
    <xdr:sp macro="" textlink="">
      <xdr:nvSpPr>
        <xdr:cNvPr id="16" name="TextBox 15">
          <a:extLst>
            <a:ext uri="{FF2B5EF4-FFF2-40B4-BE49-F238E27FC236}">
              <a16:creationId xmlns:a16="http://schemas.microsoft.com/office/drawing/2014/main" id="{58B19299-21A5-D4A4-8296-F130B567A674}"/>
            </a:ext>
          </a:extLst>
        </xdr:cNvPr>
        <xdr:cNvSpPr txBox="1"/>
      </xdr:nvSpPr>
      <xdr:spPr>
        <a:xfrm>
          <a:off x="21916572" y="0"/>
          <a:ext cx="10922000" cy="5896429"/>
        </a:xfrm>
        <a:prstGeom prst="rect">
          <a:avLst/>
        </a:prstGeom>
        <a:solidFill>
          <a:schemeClr val="lt1">
            <a:alpha val="71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b="1" u="sng">
              <a:latin typeface="Arial" panose="020B0604020202020204" pitchFamily="34" charset="0"/>
              <a:cs typeface="Arial" panose="020B0604020202020204" pitchFamily="34" charset="0"/>
            </a:rPr>
            <a:t>Key Business Implications</a:t>
          </a:r>
          <a:r>
            <a:rPr kumimoji="0" lang="en-IN" sz="2400" b="1" i="0" u="sng"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a:t>
          </a:r>
        </a:p>
        <a:p>
          <a:endParaRPr lang="en-IN" sz="1100"/>
        </a:p>
        <a:p>
          <a:endParaRPr lang="en-IN" sz="1100"/>
        </a:p>
        <a:p>
          <a:pPr marL="0" marR="0" lvl="0" indent="0" algn="l" defTabSz="914400" eaLnBrk="1" fontAlgn="auto" latinLnBrk="0" hangingPunct="1">
            <a:lnSpc>
              <a:spcPct val="100000"/>
            </a:lnSpc>
            <a:spcBef>
              <a:spcPts val="0"/>
            </a:spcBef>
            <a:spcAft>
              <a:spcPts val="0"/>
            </a:spcAft>
            <a:buClrTx/>
            <a:buSzTx/>
            <a:buFontTx/>
            <a:buNone/>
            <a:tabLst/>
            <a:defRPr/>
          </a:pPr>
          <a:r>
            <a:rPr lang="en-IN" sz="1800" b="1" u="sng">
              <a:latin typeface="Arial" panose="020B0604020202020204" pitchFamily="34" charset="0"/>
              <a:cs typeface="Arial" panose="020B0604020202020204" pitchFamily="34" charset="0"/>
            </a:rPr>
            <a:t>Implication 1 — Risk of Losing Top Talent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800" b="1"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800" i="1">
              <a:latin typeface="Arial" panose="020B0604020202020204" pitchFamily="34" charset="0"/>
              <a:cs typeface="Arial" panose="020B0604020202020204" pitchFamily="34" charset="0"/>
            </a:rPr>
            <a:t>Delayed promotions and stagnation among high performers may reduce motivation and increase the risk of attrition among top talent. </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i="1">
            <a:latin typeface="Arial" panose="020B0604020202020204" pitchFamily="34" charset="0"/>
            <a:cs typeface="Arial" panose="020B0604020202020204" pitchFamily="34" charset="0"/>
          </a:endParaRPr>
        </a:p>
        <a:p>
          <a:pPr eaLnBrk="1" fontAlgn="auto" latinLnBrk="0" hangingPunct="1"/>
          <a:r>
            <a:rPr lang="en-IN" sz="1800" b="1" u="sng">
              <a:latin typeface="Arial" panose="020B0604020202020204" pitchFamily="34" charset="0"/>
              <a:cs typeface="Arial" panose="020B0604020202020204" pitchFamily="34" charset="0"/>
            </a:rPr>
            <a:t>Implication 2 — Promotion Decisions May Lack Performance Alignment</a:t>
          </a:r>
        </a:p>
        <a:p>
          <a:pPr eaLnBrk="1" fontAlgn="auto" latinLnBrk="0" hangingPunct="1"/>
          <a:endParaRPr lang="en-IN" sz="1800">
            <a:latin typeface="Arial" panose="020B0604020202020204" pitchFamily="34" charset="0"/>
            <a:cs typeface="Arial" panose="020B0604020202020204" pitchFamily="34" charset="0"/>
          </a:endParaRPr>
        </a:p>
        <a:p>
          <a:pPr eaLnBrk="1" fontAlgn="auto" latinLnBrk="0" hangingPunct="1"/>
          <a:r>
            <a:rPr lang="en-IN" sz="1800" i="1">
              <a:latin typeface="Arial" panose="020B0604020202020204" pitchFamily="34" charset="0"/>
              <a:cs typeface="Arial" panose="020B0604020202020204" pitchFamily="34" charset="0"/>
            </a:rPr>
            <a:t>Similar promotion delay rates for high and low performers suggest promotion processes may not strongly differentiate based on performance.</a:t>
          </a:r>
        </a:p>
        <a:p>
          <a:pPr eaLnBrk="1" fontAlgn="auto" latinLnBrk="0" hangingPunct="1"/>
          <a:endParaRPr lang="en-IN" sz="1800" i="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N" sz="1800" b="1" u="sng">
              <a:latin typeface="Arial" panose="020B0604020202020204" pitchFamily="34" charset="0"/>
              <a:cs typeface="Arial" panose="020B0604020202020204" pitchFamily="34" charset="0"/>
            </a:rPr>
            <a:t>Implication 3 — Limited Career Mobility in Certain Roles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8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r>
            <a:rPr lang="en-IN" sz="1800" i="1">
              <a:latin typeface="Arial" panose="020B0604020202020204" pitchFamily="34" charset="0"/>
              <a:cs typeface="Arial" panose="020B0604020202020204" pitchFamily="34" charset="0"/>
            </a:rPr>
            <a:t>High stagnation in roles such as Research Directors and Manufacturing Directors indicates potential bottlenecks in career progression</a:t>
          </a:r>
          <a:r>
            <a:rPr lang="en-IN" sz="1800">
              <a:latin typeface="Arial" panose="020B0604020202020204" pitchFamily="34" charset="0"/>
              <a:cs typeface="Arial" panose="020B0604020202020204" pitchFamily="34" charset="0"/>
            </a:rPr>
            <a:t>.</a:t>
          </a:r>
        </a:p>
        <a:p>
          <a:pPr eaLnBrk="1" fontAlgn="auto" latinLnBrk="0" hangingPunct="1"/>
          <a:endParaRPr lang="en-IN" sz="1800" i="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N" sz="1800" b="1" u="sng">
              <a:latin typeface="Arial" panose="020B0604020202020204" pitchFamily="34" charset="0"/>
              <a:cs typeface="Arial" panose="020B0604020202020204" pitchFamily="34" charset="0"/>
            </a:rPr>
            <a:t>Implication 4 — Weak Performance Differentiation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8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N" sz="1800" i="1">
              <a:latin typeface="Arial" panose="020B0604020202020204" pitchFamily="34" charset="0"/>
              <a:cs typeface="Arial" panose="020B0604020202020204" pitchFamily="34" charset="0"/>
            </a:rPr>
            <a:t>The concentration of performance ratings around levels 3 and 4 makes it difficult to clearly distinguish top performers from average performers.</a:t>
          </a:r>
        </a:p>
      </xdr:txBody>
    </xdr:sp>
    <xdr:clientData/>
  </xdr:twoCellAnchor>
  <xdr:twoCellAnchor>
    <xdr:from>
      <xdr:col>25</xdr:col>
      <xdr:colOff>181428</xdr:colOff>
      <xdr:row>22</xdr:row>
      <xdr:rowOff>54430</xdr:rowOff>
    </xdr:from>
    <xdr:to>
      <xdr:col>43</xdr:col>
      <xdr:colOff>18143</xdr:colOff>
      <xdr:row>54</xdr:row>
      <xdr:rowOff>163288</xdr:rowOff>
    </xdr:to>
    <xdr:sp macro="" textlink="">
      <xdr:nvSpPr>
        <xdr:cNvPr id="17" name="TextBox 16">
          <a:extLst>
            <a:ext uri="{FF2B5EF4-FFF2-40B4-BE49-F238E27FC236}">
              <a16:creationId xmlns:a16="http://schemas.microsoft.com/office/drawing/2014/main" id="{C513A88E-1524-8A19-AFA3-ED3417333303}"/>
            </a:ext>
          </a:extLst>
        </xdr:cNvPr>
        <xdr:cNvSpPr txBox="1"/>
      </xdr:nvSpPr>
      <xdr:spPr>
        <a:xfrm>
          <a:off x="21916571" y="5914573"/>
          <a:ext cx="10940143" cy="6005286"/>
        </a:xfrm>
        <a:prstGeom prst="rect">
          <a:avLst/>
        </a:prstGeom>
        <a:solidFill>
          <a:schemeClr val="lt1">
            <a:alpha val="71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pPr marL="0" marR="0" lvl="0" indent="0" algn="l" defTabSz="914400" eaLnBrk="1" fontAlgn="auto" latinLnBrk="0" hangingPunct="1">
            <a:lnSpc>
              <a:spcPct val="100000"/>
            </a:lnSpc>
            <a:spcBef>
              <a:spcPts val="0"/>
            </a:spcBef>
            <a:spcAft>
              <a:spcPts val="0"/>
            </a:spcAft>
            <a:buClrTx/>
            <a:buSzTx/>
            <a:buFontTx/>
            <a:buNone/>
            <a:tabLst/>
            <a:defRPr/>
          </a:pPr>
          <a:r>
            <a:rPr lang="en-IN" sz="2400" b="1" u="sng">
              <a:latin typeface="Arial" panose="020B0604020202020204" pitchFamily="34" charset="0"/>
              <a:cs typeface="Arial" panose="020B0604020202020204" pitchFamily="34" charset="0"/>
            </a:rPr>
            <a:t>Recommendations</a:t>
          </a:r>
          <a:r>
            <a:rPr kumimoji="0" lang="en-IN" sz="2400" b="1" i="0" u="sng"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a:t>
          </a:r>
        </a:p>
        <a:p>
          <a:endParaRPr lang="en-IN" sz="1100"/>
        </a:p>
        <a:p>
          <a:endParaRPr lang="en-IN" sz="1100"/>
        </a:p>
        <a:p>
          <a:pPr marL="0" marR="0" lvl="0" indent="0" algn="l" defTabSz="914400" eaLnBrk="1" fontAlgn="auto" latinLnBrk="0" hangingPunct="1">
            <a:lnSpc>
              <a:spcPct val="100000"/>
            </a:lnSpc>
            <a:spcBef>
              <a:spcPts val="0"/>
            </a:spcBef>
            <a:spcAft>
              <a:spcPts val="0"/>
            </a:spcAft>
            <a:buClrTx/>
            <a:buSzTx/>
            <a:buFontTx/>
            <a:buNone/>
            <a:tabLst/>
            <a:defRPr/>
          </a:pPr>
          <a:r>
            <a:rPr lang="en-IN" sz="1800" b="1" u="sng">
              <a:latin typeface="Arial" panose="020B0604020202020204" pitchFamily="34" charset="0"/>
              <a:cs typeface="Arial" panose="020B0604020202020204" pitchFamily="34" charset="0"/>
            </a:rPr>
            <a:t>Recommendation 1 — Strengthen Performance-Based Promotion Criteria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800" b="1" i="0" u="sng"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r>
            <a:rPr lang="en-IN" sz="1800" i="1">
              <a:latin typeface="Arial" panose="020B0604020202020204" pitchFamily="34" charset="0"/>
              <a:cs typeface="Arial" panose="020B0604020202020204" pitchFamily="34" charset="0"/>
            </a:rPr>
            <a:t>Ensure promotion decisions more strongly reflect employee performance to reward high performers and maintain motivation.</a:t>
          </a:r>
        </a:p>
        <a:p>
          <a:endParaRPr kumimoji="0" lang="en-IN" sz="1800" b="0" i="1"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800" b="1" u="sng">
              <a:latin typeface="Arial" panose="020B0604020202020204" pitchFamily="34" charset="0"/>
              <a:cs typeface="Arial" panose="020B0604020202020204" pitchFamily="34" charset="0"/>
            </a:rPr>
            <a:t>Recommendation 2 — Address Role-Specific Stagnation</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u="sng">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800" i="1">
              <a:latin typeface="Arial" panose="020B0604020202020204" pitchFamily="34" charset="0"/>
              <a:cs typeface="Arial" panose="020B0604020202020204" pitchFamily="34" charset="0"/>
            </a:rPr>
            <a:t>Review career pathways for roles with high stagnation, particularly Research Directors and Manufacturing Directors, to create clearer progression opportunities.</a:t>
          </a:r>
          <a:endParaRPr kumimoji="0" lang="en-IN" sz="1800" b="0" i="1"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800" b="0" i="1" u="sng"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800" b="1" u="sng">
              <a:latin typeface="Arial" panose="020B0604020202020204" pitchFamily="34" charset="0"/>
              <a:cs typeface="Arial" panose="020B0604020202020204" pitchFamily="34" charset="0"/>
            </a:rPr>
            <a:t>Recommendation 3 — Expand Performance Rating Differentiation</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u="sng">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800" i="1">
              <a:latin typeface="Arial" panose="020B0604020202020204" pitchFamily="34" charset="0"/>
              <a:cs typeface="Arial" panose="020B0604020202020204" pitchFamily="34" charset="0"/>
            </a:rPr>
            <a:t>Introduce a more differentiated rating distribution to better identify top performers and support targeted development plans</a:t>
          </a:r>
          <a:r>
            <a:rPr lang="en-IN" sz="1800">
              <a:latin typeface="Arial" panose="020B0604020202020204" pitchFamily="34" charset="0"/>
              <a:cs typeface="Arial" panose="020B0604020202020204" pitchFamily="34" charset="0"/>
            </a:rPr>
            <a: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800" b="0" i="1"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800" b="1" u="sng">
              <a:latin typeface="Arial" panose="020B0604020202020204" pitchFamily="34" charset="0"/>
              <a:cs typeface="Arial" panose="020B0604020202020204" pitchFamily="34" charset="0"/>
            </a:rPr>
            <a:t>Recommendation 4 — Provide Alternative Recognition for High Performers</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u="sng">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800" i="1">
              <a:latin typeface="Arial" panose="020B0604020202020204" pitchFamily="34" charset="0"/>
              <a:cs typeface="Arial" panose="020B0604020202020204" pitchFamily="34" charset="0"/>
            </a:rPr>
            <a:t>Where promotions are limited, offer alternative rewards such as leadership opportunities, skill development programs, or recognition incentives.</a:t>
          </a:r>
          <a:endParaRPr kumimoji="0" lang="en-IN" sz="1800" b="0" i="1"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8.005148842596" createdVersion="8" refreshedVersion="8" minRefreshableVersion="3" recordCount="1470" xr:uid="{3CD8F817-F26B-4161-83EE-CD3B123098A4}">
  <cacheSource type="worksheet">
    <worksheetSource name="Table1"/>
  </cacheSource>
  <cacheFields count="24">
    <cacheField name="Employee Number" numFmtId="0">
      <sharedItems containsNonDate="0" containsString="0" containsBlank="1" count="1">
        <m/>
      </sharedItems>
    </cacheField>
    <cacheField name="Attrition" numFmtId="0">
      <sharedItems/>
    </cacheField>
    <cacheField name="Department" numFmtId="0">
      <sharedItems count="3">
        <s v="Sales"/>
        <s v="Research &amp; Development"/>
        <s v="Human Resources"/>
      </sharedItems>
    </cacheField>
    <cacheField name="Employee_x000a_Count" numFmtId="0">
      <sharedItems containsSemiMixedTypes="0" containsString="0" containsNumber="1" containsInteger="1" minValue="1" maxValue="1"/>
    </cacheField>
    <cacheField name="Gender" numFmtId="0">
      <sharedItems/>
    </cacheField>
    <cacheField name="JobLevel" numFmtId="0">
      <sharedItems containsSemiMixedTypes="0" containsString="0" containsNumber="1" containsInteger="1" minValue="1" maxValue="5" count="5">
        <n v="3"/>
        <n v="1"/>
        <n v="2"/>
        <n v="5"/>
        <n v="4"/>
      </sharedItems>
    </cacheField>
    <cacheField name="JobRole" numFmtId="0">
      <sharedItems count="9">
        <s v="Manager"/>
        <s v="Research Scientist"/>
        <s v="Laboratory Technician"/>
        <s v="Sales Representative"/>
        <s v="Healthcare Representative"/>
        <s v="Sales Executive"/>
        <s v="Manufacturing Director"/>
        <s v="Research Director"/>
        <s v="Human Resources"/>
      </sharedItems>
    </cacheField>
    <cacheField name="Job_x000a_Satisfaction" numFmtId="0">
      <sharedItems containsSemiMixedTypes="0" containsString="0" containsNumber="1" containsInteger="1" minValue="1" maxValue="4" count="4">
        <n v="3"/>
        <n v="1"/>
        <n v="4"/>
        <n v="2"/>
      </sharedItems>
    </cacheField>
    <cacheField name="Monthly _x000a_Income" numFmtId="0">
      <sharedItems containsSemiMixedTypes="0" containsString="0" containsNumber="1" containsInteger="1" minValue="1009" maxValue="19999"/>
    </cacheField>
    <cacheField name="Percent_x000a_SalaryHike" numFmtId="0">
      <sharedItems containsSemiMixedTypes="0" containsString="0" containsNumber="1" containsInteger="1" minValue="11" maxValue="25"/>
    </cacheField>
    <cacheField name="Performance_x000a_Rating" numFmtId="0">
      <sharedItems containsSemiMixedTypes="0" containsString="0" containsNumber="1" containsInteger="1" minValue="3" maxValue="4" count="2">
        <n v="4"/>
        <n v="3"/>
      </sharedItems>
    </cacheField>
    <cacheField name="Stock_x000a_OptionLevel" numFmtId="0">
      <sharedItems containsSemiMixedTypes="0" containsString="0" containsNumber="1" containsInteger="1" minValue="0" maxValue="3"/>
    </cacheField>
    <cacheField name="Total_x000a_WorkingYears" numFmtId="0">
      <sharedItems containsSemiMixedTypes="0" containsString="0" containsNumber="1" containsInteger="1" minValue="0" maxValue="40"/>
    </cacheField>
    <cacheField name="Training_x000a_TimesLastYear" numFmtId="0">
      <sharedItems containsSemiMixedTypes="0" containsString="0" containsNumber="1" containsInteger="1" minValue="0" maxValue="6"/>
    </cacheField>
    <cacheField name="Work_x000a_LifeBalance" numFmtId="0">
      <sharedItems containsSemiMixedTypes="0" containsString="0" containsNumber="1" containsInteger="1" minValue="1" maxValue="4"/>
    </cacheField>
    <cacheField name="Years_x000a_AtCompany" numFmtId="0">
      <sharedItems containsSemiMixedTypes="0" containsString="0" containsNumber="1" containsInteger="1" minValue="0" maxValue="40" count="37">
        <n v="0"/>
        <n v="1"/>
        <n v="2"/>
        <n v="3"/>
        <n v="5"/>
        <n v="6"/>
        <n v="7"/>
        <n v="8"/>
        <n v="9"/>
        <n v="10"/>
        <n v="26"/>
        <n v="4"/>
        <n v="15"/>
        <n v="11"/>
        <n v="16"/>
        <n v="18"/>
        <n v="20"/>
        <n v="13"/>
        <n v="17"/>
        <n v="31"/>
        <n v="33"/>
        <n v="22"/>
        <n v="24"/>
        <n v="14"/>
        <n v="34"/>
        <n v="12"/>
        <n v="21"/>
        <n v="19"/>
        <n v="37"/>
        <n v="36"/>
        <n v="25"/>
        <n v="32"/>
        <n v="29"/>
        <n v="30"/>
        <n v="27"/>
        <n v="23"/>
        <n v="40"/>
      </sharedItems>
    </cacheField>
    <cacheField name="Years_x000a_InCurrentRole" numFmtId="0">
      <sharedItems containsSemiMixedTypes="0" containsString="0" containsNumber="1" containsInteger="1" minValue="0" maxValue="18"/>
    </cacheField>
    <cacheField name="YearsSince_x000a_LastPromotion" numFmtId="0">
      <sharedItems containsSemiMixedTypes="0" containsString="0" containsNumber="1" containsInteger="1" minValue="0" maxValue="15" count="16">
        <n v="0"/>
        <n v="1"/>
        <n v="2"/>
        <n v="3"/>
        <n v="4"/>
        <n v="5"/>
        <n v="6"/>
        <n v="7"/>
        <n v="8"/>
        <n v="9"/>
        <n v="10"/>
        <n v="11"/>
        <n v="12"/>
        <n v="13"/>
        <n v="14"/>
        <n v="15"/>
      </sharedItems>
    </cacheField>
    <cacheField name="WLB" numFmtId="0">
      <sharedItems/>
    </cacheField>
    <cacheField name="Employee Level" numFmtId="0">
      <sharedItems count="3">
        <s v="New"/>
        <s v="Senior"/>
        <s v="Mid"/>
      </sharedItems>
    </cacheField>
    <cacheField name="Promotion Duration" numFmtId="0">
      <sharedItems count="2">
        <s v="Normal"/>
        <s v="Delayed"/>
      </sharedItems>
    </cacheField>
    <cacheField name="Role Stagnency" numFmtId="0">
      <sharedItems count="2">
        <s v="Normal"/>
        <s v="Role Stagnent"/>
      </sharedItems>
    </cacheField>
    <cacheField name="Stagnation Risk" numFmtId="0">
      <sharedItems count="2">
        <s v="Normal"/>
        <s v="High Risk"/>
      </sharedItems>
    </cacheField>
    <cacheField name="Performance Analysis" numFmtId="0">
      <sharedItems count="2">
        <s v="High Performer"/>
        <s v="Low Performer"/>
      </sharedItems>
    </cacheField>
  </cacheFields>
  <extLst>
    <ext xmlns:x14="http://schemas.microsoft.com/office/spreadsheetml/2009/9/main" uri="{725AE2AE-9491-48be-B2B4-4EB974FC3084}">
      <x14:pivotCacheDefinition pivotCacheId="667784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No"/>
    <x v="0"/>
    <n v="1"/>
    <s v="Female"/>
    <x v="0"/>
    <x v="0"/>
    <x v="0"/>
    <n v="12504"/>
    <n v="21"/>
    <x v="0"/>
    <n v="1"/>
    <n v="15"/>
    <n v="3"/>
    <n v="1"/>
    <x v="0"/>
    <n v="0"/>
    <x v="0"/>
    <s v="Bad"/>
    <x v="0"/>
    <x v="0"/>
    <x v="0"/>
    <x v="0"/>
    <x v="0"/>
  </r>
  <r>
    <x v="0"/>
    <s v="No"/>
    <x v="1"/>
    <n v="1"/>
    <s v="Female"/>
    <x v="1"/>
    <x v="1"/>
    <x v="0"/>
    <n v="1514"/>
    <n v="16"/>
    <x v="1"/>
    <n v="0"/>
    <n v="0"/>
    <n v="4"/>
    <n v="1"/>
    <x v="0"/>
    <n v="0"/>
    <x v="0"/>
    <s v="Bad"/>
    <x v="0"/>
    <x v="0"/>
    <x v="0"/>
    <x v="0"/>
    <x v="1"/>
  </r>
  <r>
    <x v="0"/>
    <s v="Yes"/>
    <x v="1"/>
    <n v="1"/>
    <s v="Male"/>
    <x v="1"/>
    <x v="2"/>
    <x v="0"/>
    <n v="3485"/>
    <n v="11"/>
    <x v="1"/>
    <n v="0"/>
    <n v="5"/>
    <n v="5"/>
    <n v="1"/>
    <x v="0"/>
    <n v="0"/>
    <x v="0"/>
    <s v="Bad"/>
    <x v="0"/>
    <x v="0"/>
    <x v="0"/>
    <x v="0"/>
    <x v="1"/>
  </r>
  <r>
    <x v="0"/>
    <s v="Yes"/>
    <x v="0"/>
    <n v="1"/>
    <s v="Male"/>
    <x v="1"/>
    <x v="3"/>
    <x v="0"/>
    <n v="1675"/>
    <n v="19"/>
    <x v="1"/>
    <n v="0"/>
    <n v="0"/>
    <n v="2"/>
    <n v="2"/>
    <x v="0"/>
    <n v="0"/>
    <x v="0"/>
    <s v="Bad"/>
    <x v="0"/>
    <x v="0"/>
    <x v="0"/>
    <x v="0"/>
    <x v="1"/>
  </r>
  <r>
    <x v="0"/>
    <s v="Yes"/>
    <x v="1"/>
    <n v="1"/>
    <s v="Male"/>
    <x v="1"/>
    <x v="2"/>
    <x v="1"/>
    <n v="3172"/>
    <n v="11"/>
    <x v="1"/>
    <n v="0"/>
    <n v="4"/>
    <n v="2"/>
    <n v="2"/>
    <x v="0"/>
    <n v="0"/>
    <x v="0"/>
    <s v="Bad"/>
    <x v="0"/>
    <x v="0"/>
    <x v="0"/>
    <x v="0"/>
    <x v="1"/>
  </r>
  <r>
    <x v="0"/>
    <s v="Yes"/>
    <x v="1"/>
    <n v="1"/>
    <s v="Male"/>
    <x v="1"/>
    <x v="2"/>
    <x v="1"/>
    <n v="2561"/>
    <n v="11"/>
    <x v="1"/>
    <n v="0"/>
    <n v="8"/>
    <n v="2"/>
    <n v="2"/>
    <x v="0"/>
    <n v="0"/>
    <x v="0"/>
    <s v="Bad"/>
    <x v="0"/>
    <x v="0"/>
    <x v="0"/>
    <x v="0"/>
    <x v="1"/>
  </r>
  <r>
    <x v="0"/>
    <s v="No"/>
    <x v="1"/>
    <n v="1"/>
    <s v="Male"/>
    <x v="2"/>
    <x v="4"/>
    <x v="1"/>
    <n v="5538"/>
    <n v="18"/>
    <x v="1"/>
    <n v="2"/>
    <n v="10"/>
    <n v="2"/>
    <n v="2"/>
    <x v="0"/>
    <n v="0"/>
    <x v="0"/>
    <s v="Bad"/>
    <x v="0"/>
    <x v="0"/>
    <x v="0"/>
    <x v="0"/>
    <x v="1"/>
  </r>
  <r>
    <x v="0"/>
    <s v="Yes"/>
    <x v="0"/>
    <n v="1"/>
    <s v="Female"/>
    <x v="0"/>
    <x v="5"/>
    <x v="1"/>
    <n v="8564"/>
    <n v="20"/>
    <x v="0"/>
    <n v="0"/>
    <n v="11"/>
    <n v="2"/>
    <n v="2"/>
    <x v="0"/>
    <n v="0"/>
    <x v="0"/>
    <s v="Bad"/>
    <x v="0"/>
    <x v="0"/>
    <x v="0"/>
    <x v="0"/>
    <x v="0"/>
  </r>
  <r>
    <x v="0"/>
    <s v="No"/>
    <x v="1"/>
    <n v="1"/>
    <s v="Male"/>
    <x v="1"/>
    <x v="1"/>
    <x v="0"/>
    <n v="2259"/>
    <n v="17"/>
    <x v="1"/>
    <n v="2"/>
    <n v="13"/>
    <n v="2"/>
    <n v="2"/>
    <x v="0"/>
    <n v="0"/>
    <x v="0"/>
    <s v="Bad"/>
    <x v="0"/>
    <x v="0"/>
    <x v="0"/>
    <x v="0"/>
    <x v="1"/>
  </r>
  <r>
    <x v="0"/>
    <s v="No"/>
    <x v="1"/>
    <n v="1"/>
    <s v="Female"/>
    <x v="1"/>
    <x v="1"/>
    <x v="1"/>
    <n v="2619"/>
    <n v="17"/>
    <x v="1"/>
    <n v="0"/>
    <n v="8"/>
    <n v="3"/>
    <n v="2"/>
    <x v="0"/>
    <n v="0"/>
    <x v="0"/>
    <s v="Bad"/>
    <x v="0"/>
    <x v="0"/>
    <x v="0"/>
    <x v="0"/>
    <x v="1"/>
  </r>
  <r>
    <x v="0"/>
    <s v="No"/>
    <x v="1"/>
    <n v="1"/>
    <s v="Female"/>
    <x v="2"/>
    <x v="6"/>
    <x v="2"/>
    <n v="6877"/>
    <n v="24"/>
    <x v="0"/>
    <n v="0"/>
    <n v="12"/>
    <n v="4"/>
    <n v="2"/>
    <x v="0"/>
    <n v="0"/>
    <x v="0"/>
    <s v="Bad"/>
    <x v="0"/>
    <x v="0"/>
    <x v="0"/>
    <x v="0"/>
    <x v="0"/>
  </r>
  <r>
    <x v="0"/>
    <s v="No"/>
    <x v="1"/>
    <n v="1"/>
    <s v="Female"/>
    <x v="1"/>
    <x v="2"/>
    <x v="0"/>
    <n v="3306"/>
    <n v="19"/>
    <x v="1"/>
    <n v="1"/>
    <n v="7"/>
    <n v="5"/>
    <n v="2"/>
    <x v="0"/>
    <n v="0"/>
    <x v="0"/>
    <s v="Bad"/>
    <x v="0"/>
    <x v="0"/>
    <x v="0"/>
    <x v="0"/>
    <x v="1"/>
  </r>
  <r>
    <x v="0"/>
    <s v="No"/>
    <x v="1"/>
    <n v="1"/>
    <s v="Male"/>
    <x v="1"/>
    <x v="1"/>
    <x v="2"/>
    <n v="1706"/>
    <n v="11"/>
    <x v="1"/>
    <n v="3"/>
    <n v="0"/>
    <n v="6"/>
    <n v="2"/>
    <x v="0"/>
    <n v="0"/>
    <x v="0"/>
    <s v="Bad"/>
    <x v="0"/>
    <x v="0"/>
    <x v="0"/>
    <x v="0"/>
    <x v="1"/>
  </r>
  <r>
    <x v="0"/>
    <s v="Yes"/>
    <x v="1"/>
    <n v="1"/>
    <s v="Male"/>
    <x v="1"/>
    <x v="2"/>
    <x v="0"/>
    <n v="1904"/>
    <n v="12"/>
    <x v="1"/>
    <n v="0"/>
    <n v="0"/>
    <n v="0"/>
    <n v="3"/>
    <x v="0"/>
    <n v="0"/>
    <x v="0"/>
    <s v="Good"/>
    <x v="0"/>
    <x v="0"/>
    <x v="0"/>
    <x v="0"/>
    <x v="1"/>
  </r>
  <r>
    <x v="0"/>
    <s v="No"/>
    <x v="0"/>
    <n v="1"/>
    <s v="Female"/>
    <x v="1"/>
    <x v="3"/>
    <x v="0"/>
    <n v="1200"/>
    <n v="12"/>
    <x v="1"/>
    <n v="0"/>
    <n v="0"/>
    <n v="2"/>
    <n v="3"/>
    <x v="0"/>
    <n v="0"/>
    <x v="0"/>
    <s v="Good"/>
    <x v="0"/>
    <x v="0"/>
    <x v="0"/>
    <x v="0"/>
    <x v="1"/>
  </r>
  <r>
    <x v="0"/>
    <s v="Yes"/>
    <x v="1"/>
    <n v="1"/>
    <s v="Male"/>
    <x v="1"/>
    <x v="2"/>
    <x v="0"/>
    <n v="1420"/>
    <n v="13"/>
    <x v="1"/>
    <n v="0"/>
    <n v="0"/>
    <n v="2"/>
    <n v="3"/>
    <x v="0"/>
    <n v="0"/>
    <x v="0"/>
    <s v="Good"/>
    <x v="0"/>
    <x v="0"/>
    <x v="0"/>
    <x v="0"/>
    <x v="1"/>
  </r>
  <r>
    <x v="0"/>
    <s v="No"/>
    <x v="1"/>
    <n v="1"/>
    <s v="Male"/>
    <x v="1"/>
    <x v="1"/>
    <x v="2"/>
    <n v="1051"/>
    <n v="15"/>
    <x v="1"/>
    <n v="0"/>
    <n v="0"/>
    <n v="2"/>
    <n v="3"/>
    <x v="0"/>
    <n v="0"/>
    <x v="0"/>
    <s v="Good"/>
    <x v="0"/>
    <x v="0"/>
    <x v="0"/>
    <x v="0"/>
    <x v="1"/>
  </r>
  <r>
    <x v="0"/>
    <s v="Yes"/>
    <x v="1"/>
    <n v="1"/>
    <s v="Male"/>
    <x v="1"/>
    <x v="2"/>
    <x v="1"/>
    <n v="1601"/>
    <n v="21"/>
    <x v="0"/>
    <n v="2"/>
    <n v="1"/>
    <n v="2"/>
    <n v="3"/>
    <x v="0"/>
    <n v="0"/>
    <x v="0"/>
    <s v="Good"/>
    <x v="0"/>
    <x v="0"/>
    <x v="0"/>
    <x v="0"/>
    <x v="0"/>
  </r>
  <r>
    <x v="0"/>
    <s v="No"/>
    <x v="0"/>
    <n v="1"/>
    <s v="Male"/>
    <x v="2"/>
    <x v="5"/>
    <x v="3"/>
    <n v="4327"/>
    <n v="12"/>
    <x v="1"/>
    <n v="3"/>
    <n v="5"/>
    <n v="2"/>
    <n v="3"/>
    <x v="0"/>
    <n v="0"/>
    <x v="0"/>
    <s v="Good"/>
    <x v="0"/>
    <x v="0"/>
    <x v="0"/>
    <x v="0"/>
    <x v="1"/>
  </r>
  <r>
    <x v="0"/>
    <s v="No"/>
    <x v="1"/>
    <n v="1"/>
    <s v="Male"/>
    <x v="1"/>
    <x v="1"/>
    <x v="2"/>
    <n v="2979"/>
    <n v="17"/>
    <x v="1"/>
    <n v="3"/>
    <n v="6"/>
    <n v="2"/>
    <n v="3"/>
    <x v="0"/>
    <n v="0"/>
    <x v="0"/>
    <s v="Good"/>
    <x v="0"/>
    <x v="0"/>
    <x v="0"/>
    <x v="0"/>
    <x v="1"/>
  </r>
  <r>
    <x v="0"/>
    <s v="Yes"/>
    <x v="0"/>
    <n v="1"/>
    <s v="Male"/>
    <x v="2"/>
    <x v="5"/>
    <x v="3"/>
    <n v="6735"/>
    <n v="15"/>
    <x v="1"/>
    <n v="0"/>
    <n v="10"/>
    <n v="2"/>
    <n v="3"/>
    <x v="0"/>
    <n v="0"/>
    <x v="0"/>
    <s v="Good"/>
    <x v="0"/>
    <x v="0"/>
    <x v="0"/>
    <x v="0"/>
    <x v="1"/>
  </r>
  <r>
    <x v="0"/>
    <s v="No"/>
    <x v="0"/>
    <n v="1"/>
    <s v="Male"/>
    <x v="2"/>
    <x v="5"/>
    <x v="3"/>
    <n v="6644"/>
    <n v="19"/>
    <x v="1"/>
    <n v="2"/>
    <n v="10"/>
    <n v="2"/>
    <n v="3"/>
    <x v="0"/>
    <n v="0"/>
    <x v="0"/>
    <s v="Good"/>
    <x v="0"/>
    <x v="0"/>
    <x v="0"/>
    <x v="0"/>
    <x v="1"/>
  </r>
  <r>
    <x v="0"/>
    <s v="Yes"/>
    <x v="0"/>
    <n v="1"/>
    <s v="Male"/>
    <x v="1"/>
    <x v="3"/>
    <x v="3"/>
    <n v="1878"/>
    <n v="14"/>
    <x v="1"/>
    <n v="0"/>
    <n v="0"/>
    <n v="3"/>
    <n v="3"/>
    <x v="0"/>
    <n v="0"/>
    <x v="0"/>
    <s v="Good"/>
    <x v="0"/>
    <x v="0"/>
    <x v="0"/>
    <x v="0"/>
    <x v="1"/>
  </r>
  <r>
    <x v="0"/>
    <s v="No"/>
    <x v="0"/>
    <n v="1"/>
    <s v="Male"/>
    <x v="1"/>
    <x v="3"/>
    <x v="1"/>
    <n v="2322"/>
    <n v="13"/>
    <x v="1"/>
    <n v="1"/>
    <n v="3"/>
    <n v="3"/>
    <n v="3"/>
    <x v="0"/>
    <n v="0"/>
    <x v="0"/>
    <s v="Good"/>
    <x v="0"/>
    <x v="0"/>
    <x v="0"/>
    <x v="0"/>
    <x v="1"/>
  </r>
  <r>
    <x v="0"/>
    <s v="No"/>
    <x v="0"/>
    <n v="1"/>
    <s v="Male"/>
    <x v="2"/>
    <x v="3"/>
    <x v="0"/>
    <n v="2976"/>
    <n v="19"/>
    <x v="1"/>
    <n v="0"/>
    <n v="5"/>
    <n v="3"/>
    <n v="3"/>
    <x v="0"/>
    <n v="0"/>
    <x v="0"/>
    <s v="Good"/>
    <x v="0"/>
    <x v="0"/>
    <x v="0"/>
    <x v="0"/>
    <x v="1"/>
  </r>
  <r>
    <x v="0"/>
    <s v="No"/>
    <x v="1"/>
    <n v="1"/>
    <s v="Male"/>
    <x v="1"/>
    <x v="1"/>
    <x v="0"/>
    <n v="2290"/>
    <n v="13"/>
    <x v="1"/>
    <n v="0"/>
    <n v="6"/>
    <n v="3"/>
    <n v="3"/>
    <x v="0"/>
    <n v="0"/>
    <x v="0"/>
    <s v="Good"/>
    <x v="0"/>
    <x v="0"/>
    <x v="0"/>
    <x v="0"/>
    <x v="1"/>
  </r>
  <r>
    <x v="0"/>
    <s v="No"/>
    <x v="0"/>
    <n v="1"/>
    <s v="Female"/>
    <x v="2"/>
    <x v="5"/>
    <x v="1"/>
    <n v="5380"/>
    <n v="16"/>
    <x v="1"/>
    <n v="1"/>
    <n v="6"/>
    <n v="3"/>
    <n v="3"/>
    <x v="0"/>
    <n v="0"/>
    <x v="0"/>
    <s v="Good"/>
    <x v="0"/>
    <x v="0"/>
    <x v="0"/>
    <x v="0"/>
    <x v="1"/>
  </r>
  <r>
    <x v="0"/>
    <s v="Yes"/>
    <x v="1"/>
    <n v="1"/>
    <s v="Male"/>
    <x v="1"/>
    <x v="2"/>
    <x v="0"/>
    <n v="2090"/>
    <n v="15"/>
    <x v="1"/>
    <n v="0"/>
    <n v="7"/>
    <n v="3"/>
    <n v="3"/>
    <x v="0"/>
    <n v="0"/>
    <x v="0"/>
    <s v="Good"/>
    <x v="0"/>
    <x v="0"/>
    <x v="0"/>
    <x v="0"/>
    <x v="1"/>
  </r>
  <r>
    <x v="0"/>
    <s v="No"/>
    <x v="1"/>
    <n v="1"/>
    <s v="Female"/>
    <x v="2"/>
    <x v="6"/>
    <x v="1"/>
    <n v="5121"/>
    <n v="14"/>
    <x v="1"/>
    <n v="1"/>
    <n v="7"/>
    <n v="3"/>
    <n v="3"/>
    <x v="0"/>
    <n v="0"/>
    <x v="0"/>
    <s v="Good"/>
    <x v="0"/>
    <x v="0"/>
    <x v="0"/>
    <x v="0"/>
    <x v="1"/>
  </r>
  <r>
    <x v="0"/>
    <s v="No"/>
    <x v="1"/>
    <n v="1"/>
    <s v="Male"/>
    <x v="1"/>
    <x v="2"/>
    <x v="0"/>
    <n v="3968"/>
    <n v="13"/>
    <x v="1"/>
    <n v="0"/>
    <n v="8"/>
    <n v="3"/>
    <n v="3"/>
    <x v="0"/>
    <n v="0"/>
    <x v="0"/>
    <s v="Good"/>
    <x v="0"/>
    <x v="0"/>
    <x v="0"/>
    <x v="0"/>
    <x v="1"/>
  </r>
  <r>
    <x v="0"/>
    <s v="Yes"/>
    <x v="0"/>
    <n v="1"/>
    <s v="Male"/>
    <x v="2"/>
    <x v="5"/>
    <x v="0"/>
    <n v="4728"/>
    <n v="14"/>
    <x v="1"/>
    <n v="0"/>
    <n v="5"/>
    <n v="4"/>
    <n v="3"/>
    <x v="0"/>
    <n v="0"/>
    <x v="0"/>
    <s v="Good"/>
    <x v="0"/>
    <x v="0"/>
    <x v="0"/>
    <x v="0"/>
    <x v="1"/>
  </r>
  <r>
    <x v="0"/>
    <s v="No"/>
    <x v="0"/>
    <n v="1"/>
    <s v="Male"/>
    <x v="2"/>
    <x v="5"/>
    <x v="2"/>
    <n v="5087"/>
    <n v="12"/>
    <x v="1"/>
    <n v="2"/>
    <n v="14"/>
    <n v="4"/>
    <n v="3"/>
    <x v="0"/>
    <n v="0"/>
    <x v="0"/>
    <s v="Good"/>
    <x v="0"/>
    <x v="0"/>
    <x v="0"/>
    <x v="0"/>
    <x v="1"/>
  </r>
  <r>
    <x v="0"/>
    <s v="No"/>
    <x v="1"/>
    <n v="1"/>
    <s v="Female"/>
    <x v="3"/>
    <x v="0"/>
    <x v="3"/>
    <n v="18061"/>
    <n v="22"/>
    <x v="0"/>
    <n v="0"/>
    <n v="22"/>
    <n v="4"/>
    <n v="3"/>
    <x v="0"/>
    <n v="0"/>
    <x v="0"/>
    <s v="Good"/>
    <x v="0"/>
    <x v="0"/>
    <x v="0"/>
    <x v="0"/>
    <x v="0"/>
  </r>
  <r>
    <x v="0"/>
    <s v="No"/>
    <x v="1"/>
    <n v="1"/>
    <s v="Female"/>
    <x v="1"/>
    <x v="2"/>
    <x v="2"/>
    <n v="2871"/>
    <n v="15"/>
    <x v="1"/>
    <n v="0"/>
    <n v="1"/>
    <n v="5"/>
    <n v="3"/>
    <x v="0"/>
    <n v="0"/>
    <x v="0"/>
    <s v="Good"/>
    <x v="0"/>
    <x v="0"/>
    <x v="0"/>
    <x v="0"/>
    <x v="1"/>
  </r>
  <r>
    <x v="0"/>
    <s v="Yes"/>
    <x v="1"/>
    <n v="1"/>
    <s v="Male"/>
    <x v="1"/>
    <x v="1"/>
    <x v="2"/>
    <n v="2853"/>
    <n v="11"/>
    <x v="1"/>
    <n v="1"/>
    <n v="1"/>
    <n v="5"/>
    <n v="3"/>
    <x v="0"/>
    <n v="0"/>
    <x v="0"/>
    <s v="Good"/>
    <x v="0"/>
    <x v="0"/>
    <x v="0"/>
    <x v="0"/>
    <x v="1"/>
  </r>
  <r>
    <x v="0"/>
    <s v="Yes"/>
    <x v="1"/>
    <n v="1"/>
    <s v="Female"/>
    <x v="1"/>
    <x v="1"/>
    <x v="1"/>
    <n v="2404"/>
    <n v="20"/>
    <x v="0"/>
    <n v="0"/>
    <n v="3"/>
    <n v="5"/>
    <n v="3"/>
    <x v="0"/>
    <n v="0"/>
    <x v="0"/>
    <s v="Good"/>
    <x v="0"/>
    <x v="0"/>
    <x v="0"/>
    <x v="0"/>
    <x v="0"/>
  </r>
  <r>
    <x v="0"/>
    <s v="No"/>
    <x v="0"/>
    <n v="1"/>
    <s v="Male"/>
    <x v="2"/>
    <x v="5"/>
    <x v="0"/>
    <n v="4306"/>
    <n v="12"/>
    <x v="1"/>
    <n v="2"/>
    <n v="8"/>
    <n v="5"/>
    <n v="3"/>
    <x v="0"/>
    <n v="0"/>
    <x v="0"/>
    <s v="Good"/>
    <x v="0"/>
    <x v="0"/>
    <x v="0"/>
    <x v="0"/>
    <x v="1"/>
  </r>
  <r>
    <x v="0"/>
    <s v="No"/>
    <x v="1"/>
    <n v="1"/>
    <s v="Male"/>
    <x v="1"/>
    <x v="1"/>
    <x v="2"/>
    <n v="1232"/>
    <n v="14"/>
    <x v="1"/>
    <n v="0"/>
    <n v="0"/>
    <n v="6"/>
    <n v="3"/>
    <x v="0"/>
    <n v="0"/>
    <x v="0"/>
    <s v="Good"/>
    <x v="0"/>
    <x v="0"/>
    <x v="0"/>
    <x v="0"/>
    <x v="1"/>
  </r>
  <r>
    <x v="0"/>
    <s v="No"/>
    <x v="1"/>
    <n v="1"/>
    <s v="Male"/>
    <x v="2"/>
    <x v="4"/>
    <x v="0"/>
    <n v="6388"/>
    <n v="17"/>
    <x v="1"/>
    <n v="0"/>
    <n v="14"/>
    <n v="6"/>
    <n v="3"/>
    <x v="0"/>
    <n v="0"/>
    <x v="0"/>
    <s v="Good"/>
    <x v="0"/>
    <x v="0"/>
    <x v="0"/>
    <x v="0"/>
    <x v="1"/>
  </r>
  <r>
    <x v="0"/>
    <s v="Yes"/>
    <x v="0"/>
    <n v="1"/>
    <s v="Female"/>
    <x v="1"/>
    <x v="3"/>
    <x v="2"/>
    <n v="1569"/>
    <n v="12"/>
    <x v="1"/>
    <n v="0"/>
    <n v="0"/>
    <n v="2"/>
    <n v="4"/>
    <x v="0"/>
    <n v="0"/>
    <x v="0"/>
    <s v="Good"/>
    <x v="0"/>
    <x v="0"/>
    <x v="0"/>
    <x v="0"/>
    <x v="1"/>
  </r>
  <r>
    <x v="0"/>
    <s v="No"/>
    <x v="0"/>
    <n v="1"/>
    <s v="Male"/>
    <x v="2"/>
    <x v="5"/>
    <x v="2"/>
    <n v="4648"/>
    <n v="13"/>
    <x v="1"/>
    <n v="0"/>
    <n v="4"/>
    <n v="2"/>
    <n v="4"/>
    <x v="0"/>
    <n v="0"/>
    <x v="0"/>
    <s v="Good"/>
    <x v="0"/>
    <x v="0"/>
    <x v="0"/>
    <x v="0"/>
    <x v="1"/>
  </r>
  <r>
    <x v="0"/>
    <s v="No"/>
    <x v="1"/>
    <n v="1"/>
    <s v="Male"/>
    <x v="0"/>
    <x v="7"/>
    <x v="1"/>
    <n v="13245"/>
    <n v="14"/>
    <x v="1"/>
    <n v="0"/>
    <n v="17"/>
    <n v="3"/>
    <n v="4"/>
    <x v="0"/>
    <n v="0"/>
    <x v="0"/>
    <s v="Good"/>
    <x v="0"/>
    <x v="0"/>
    <x v="0"/>
    <x v="0"/>
    <x v="1"/>
  </r>
  <r>
    <x v="0"/>
    <s v="No"/>
    <x v="1"/>
    <n v="1"/>
    <s v="Female"/>
    <x v="1"/>
    <x v="2"/>
    <x v="2"/>
    <n v="1611"/>
    <n v="15"/>
    <x v="1"/>
    <n v="0"/>
    <n v="0"/>
    <n v="5"/>
    <n v="4"/>
    <x v="0"/>
    <n v="0"/>
    <x v="0"/>
    <s v="Good"/>
    <x v="0"/>
    <x v="0"/>
    <x v="0"/>
    <x v="0"/>
    <x v="1"/>
  </r>
  <r>
    <x v="0"/>
    <s v="Yes"/>
    <x v="0"/>
    <n v="1"/>
    <s v="Female"/>
    <x v="1"/>
    <x v="3"/>
    <x v="1"/>
    <n v="2325"/>
    <n v="21"/>
    <x v="0"/>
    <n v="0"/>
    <n v="1"/>
    <n v="5"/>
    <n v="4"/>
    <x v="0"/>
    <n v="0"/>
    <x v="0"/>
    <s v="Good"/>
    <x v="0"/>
    <x v="0"/>
    <x v="0"/>
    <x v="0"/>
    <x v="0"/>
  </r>
  <r>
    <x v="0"/>
    <s v="No"/>
    <x v="1"/>
    <n v="1"/>
    <s v="Male"/>
    <x v="1"/>
    <x v="1"/>
    <x v="0"/>
    <n v="3057"/>
    <n v="13"/>
    <x v="1"/>
    <n v="1"/>
    <n v="6"/>
    <n v="0"/>
    <n v="1"/>
    <x v="1"/>
    <n v="0"/>
    <x v="0"/>
    <s v="Bad"/>
    <x v="0"/>
    <x v="0"/>
    <x v="0"/>
    <x v="0"/>
    <x v="1"/>
  </r>
  <r>
    <x v="0"/>
    <s v="Yes"/>
    <x v="1"/>
    <n v="1"/>
    <s v="Male"/>
    <x v="1"/>
    <x v="2"/>
    <x v="0"/>
    <n v="3161"/>
    <n v="22"/>
    <x v="0"/>
    <n v="1"/>
    <n v="19"/>
    <n v="0"/>
    <n v="1"/>
    <x v="1"/>
    <n v="0"/>
    <x v="0"/>
    <s v="Bad"/>
    <x v="0"/>
    <x v="0"/>
    <x v="0"/>
    <x v="0"/>
    <x v="0"/>
  </r>
  <r>
    <x v="0"/>
    <s v="Yes"/>
    <x v="1"/>
    <n v="1"/>
    <s v="Male"/>
    <x v="1"/>
    <x v="2"/>
    <x v="2"/>
    <n v="2795"/>
    <n v="24"/>
    <x v="0"/>
    <n v="0"/>
    <n v="1"/>
    <n v="2"/>
    <n v="1"/>
    <x v="1"/>
    <n v="0"/>
    <x v="0"/>
    <s v="Bad"/>
    <x v="0"/>
    <x v="0"/>
    <x v="0"/>
    <x v="0"/>
    <x v="0"/>
  </r>
  <r>
    <x v="0"/>
    <s v="No"/>
    <x v="1"/>
    <n v="1"/>
    <s v="Male"/>
    <x v="1"/>
    <x v="1"/>
    <x v="0"/>
    <n v="1563"/>
    <n v="14"/>
    <x v="1"/>
    <n v="1"/>
    <n v="1"/>
    <n v="2"/>
    <n v="1"/>
    <x v="1"/>
    <n v="0"/>
    <x v="0"/>
    <s v="Bad"/>
    <x v="0"/>
    <x v="0"/>
    <x v="0"/>
    <x v="0"/>
    <x v="1"/>
  </r>
  <r>
    <x v="0"/>
    <s v="Yes"/>
    <x v="1"/>
    <n v="1"/>
    <s v="Male"/>
    <x v="1"/>
    <x v="1"/>
    <x v="1"/>
    <n v="2107"/>
    <n v="17"/>
    <x v="1"/>
    <n v="1"/>
    <n v="5"/>
    <n v="2"/>
    <n v="1"/>
    <x v="1"/>
    <n v="0"/>
    <x v="0"/>
    <s v="Bad"/>
    <x v="0"/>
    <x v="0"/>
    <x v="0"/>
    <x v="0"/>
    <x v="1"/>
  </r>
  <r>
    <x v="0"/>
    <s v="Yes"/>
    <x v="1"/>
    <n v="1"/>
    <s v="Female"/>
    <x v="2"/>
    <x v="4"/>
    <x v="3"/>
    <n v="4777"/>
    <n v="15"/>
    <x v="1"/>
    <n v="0"/>
    <n v="15"/>
    <n v="2"/>
    <n v="1"/>
    <x v="1"/>
    <n v="0"/>
    <x v="0"/>
    <s v="Bad"/>
    <x v="0"/>
    <x v="0"/>
    <x v="0"/>
    <x v="0"/>
    <x v="1"/>
  </r>
  <r>
    <x v="0"/>
    <s v="Yes"/>
    <x v="1"/>
    <n v="1"/>
    <s v="Male"/>
    <x v="1"/>
    <x v="2"/>
    <x v="2"/>
    <n v="2340"/>
    <n v="18"/>
    <x v="1"/>
    <n v="0"/>
    <n v="1"/>
    <n v="3"/>
    <n v="1"/>
    <x v="1"/>
    <n v="0"/>
    <x v="0"/>
    <s v="Bad"/>
    <x v="0"/>
    <x v="0"/>
    <x v="0"/>
    <x v="0"/>
    <x v="1"/>
  </r>
  <r>
    <x v="0"/>
    <s v="Yes"/>
    <x v="1"/>
    <n v="1"/>
    <s v="Female"/>
    <x v="1"/>
    <x v="2"/>
    <x v="3"/>
    <n v="2210"/>
    <n v="13"/>
    <x v="1"/>
    <n v="1"/>
    <n v="1"/>
    <n v="3"/>
    <n v="1"/>
    <x v="1"/>
    <n v="0"/>
    <x v="0"/>
    <s v="Bad"/>
    <x v="0"/>
    <x v="0"/>
    <x v="0"/>
    <x v="0"/>
    <x v="1"/>
  </r>
  <r>
    <x v="0"/>
    <s v="No"/>
    <x v="0"/>
    <n v="1"/>
    <s v="Male"/>
    <x v="2"/>
    <x v="5"/>
    <x v="3"/>
    <n v="4978"/>
    <n v="11"/>
    <x v="1"/>
    <n v="1"/>
    <n v="4"/>
    <n v="3"/>
    <n v="1"/>
    <x v="1"/>
    <n v="0"/>
    <x v="0"/>
    <s v="Bad"/>
    <x v="0"/>
    <x v="0"/>
    <x v="0"/>
    <x v="0"/>
    <x v="1"/>
  </r>
  <r>
    <x v="0"/>
    <s v="No"/>
    <x v="1"/>
    <n v="1"/>
    <s v="Male"/>
    <x v="1"/>
    <x v="1"/>
    <x v="2"/>
    <n v="2972"/>
    <n v="13"/>
    <x v="1"/>
    <n v="0"/>
    <n v="1"/>
    <n v="4"/>
    <n v="1"/>
    <x v="1"/>
    <n v="0"/>
    <x v="0"/>
    <s v="Bad"/>
    <x v="0"/>
    <x v="0"/>
    <x v="0"/>
    <x v="0"/>
    <x v="1"/>
  </r>
  <r>
    <x v="0"/>
    <s v="No"/>
    <x v="1"/>
    <n v="1"/>
    <s v="Male"/>
    <x v="1"/>
    <x v="1"/>
    <x v="2"/>
    <n v="2723"/>
    <n v="11"/>
    <x v="1"/>
    <n v="0"/>
    <n v="1"/>
    <n v="0"/>
    <n v="2"/>
    <x v="1"/>
    <n v="0"/>
    <x v="0"/>
    <s v="Bad"/>
    <x v="0"/>
    <x v="0"/>
    <x v="0"/>
    <x v="0"/>
    <x v="1"/>
  </r>
  <r>
    <x v="0"/>
    <s v="Yes"/>
    <x v="1"/>
    <n v="1"/>
    <s v="Male"/>
    <x v="1"/>
    <x v="1"/>
    <x v="0"/>
    <n v="3388"/>
    <n v="17"/>
    <x v="1"/>
    <n v="1"/>
    <n v="2"/>
    <n v="0"/>
    <n v="2"/>
    <x v="1"/>
    <n v="0"/>
    <x v="0"/>
    <s v="Bad"/>
    <x v="0"/>
    <x v="0"/>
    <x v="0"/>
    <x v="0"/>
    <x v="1"/>
  </r>
  <r>
    <x v="0"/>
    <s v="No"/>
    <x v="1"/>
    <n v="1"/>
    <s v="Female"/>
    <x v="0"/>
    <x v="4"/>
    <x v="1"/>
    <n v="9985"/>
    <n v="16"/>
    <x v="1"/>
    <n v="1"/>
    <n v="10"/>
    <n v="1"/>
    <n v="2"/>
    <x v="1"/>
    <n v="0"/>
    <x v="0"/>
    <s v="Bad"/>
    <x v="0"/>
    <x v="0"/>
    <x v="0"/>
    <x v="0"/>
    <x v="1"/>
  </r>
  <r>
    <x v="0"/>
    <s v="Yes"/>
    <x v="1"/>
    <n v="1"/>
    <s v="Male"/>
    <x v="1"/>
    <x v="2"/>
    <x v="0"/>
    <n v="2293"/>
    <n v="12"/>
    <x v="1"/>
    <n v="0"/>
    <n v="1"/>
    <n v="2"/>
    <n v="2"/>
    <x v="1"/>
    <n v="0"/>
    <x v="0"/>
    <s v="Bad"/>
    <x v="0"/>
    <x v="0"/>
    <x v="0"/>
    <x v="0"/>
    <x v="1"/>
  </r>
  <r>
    <x v="0"/>
    <s v="No"/>
    <x v="1"/>
    <n v="1"/>
    <s v="Male"/>
    <x v="1"/>
    <x v="1"/>
    <x v="0"/>
    <n v="1274"/>
    <n v="13"/>
    <x v="1"/>
    <n v="2"/>
    <n v="1"/>
    <n v="2"/>
    <n v="2"/>
    <x v="1"/>
    <n v="0"/>
    <x v="0"/>
    <s v="Bad"/>
    <x v="0"/>
    <x v="0"/>
    <x v="0"/>
    <x v="0"/>
    <x v="1"/>
  </r>
  <r>
    <x v="0"/>
    <s v="No"/>
    <x v="1"/>
    <n v="1"/>
    <s v="Male"/>
    <x v="1"/>
    <x v="2"/>
    <x v="2"/>
    <n v="2935"/>
    <n v="13"/>
    <x v="1"/>
    <n v="2"/>
    <n v="1"/>
    <n v="2"/>
    <n v="2"/>
    <x v="1"/>
    <n v="0"/>
    <x v="0"/>
    <s v="Bad"/>
    <x v="0"/>
    <x v="0"/>
    <x v="0"/>
    <x v="0"/>
    <x v="1"/>
  </r>
  <r>
    <x v="0"/>
    <s v="No"/>
    <x v="1"/>
    <n v="1"/>
    <s v="Male"/>
    <x v="1"/>
    <x v="1"/>
    <x v="0"/>
    <n v="2451"/>
    <n v="18"/>
    <x v="1"/>
    <n v="2"/>
    <n v="5"/>
    <n v="2"/>
    <n v="2"/>
    <x v="1"/>
    <n v="0"/>
    <x v="0"/>
    <s v="Bad"/>
    <x v="0"/>
    <x v="0"/>
    <x v="0"/>
    <x v="0"/>
    <x v="1"/>
  </r>
  <r>
    <x v="0"/>
    <s v="No"/>
    <x v="0"/>
    <n v="1"/>
    <s v="Male"/>
    <x v="0"/>
    <x v="5"/>
    <x v="3"/>
    <n v="9705"/>
    <n v="12"/>
    <x v="1"/>
    <n v="1"/>
    <n v="11"/>
    <n v="2"/>
    <n v="2"/>
    <x v="1"/>
    <n v="0"/>
    <x v="0"/>
    <s v="Bad"/>
    <x v="0"/>
    <x v="0"/>
    <x v="0"/>
    <x v="0"/>
    <x v="1"/>
  </r>
  <r>
    <x v="0"/>
    <s v="No"/>
    <x v="1"/>
    <n v="1"/>
    <s v="Male"/>
    <x v="2"/>
    <x v="1"/>
    <x v="1"/>
    <n v="3072"/>
    <n v="16"/>
    <x v="1"/>
    <n v="2"/>
    <n v="17"/>
    <n v="2"/>
    <n v="2"/>
    <x v="1"/>
    <n v="0"/>
    <x v="0"/>
    <s v="Bad"/>
    <x v="0"/>
    <x v="0"/>
    <x v="0"/>
    <x v="0"/>
    <x v="1"/>
  </r>
  <r>
    <x v="0"/>
    <s v="No"/>
    <x v="1"/>
    <n v="1"/>
    <s v="Male"/>
    <x v="2"/>
    <x v="6"/>
    <x v="3"/>
    <n v="4197"/>
    <n v="12"/>
    <x v="1"/>
    <n v="0"/>
    <n v="18"/>
    <n v="2"/>
    <n v="2"/>
    <x v="1"/>
    <n v="0"/>
    <x v="0"/>
    <s v="Bad"/>
    <x v="0"/>
    <x v="0"/>
    <x v="0"/>
    <x v="0"/>
    <x v="1"/>
  </r>
  <r>
    <x v="0"/>
    <s v="Yes"/>
    <x v="0"/>
    <n v="1"/>
    <s v="Female"/>
    <x v="4"/>
    <x v="5"/>
    <x v="3"/>
    <n v="13194"/>
    <n v="16"/>
    <x v="1"/>
    <n v="0"/>
    <n v="22"/>
    <n v="2"/>
    <n v="2"/>
    <x v="1"/>
    <n v="0"/>
    <x v="0"/>
    <s v="Bad"/>
    <x v="0"/>
    <x v="0"/>
    <x v="0"/>
    <x v="0"/>
    <x v="1"/>
  </r>
  <r>
    <x v="0"/>
    <s v="No"/>
    <x v="0"/>
    <n v="1"/>
    <s v="Female"/>
    <x v="4"/>
    <x v="0"/>
    <x v="2"/>
    <n v="17875"/>
    <n v="13"/>
    <x v="1"/>
    <n v="1"/>
    <n v="29"/>
    <n v="2"/>
    <n v="2"/>
    <x v="1"/>
    <n v="0"/>
    <x v="0"/>
    <s v="Bad"/>
    <x v="0"/>
    <x v="0"/>
    <x v="0"/>
    <x v="0"/>
    <x v="1"/>
  </r>
  <r>
    <x v="0"/>
    <s v="Yes"/>
    <x v="0"/>
    <n v="1"/>
    <s v="Male"/>
    <x v="1"/>
    <x v="3"/>
    <x v="2"/>
    <n v="1081"/>
    <n v="13"/>
    <x v="1"/>
    <n v="0"/>
    <n v="1"/>
    <n v="3"/>
    <n v="2"/>
    <x v="1"/>
    <n v="0"/>
    <x v="0"/>
    <s v="Bad"/>
    <x v="0"/>
    <x v="0"/>
    <x v="0"/>
    <x v="0"/>
    <x v="1"/>
  </r>
  <r>
    <x v="0"/>
    <s v="Yes"/>
    <x v="1"/>
    <n v="1"/>
    <s v="Female"/>
    <x v="1"/>
    <x v="1"/>
    <x v="2"/>
    <n v="2693"/>
    <n v="19"/>
    <x v="1"/>
    <n v="0"/>
    <n v="1"/>
    <n v="3"/>
    <n v="2"/>
    <x v="1"/>
    <n v="0"/>
    <x v="0"/>
    <s v="Bad"/>
    <x v="0"/>
    <x v="0"/>
    <x v="0"/>
    <x v="0"/>
    <x v="1"/>
  </r>
  <r>
    <x v="0"/>
    <s v="Yes"/>
    <x v="1"/>
    <n v="1"/>
    <s v="Male"/>
    <x v="1"/>
    <x v="2"/>
    <x v="2"/>
    <n v="2380"/>
    <n v="14"/>
    <x v="1"/>
    <n v="1"/>
    <n v="3"/>
    <n v="3"/>
    <n v="2"/>
    <x v="1"/>
    <n v="0"/>
    <x v="0"/>
    <s v="Bad"/>
    <x v="0"/>
    <x v="0"/>
    <x v="0"/>
    <x v="0"/>
    <x v="1"/>
  </r>
  <r>
    <x v="0"/>
    <s v="No"/>
    <x v="1"/>
    <n v="1"/>
    <s v="Male"/>
    <x v="1"/>
    <x v="2"/>
    <x v="2"/>
    <n v="2406"/>
    <n v="19"/>
    <x v="1"/>
    <n v="2"/>
    <n v="8"/>
    <n v="3"/>
    <n v="2"/>
    <x v="1"/>
    <n v="0"/>
    <x v="0"/>
    <s v="Bad"/>
    <x v="0"/>
    <x v="0"/>
    <x v="0"/>
    <x v="0"/>
    <x v="1"/>
  </r>
  <r>
    <x v="0"/>
    <s v="Yes"/>
    <x v="1"/>
    <n v="1"/>
    <s v="Male"/>
    <x v="2"/>
    <x v="2"/>
    <x v="0"/>
    <n v="4834"/>
    <n v="14"/>
    <x v="1"/>
    <n v="1"/>
    <n v="9"/>
    <n v="3"/>
    <n v="2"/>
    <x v="1"/>
    <n v="0"/>
    <x v="0"/>
    <s v="Bad"/>
    <x v="0"/>
    <x v="0"/>
    <x v="0"/>
    <x v="0"/>
    <x v="1"/>
  </r>
  <r>
    <x v="0"/>
    <s v="No"/>
    <x v="1"/>
    <n v="1"/>
    <s v="Female"/>
    <x v="1"/>
    <x v="1"/>
    <x v="3"/>
    <n v="3346"/>
    <n v="20"/>
    <x v="0"/>
    <n v="1"/>
    <n v="9"/>
    <n v="3"/>
    <n v="2"/>
    <x v="1"/>
    <n v="0"/>
    <x v="0"/>
    <s v="Bad"/>
    <x v="0"/>
    <x v="0"/>
    <x v="0"/>
    <x v="0"/>
    <x v="0"/>
  </r>
  <r>
    <x v="0"/>
    <s v="Yes"/>
    <x v="0"/>
    <n v="1"/>
    <s v="Female"/>
    <x v="2"/>
    <x v="5"/>
    <x v="0"/>
    <n v="5238"/>
    <n v="18"/>
    <x v="1"/>
    <n v="0"/>
    <n v="12"/>
    <n v="3"/>
    <n v="2"/>
    <x v="1"/>
    <n v="0"/>
    <x v="0"/>
    <s v="Bad"/>
    <x v="0"/>
    <x v="0"/>
    <x v="0"/>
    <x v="0"/>
    <x v="1"/>
  </r>
  <r>
    <x v="0"/>
    <s v="No"/>
    <x v="1"/>
    <n v="1"/>
    <s v="Female"/>
    <x v="1"/>
    <x v="2"/>
    <x v="1"/>
    <n v="2670"/>
    <n v="20"/>
    <x v="0"/>
    <n v="3"/>
    <n v="12"/>
    <n v="3"/>
    <n v="2"/>
    <x v="1"/>
    <n v="0"/>
    <x v="0"/>
    <s v="Bad"/>
    <x v="0"/>
    <x v="0"/>
    <x v="0"/>
    <x v="0"/>
    <x v="0"/>
  </r>
  <r>
    <x v="0"/>
    <s v="No"/>
    <x v="0"/>
    <n v="1"/>
    <s v="Male"/>
    <x v="1"/>
    <x v="3"/>
    <x v="1"/>
    <n v="2858"/>
    <n v="14"/>
    <x v="1"/>
    <n v="0"/>
    <n v="20"/>
    <n v="3"/>
    <n v="2"/>
    <x v="1"/>
    <n v="0"/>
    <x v="0"/>
    <s v="Bad"/>
    <x v="0"/>
    <x v="0"/>
    <x v="0"/>
    <x v="0"/>
    <x v="1"/>
  </r>
  <r>
    <x v="0"/>
    <s v="No"/>
    <x v="1"/>
    <n v="1"/>
    <s v="Male"/>
    <x v="4"/>
    <x v="7"/>
    <x v="2"/>
    <n v="16627"/>
    <n v="14"/>
    <x v="1"/>
    <n v="1"/>
    <n v="21"/>
    <n v="3"/>
    <n v="2"/>
    <x v="1"/>
    <n v="0"/>
    <x v="0"/>
    <s v="Bad"/>
    <x v="0"/>
    <x v="0"/>
    <x v="0"/>
    <x v="0"/>
    <x v="1"/>
  </r>
  <r>
    <x v="0"/>
    <s v="No"/>
    <x v="0"/>
    <n v="1"/>
    <s v="Male"/>
    <x v="4"/>
    <x v="0"/>
    <x v="2"/>
    <n v="14118"/>
    <n v="12"/>
    <x v="1"/>
    <n v="1"/>
    <n v="32"/>
    <n v="3"/>
    <n v="2"/>
    <x v="1"/>
    <n v="0"/>
    <x v="0"/>
    <s v="Bad"/>
    <x v="0"/>
    <x v="0"/>
    <x v="0"/>
    <x v="0"/>
    <x v="1"/>
  </r>
  <r>
    <x v="0"/>
    <s v="No"/>
    <x v="1"/>
    <n v="1"/>
    <s v="Male"/>
    <x v="1"/>
    <x v="2"/>
    <x v="3"/>
    <n v="2559"/>
    <n v="11"/>
    <x v="1"/>
    <n v="0"/>
    <n v="7"/>
    <n v="4"/>
    <n v="2"/>
    <x v="1"/>
    <n v="0"/>
    <x v="0"/>
    <s v="Bad"/>
    <x v="0"/>
    <x v="0"/>
    <x v="0"/>
    <x v="0"/>
    <x v="1"/>
  </r>
  <r>
    <x v="0"/>
    <s v="No"/>
    <x v="0"/>
    <n v="1"/>
    <s v="Female"/>
    <x v="2"/>
    <x v="5"/>
    <x v="0"/>
    <n v="4768"/>
    <n v="12"/>
    <x v="1"/>
    <n v="1"/>
    <n v="11"/>
    <n v="4"/>
    <n v="2"/>
    <x v="1"/>
    <n v="0"/>
    <x v="0"/>
    <s v="Bad"/>
    <x v="0"/>
    <x v="0"/>
    <x v="0"/>
    <x v="0"/>
    <x v="1"/>
  </r>
  <r>
    <x v="0"/>
    <s v="No"/>
    <x v="1"/>
    <n v="1"/>
    <s v="Male"/>
    <x v="1"/>
    <x v="2"/>
    <x v="2"/>
    <n v="2690"/>
    <n v="18"/>
    <x v="1"/>
    <n v="1"/>
    <n v="1"/>
    <n v="5"/>
    <n v="2"/>
    <x v="1"/>
    <n v="0"/>
    <x v="0"/>
    <s v="Bad"/>
    <x v="0"/>
    <x v="0"/>
    <x v="0"/>
    <x v="0"/>
    <x v="1"/>
  </r>
  <r>
    <x v="0"/>
    <s v="No"/>
    <x v="1"/>
    <n v="1"/>
    <s v="Female"/>
    <x v="1"/>
    <x v="1"/>
    <x v="0"/>
    <n v="2585"/>
    <n v="17"/>
    <x v="1"/>
    <n v="0"/>
    <n v="2"/>
    <n v="5"/>
    <n v="2"/>
    <x v="1"/>
    <n v="0"/>
    <x v="0"/>
    <s v="Bad"/>
    <x v="0"/>
    <x v="0"/>
    <x v="0"/>
    <x v="0"/>
    <x v="1"/>
  </r>
  <r>
    <x v="0"/>
    <s v="Yes"/>
    <x v="0"/>
    <n v="1"/>
    <s v="Female"/>
    <x v="1"/>
    <x v="3"/>
    <x v="3"/>
    <n v="2716"/>
    <n v="15"/>
    <x v="1"/>
    <n v="0"/>
    <n v="1"/>
    <n v="0"/>
    <n v="3"/>
    <x v="1"/>
    <n v="0"/>
    <x v="0"/>
    <s v="Good"/>
    <x v="0"/>
    <x v="0"/>
    <x v="0"/>
    <x v="0"/>
    <x v="1"/>
  </r>
  <r>
    <x v="0"/>
    <s v="Yes"/>
    <x v="1"/>
    <n v="1"/>
    <s v="Female"/>
    <x v="1"/>
    <x v="2"/>
    <x v="1"/>
    <n v="2319"/>
    <n v="11"/>
    <x v="1"/>
    <n v="1"/>
    <n v="1"/>
    <n v="1"/>
    <n v="3"/>
    <x v="1"/>
    <n v="0"/>
    <x v="0"/>
    <s v="Good"/>
    <x v="0"/>
    <x v="0"/>
    <x v="0"/>
    <x v="0"/>
    <x v="1"/>
  </r>
  <r>
    <x v="0"/>
    <s v="Yes"/>
    <x v="1"/>
    <n v="1"/>
    <s v="Male"/>
    <x v="2"/>
    <x v="6"/>
    <x v="0"/>
    <n v="5916"/>
    <n v="13"/>
    <x v="1"/>
    <n v="0"/>
    <n v="8"/>
    <n v="1"/>
    <n v="3"/>
    <x v="1"/>
    <n v="0"/>
    <x v="0"/>
    <s v="Good"/>
    <x v="0"/>
    <x v="0"/>
    <x v="0"/>
    <x v="0"/>
    <x v="1"/>
  </r>
  <r>
    <x v="0"/>
    <s v="No"/>
    <x v="1"/>
    <n v="1"/>
    <s v="Male"/>
    <x v="1"/>
    <x v="1"/>
    <x v="3"/>
    <n v="3022"/>
    <n v="21"/>
    <x v="0"/>
    <n v="0"/>
    <n v="8"/>
    <n v="1"/>
    <n v="3"/>
    <x v="1"/>
    <n v="0"/>
    <x v="0"/>
    <s v="Good"/>
    <x v="0"/>
    <x v="0"/>
    <x v="0"/>
    <x v="0"/>
    <x v="0"/>
  </r>
  <r>
    <x v="0"/>
    <s v="No"/>
    <x v="1"/>
    <n v="1"/>
    <s v="Male"/>
    <x v="2"/>
    <x v="6"/>
    <x v="2"/>
    <n v="9679"/>
    <n v="24"/>
    <x v="0"/>
    <n v="0"/>
    <n v="8"/>
    <n v="1"/>
    <n v="3"/>
    <x v="1"/>
    <n v="0"/>
    <x v="0"/>
    <s v="Good"/>
    <x v="0"/>
    <x v="0"/>
    <x v="0"/>
    <x v="0"/>
    <x v="0"/>
  </r>
  <r>
    <x v="0"/>
    <s v="No"/>
    <x v="0"/>
    <n v="1"/>
    <s v="Male"/>
    <x v="2"/>
    <x v="5"/>
    <x v="2"/>
    <n v="6861"/>
    <n v="12"/>
    <x v="1"/>
    <n v="0"/>
    <n v="19"/>
    <n v="1"/>
    <n v="3"/>
    <x v="1"/>
    <n v="0"/>
    <x v="0"/>
    <s v="Good"/>
    <x v="0"/>
    <x v="0"/>
    <x v="0"/>
    <x v="0"/>
    <x v="1"/>
  </r>
  <r>
    <x v="0"/>
    <s v="Yes"/>
    <x v="1"/>
    <n v="1"/>
    <s v="Male"/>
    <x v="1"/>
    <x v="2"/>
    <x v="3"/>
    <n v="1393"/>
    <n v="12"/>
    <x v="1"/>
    <n v="0"/>
    <n v="1"/>
    <n v="2"/>
    <n v="3"/>
    <x v="1"/>
    <n v="0"/>
    <x v="0"/>
    <s v="Good"/>
    <x v="0"/>
    <x v="0"/>
    <x v="0"/>
    <x v="0"/>
    <x v="1"/>
  </r>
  <r>
    <x v="0"/>
    <s v="Yes"/>
    <x v="2"/>
    <n v="1"/>
    <s v="Female"/>
    <x v="1"/>
    <x v="8"/>
    <x v="3"/>
    <n v="2863"/>
    <n v="12"/>
    <x v="1"/>
    <n v="0"/>
    <n v="1"/>
    <n v="2"/>
    <n v="3"/>
    <x v="1"/>
    <n v="0"/>
    <x v="0"/>
    <s v="Good"/>
    <x v="0"/>
    <x v="0"/>
    <x v="0"/>
    <x v="0"/>
    <x v="1"/>
  </r>
  <r>
    <x v="0"/>
    <s v="No"/>
    <x v="1"/>
    <n v="1"/>
    <s v="Female"/>
    <x v="1"/>
    <x v="1"/>
    <x v="2"/>
    <n v="2994"/>
    <n v="12"/>
    <x v="1"/>
    <n v="0"/>
    <n v="1"/>
    <n v="2"/>
    <n v="3"/>
    <x v="1"/>
    <n v="0"/>
    <x v="0"/>
    <s v="Good"/>
    <x v="0"/>
    <x v="0"/>
    <x v="0"/>
    <x v="0"/>
    <x v="1"/>
  </r>
  <r>
    <x v="0"/>
    <s v="Yes"/>
    <x v="0"/>
    <n v="1"/>
    <s v="Female"/>
    <x v="1"/>
    <x v="3"/>
    <x v="0"/>
    <n v="2851"/>
    <n v="13"/>
    <x v="1"/>
    <n v="0"/>
    <n v="1"/>
    <n v="2"/>
    <n v="3"/>
    <x v="1"/>
    <n v="0"/>
    <x v="0"/>
    <s v="Good"/>
    <x v="0"/>
    <x v="0"/>
    <x v="0"/>
    <x v="0"/>
    <x v="1"/>
  </r>
  <r>
    <x v="0"/>
    <s v="No"/>
    <x v="1"/>
    <n v="1"/>
    <s v="Male"/>
    <x v="1"/>
    <x v="1"/>
    <x v="1"/>
    <n v="2956"/>
    <n v="13"/>
    <x v="1"/>
    <n v="0"/>
    <n v="1"/>
    <n v="2"/>
    <n v="3"/>
    <x v="1"/>
    <n v="0"/>
    <x v="0"/>
    <s v="Good"/>
    <x v="0"/>
    <x v="0"/>
    <x v="0"/>
    <x v="0"/>
    <x v="1"/>
  </r>
  <r>
    <x v="0"/>
    <s v="Yes"/>
    <x v="1"/>
    <n v="1"/>
    <s v="Female"/>
    <x v="1"/>
    <x v="1"/>
    <x v="1"/>
    <n v="2600"/>
    <n v="15"/>
    <x v="1"/>
    <n v="0"/>
    <n v="1"/>
    <n v="2"/>
    <n v="3"/>
    <x v="1"/>
    <n v="0"/>
    <x v="0"/>
    <s v="Good"/>
    <x v="0"/>
    <x v="0"/>
    <x v="0"/>
    <x v="0"/>
    <x v="1"/>
  </r>
  <r>
    <x v="0"/>
    <s v="No"/>
    <x v="1"/>
    <n v="1"/>
    <s v="Male"/>
    <x v="1"/>
    <x v="2"/>
    <x v="2"/>
    <n v="2269"/>
    <n v="19"/>
    <x v="1"/>
    <n v="0"/>
    <n v="1"/>
    <n v="2"/>
    <n v="3"/>
    <x v="1"/>
    <n v="0"/>
    <x v="0"/>
    <s v="Good"/>
    <x v="0"/>
    <x v="0"/>
    <x v="0"/>
    <x v="0"/>
    <x v="1"/>
  </r>
  <r>
    <x v="0"/>
    <s v="Yes"/>
    <x v="1"/>
    <n v="1"/>
    <s v="Male"/>
    <x v="1"/>
    <x v="2"/>
    <x v="1"/>
    <n v="2973"/>
    <n v="19"/>
    <x v="1"/>
    <n v="0"/>
    <n v="1"/>
    <n v="2"/>
    <n v="3"/>
    <x v="1"/>
    <n v="0"/>
    <x v="0"/>
    <s v="Good"/>
    <x v="0"/>
    <x v="0"/>
    <x v="0"/>
    <x v="0"/>
    <x v="1"/>
  </r>
  <r>
    <x v="0"/>
    <s v="Yes"/>
    <x v="1"/>
    <n v="1"/>
    <s v="Male"/>
    <x v="1"/>
    <x v="1"/>
    <x v="3"/>
    <n v="2472"/>
    <n v="23"/>
    <x v="0"/>
    <n v="0"/>
    <n v="1"/>
    <n v="2"/>
    <n v="3"/>
    <x v="1"/>
    <n v="0"/>
    <x v="0"/>
    <s v="Good"/>
    <x v="0"/>
    <x v="0"/>
    <x v="0"/>
    <x v="0"/>
    <x v="0"/>
  </r>
  <r>
    <x v="0"/>
    <s v="Yes"/>
    <x v="2"/>
    <n v="1"/>
    <s v="Male"/>
    <x v="1"/>
    <x v="8"/>
    <x v="0"/>
    <n v="1555"/>
    <n v="11"/>
    <x v="1"/>
    <n v="1"/>
    <n v="1"/>
    <n v="2"/>
    <n v="3"/>
    <x v="1"/>
    <n v="0"/>
    <x v="0"/>
    <s v="Good"/>
    <x v="0"/>
    <x v="0"/>
    <x v="0"/>
    <x v="0"/>
    <x v="1"/>
  </r>
  <r>
    <x v="0"/>
    <s v="Yes"/>
    <x v="1"/>
    <n v="1"/>
    <s v="Female"/>
    <x v="1"/>
    <x v="2"/>
    <x v="1"/>
    <n v="2074"/>
    <n v="12"/>
    <x v="1"/>
    <n v="1"/>
    <n v="1"/>
    <n v="2"/>
    <n v="3"/>
    <x v="1"/>
    <n v="0"/>
    <x v="0"/>
    <s v="Good"/>
    <x v="0"/>
    <x v="0"/>
    <x v="0"/>
    <x v="0"/>
    <x v="1"/>
  </r>
  <r>
    <x v="0"/>
    <s v="No"/>
    <x v="0"/>
    <n v="1"/>
    <s v="Female"/>
    <x v="1"/>
    <x v="3"/>
    <x v="3"/>
    <n v="2033"/>
    <n v="13"/>
    <x v="1"/>
    <n v="1"/>
    <n v="1"/>
    <n v="2"/>
    <n v="3"/>
    <x v="1"/>
    <n v="0"/>
    <x v="0"/>
    <s v="Good"/>
    <x v="0"/>
    <x v="0"/>
    <x v="0"/>
    <x v="0"/>
    <x v="1"/>
  </r>
  <r>
    <x v="0"/>
    <s v="No"/>
    <x v="1"/>
    <n v="1"/>
    <s v="Female"/>
    <x v="1"/>
    <x v="1"/>
    <x v="1"/>
    <n v="2109"/>
    <n v="13"/>
    <x v="1"/>
    <n v="1"/>
    <n v="1"/>
    <n v="2"/>
    <n v="3"/>
    <x v="1"/>
    <n v="0"/>
    <x v="0"/>
    <s v="Good"/>
    <x v="0"/>
    <x v="0"/>
    <x v="0"/>
    <x v="0"/>
    <x v="1"/>
  </r>
  <r>
    <x v="0"/>
    <s v="No"/>
    <x v="1"/>
    <n v="1"/>
    <s v="Female"/>
    <x v="1"/>
    <x v="1"/>
    <x v="0"/>
    <n v="2083"/>
    <n v="20"/>
    <x v="0"/>
    <n v="1"/>
    <n v="1"/>
    <n v="2"/>
    <n v="3"/>
    <x v="1"/>
    <n v="0"/>
    <x v="0"/>
    <s v="Good"/>
    <x v="0"/>
    <x v="0"/>
    <x v="0"/>
    <x v="0"/>
    <x v="0"/>
  </r>
  <r>
    <x v="0"/>
    <s v="No"/>
    <x v="1"/>
    <n v="1"/>
    <s v="Male"/>
    <x v="1"/>
    <x v="2"/>
    <x v="3"/>
    <n v="2127"/>
    <n v="21"/>
    <x v="0"/>
    <n v="1"/>
    <n v="1"/>
    <n v="2"/>
    <n v="3"/>
    <x v="1"/>
    <n v="0"/>
    <x v="0"/>
    <s v="Good"/>
    <x v="0"/>
    <x v="0"/>
    <x v="0"/>
    <x v="0"/>
    <x v="0"/>
  </r>
  <r>
    <x v="0"/>
    <s v="No"/>
    <x v="1"/>
    <n v="1"/>
    <s v="Male"/>
    <x v="1"/>
    <x v="1"/>
    <x v="0"/>
    <n v="1223"/>
    <n v="22"/>
    <x v="0"/>
    <n v="1"/>
    <n v="1"/>
    <n v="2"/>
    <n v="3"/>
    <x v="1"/>
    <n v="0"/>
    <x v="0"/>
    <s v="Good"/>
    <x v="0"/>
    <x v="0"/>
    <x v="0"/>
    <x v="0"/>
    <x v="0"/>
  </r>
  <r>
    <x v="0"/>
    <s v="No"/>
    <x v="1"/>
    <n v="1"/>
    <s v="Male"/>
    <x v="1"/>
    <x v="2"/>
    <x v="0"/>
    <n v="2693"/>
    <n v="22"/>
    <x v="0"/>
    <n v="1"/>
    <n v="1"/>
    <n v="2"/>
    <n v="3"/>
    <x v="1"/>
    <n v="0"/>
    <x v="0"/>
    <s v="Good"/>
    <x v="0"/>
    <x v="0"/>
    <x v="0"/>
    <x v="0"/>
    <x v="0"/>
  </r>
  <r>
    <x v="0"/>
    <s v="Yes"/>
    <x v="1"/>
    <n v="1"/>
    <s v="Male"/>
    <x v="1"/>
    <x v="2"/>
    <x v="3"/>
    <n v="2596"/>
    <n v="15"/>
    <x v="1"/>
    <n v="2"/>
    <n v="1"/>
    <n v="2"/>
    <n v="3"/>
    <x v="1"/>
    <n v="0"/>
    <x v="0"/>
    <s v="Good"/>
    <x v="0"/>
    <x v="0"/>
    <x v="0"/>
    <x v="0"/>
    <x v="1"/>
  </r>
  <r>
    <x v="0"/>
    <s v="Yes"/>
    <x v="0"/>
    <n v="1"/>
    <s v="Male"/>
    <x v="1"/>
    <x v="3"/>
    <x v="3"/>
    <n v="2413"/>
    <n v="18"/>
    <x v="1"/>
    <n v="3"/>
    <n v="1"/>
    <n v="2"/>
    <n v="3"/>
    <x v="1"/>
    <n v="0"/>
    <x v="0"/>
    <s v="Good"/>
    <x v="0"/>
    <x v="0"/>
    <x v="0"/>
    <x v="0"/>
    <x v="1"/>
  </r>
  <r>
    <x v="0"/>
    <s v="No"/>
    <x v="1"/>
    <n v="1"/>
    <s v="Male"/>
    <x v="1"/>
    <x v="1"/>
    <x v="2"/>
    <n v="4680"/>
    <n v="17"/>
    <x v="1"/>
    <n v="0"/>
    <n v="4"/>
    <n v="2"/>
    <n v="3"/>
    <x v="1"/>
    <n v="0"/>
    <x v="0"/>
    <s v="Good"/>
    <x v="0"/>
    <x v="0"/>
    <x v="0"/>
    <x v="0"/>
    <x v="1"/>
  </r>
  <r>
    <x v="0"/>
    <s v="No"/>
    <x v="1"/>
    <n v="1"/>
    <s v="Male"/>
    <x v="1"/>
    <x v="2"/>
    <x v="2"/>
    <n v="3688"/>
    <n v="18"/>
    <x v="1"/>
    <n v="2"/>
    <n v="4"/>
    <n v="2"/>
    <n v="3"/>
    <x v="1"/>
    <n v="0"/>
    <x v="0"/>
    <s v="Good"/>
    <x v="0"/>
    <x v="0"/>
    <x v="0"/>
    <x v="0"/>
    <x v="1"/>
  </r>
  <r>
    <x v="0"/>
    <s v="No"/>
    <x v="1"/>
    <n v="1"/>
    <s v="Female"/>
    <x v="1"/>
    <x v="2"/>
    <x v="2"/>
    <n v="2835"/>
    <n v="22"/>
    <x v="0"/>
    <n v="1"/>
    <n v="7"/>
    <n v="2"/>
    <n v="3"/>
    <x v="1"/>
    <n v="0"/>
    <x v="0"/>
    <s v="Good"/>
    <x v="0"/>
    <x v="0"/>
    <x v="0"/>
    <x v="0"/>
    <x v="0"/>
  </r>
  <r>
    <x v="0"/>
    <s v="No"/>
    <x v="0"/>
    <n v="1"/>
    <s v="Male"/>
    <x v="2"/>
    <x v="5"/>
    <x v="0"/>
    <n v="6334"/>
    <n v="19"/>
    <x v="1"/>
    <n v="2"/>
    <n v="9"/>
    <n v="2"/>
    <n v="3"/>
    <x v="1"/>
    <n v="0"/>
    <x v="0"/>
    <s v="Good"/>
    <x v="0"/>
    <x v="0"/>
    <x v="0"/>
    <x v="0"/>
    <x v="1"/>
  </r>
  <r>
    <x v="0"/>
    <s v="No"/>
    <x v="0"/>
    <n v="1"/>
    <s v="Male"/>
    <x v="0"/>
    <x v="5"/>
    <x v="3"/>
    <n v="7351"/>
    <n v="16"/>
    <x v="1"/>
    <n v="0"/>
    <n v="10"/>
    <n v="2"/>
    <n v="3"/>
    <x v="1"/>
    <n v="0"/>
    <x v="0"/>
    <s v="Good"/>
    <x v="0"/>
    <x v="0"/>
    <x v="0"/>
    <x v="0"/>
    <x v="1"/>
  </r>
  <r>
    <x v="0"/>
    <s v="No"/>
    <x v="1"/>
    <n v="1"/>
    <s v="Male"/>
    <x v="2"/>
    <x v="6"/>
    <x v="0"/>
    <n v="6132"/>
    <n v="17"/>
    <x v="1"/>
    <n v="0"/>
    <n v="10"/>
    <n v="2"/>
    <n v="3"/>
    <x v="1"/>
    <n v="0"/>
    <x v="0"/>
    <s v="Good"/>
    <x v="0"/>
    <x v="0"/>
    <x v="0"/>
    <x v="0"/>
    <x v="1"/>
  </r>
  <r>
    <x v="0"/>
    <s v="Yes"/>
    <x v="0"/>
    <n v="1"/>
    <s v="Male"/>
    <x v="0"/>
    <x v="5"/>
    <x v="0"/>
    <n v="8161"/>
    <n v="13"/>
    <x v="1"/>
    <n v="3"/>
    <n v="10"/>
    <n v="2"/>
    <n v="3"/>
    <x v="1"/>
    <n v="0"/>
    <x v="0"/>
    <s v="Good"/>
    <x v="0"/>
    <x v="0"/>
    <x v="0"/>
    <x v="0"/>
    <x v="1"/>
  </r>
  <r>
    <x v="0"/>
    <s v="Yes"/>
    <x v="1"/>
    <n v="1"/>
    <s v="Male"/>
    <x v="0"/>
    <x v="4"/>
    <x v="0"/>
    <n v="9824"/>
    <n v="12"/>
    <x v="1"/>
    <n v="0"/>
    <n v="12"/>
    <n v="2"/>
    <n v="3"/>
    <x v="1"/>
    <n v="0"/>
    <x v="0"/>
    <s v="Good"/>
    <x v="0"/>
    <x v="0"/>
    <x v="0"/>
    <x v="0"/>
    <x v="1"/>
  </r>
  <r>
    <x v="0"/>
    <s v="No"/>
    <x v="1"/>
    <n v="1"/>
    <s v="Female"/>
    <x v="2"/>
    <x v="1"/>
    <x v="3"/>
    <n v="6962"/>
    <n v="22"/>
    <x v="0"/>
    <n v="1"/>
    <n v="15"/>
    <n v="2"/>
    <n v="3"/>
    <x v="1"/>
    <n v="0"/>
    <x v="0"/>
    <s v="Good"/>
    <x v="0"/>
    <x v="0"/>
    <x v="0"/>
    <x v="0"/>
    <x v="0"/>
  </r>
  <r>
    <x v="0"/>
    <s v="No"/>
    <x v="1"/>
    <n v="1"/>
    <s v="Female"/>
    <x v="4"/>
    <x v="7"/>
    <x v="2"/>
    <n v="15992"/>
    <n v="14"/>
    <x v="1"/>
    <n v="0"/>
    <n v="16"/>
    <n v="2"/>
    <n v="3"/>
    <x v="1"/>
    <n v="0"/>
    <x v="0"/>
    <s v="Good"/>
    <x v="0"/>
    <x v="0"/>
    <x v="0"/>
    <x v="0"/>
    <x v="1"/>
  </r>
  <r>
    <x v="0"/>
    <s v="Yes"/>
    <x v="1"/>
    <n v="1"/>
    <s v="Male"/>
    <x v="2"/>
    <x v="4"/>
    <x v="1"/>
    <n v="6673"/>
    <n v="19"/>
    <x v="1"/>
    <n v="0"/>
    <n v="17"/>
    <n v="2"/>
    <n v="3"/>
    <x v="1"/>
    <n v="0"/>
    <x v="0"/>
    <s v="Good"/>
    <x v="0"/>
    <x v="0"/>
    <x v="0"/>
    <x v="0"/>
    <x v="1"/>
  </r>
  <r>
    <x v="0"/>
    <s v="No"/>
    <x v="1"/>
    <n v="1"/>
    <s v="Female"/>
    <x v="2"/>
    <x v="1"/>
    <x v="3"/>
    <n v="2372"/>
    <n v="16"/>
    <x v="1"/>
    <n v="0"/>
    <n v="18"/>
    <n v="2"/>
    <n v="3"/>
    <x v="1"/>
    <n v="0"/>
    <x v="0"/>
    <s v="Good"/>
    <x v="0"/>
    <x v="0"/>
    <x v="0"/>
    <x v="0"/>
    <x v="1"/>
  </r>
  <r>
    <x v="0"/>
    <s v="No"/>
    <x v="0"/>
    <n v="1"/>
    <s v="Male"/>
    <x v="0"/>
    <x v="5"/>
    <x v="1"/>
    <n v="10932"/>
    <n v="15"/>
    <x v="1"/>
    <n v="1"/>
    <n v="20"/>
    <n v="2"/>
    <n v="3"/>
    <x v="1"/>
    <n v="0"/>
    <x v="0"/>
    <s v="Good"/>
    <x v="0"/>
    <x v="0"/>
    <x v="0"/>
    <x v="0"/>
    <x v="1"/>
  </r>
  <r>
    <x v="0"/>
    <s v="Yes"/>
    <x v="1"/>
    <n v="1"/>
    <s v="Male"/>
    <x v="0"/>
    <x v="2"/>
    <x v="0"/>
    <n v="5381"/>
    <n v="13"/>
    <x v="1"/>
    <n v="0"/>
    <n v="23"/>
    <n v="2"/>
    <n v="3"/>
    <x v="1"/>
    <n v="0"/>
    <x v="0"/>
    <s v="Good"/>
    <x v="0"/>
    <x v="0"/>
    <x v="0"/>
    <x v="0"/>
    <x v="1"/>
  </r>
  <r>
    <x v="0"/>
    <s v="No"/>
    <x v="1"/>
    <n v="1"/>
    <s v="Male"/>
    <x v="3"/>
    <x v="0"/>
    <x v="2"/>
    <n v="19613"/>
    <n v="22"/>
    <x v="0"/>
    <n v="0"/>
    <n v="24"/>
    <n v="2"/>
    <n v="3"/>
    <x v="1"/>
    <n v="0"/>
    <x v="0"/>
    <s v="Good"/>
    <x v="0"/>
    <x v="0"/>
    <x v="0"/>
    <x v="0"/>
    <x v="0"/>
  </r>
  <r>
    <x v="0"/>
    <s v="No"/>
    <x v="1"/>
    <n v="1"/>
    <s v="Male"/>
    <x v="0"/>
    <x v="1"/>
    <x v="1"/>
    <n v="9724"/>
    <n v="17"/>
    <x v="1"/>
    <n v="1"/>
    <n v="25"/>
    <n v="2"/>
    <n v="3"/>
    <x v="1"/>
    <n v="0"/>
    <x v="0"/>
    <s v="Good"/>
    <x v="0"/>
    <x v="0"/>
    <x v="0"/>
    <x v="0"/>
    <x v="1"/>
  </r>
  <r>
    <x v="0"/>
    <s v="No"/>
    <x v="0"/>
    <n v="1"/>
    <s v="Male"/>
    <x v="3"/>
    <x v="0"/>
    <x v="0"/>
    <n v="19331"/>
    <n v="16"/>
    <x v="1"/>
    <n v="1"/>
    <n v="27"/>
    <n v="2"/>
    <n v="3"/>
    <x v="1"/>
    <n v="0"/>
    <x v="0"/>
    <s v="Good"/>
    <x v="0"/>
    <x v="0"/>
    <x v="0"/>
    <x v="0"/>
    <x v="1"/>
  </r>
  <r>
    <x v="0"/>
    <s v="No"/>
    <x v="1"/>
    <n v="1"/>
    <s v="Male"/>
    <x v="3"/>
    <x v="7"/>
    <x v="1"/>
    <n v="19038"/>
    <n v="12"/>
    <x v="1"/>
    <n v="3"/>
    <n v="34"/>
    <n v="2"/>
    <n v="3"/>
    <x v="1"/>
    <n v="0"/>
    <x v="0"/>
    <s v="Good"/>
    <x v="0"/>
    <x v="0"/>
    <x v="0"/>
    <x v="0"/>
    <x v="1"/>
  </r>
  <r>
    <x v="0"/>
    <s v="No"/>
    <x v="2"/>
    <n v="1"/>
    <s v="Male"/>
    <x v="1"/>
    <x v="8"/>
    <x v="3"/>
    <n v="2804"/>
    <n v="11"/>
    <x v="1"/>
    <n v="0"/>
    <n v="1"/>
    <n v="3"/>
    <n v="3"/>
    <x v="1"/>
    <n v="0"/>
    <x v="0"/>
    <s v="Good"/>
    <x v="0"/>
    <x v="0"/>
    <x v="0"/>
    <x v="0"/>
    <x v="1"/>
  </r>
  <r>
    <x v="0"/>
    <s v="Yes"/>
    <x v="0"/>
    <n v="1"/>
    <s v="Female"/>
    <x v="1"/>
    <x v="3"/>
    <x v="0"/>
    <n v="1359"/>
    <n v="12"/>
    <x v="1"/>
    <n v="0"/>
    <n v="1"/>
    <n v="3"/>
    <n v="3"/>
    <x v="1"/>
    <n v="0"/>
    <x v="0"/>
    <s v="Good"/>
    <x v="0"/>
    <x v="0"/>
    <x v="0"/>
    <x v="0"/>
    <x v="1"/>
  </r>
  <r>
    <x v="0"/>
    <s v="No"/>
    <x v="1"/>
    <n v="1"/>
    <s v="Female"/>
    <x v="1"/>
    <x v="2"/>
    <x v="3"/>
    <n v="1483"/>
    <n v="14"/>
    <x v="1"/>
    <n v="0"/>
    <n v="1"/>
    <n v="3"/>
    <n v="3"/>
    <x v="1"/>
    <n v="0"/>
    <x v="0"/>
    <s v="Good"/>
    <x v="0"/>
    <x v="0"/>
    <x v="0"/>
    <x v="0"/>
    <x v="1"/>
  </r>
  <r>
    <x v="0"/>
    <s v="No"/>
    <x v="1"/>
    <n v="1"/>
    <s v="Female"/>
    <x v="1"/>
    <x v="1"/>
    <x v="0"/>
    <n v="2274"/>
    <n v="14"/>
    <x v="1"/>
    <n v="0"/>
    <n v="1"/>
    <n v="3"/>
    <n v="3"/>
    <x v="1"/>
    <n v="0"/>
    <x v="0"/>
    <s v="Good"/>
    <x v="0"/>
    <x v="0"/>
    <x v="0"/>
    <x v="0"/>
    <x v="1"/>
  </r>
  <r>
    <x v="0"/>
    <s v="Yes"/>
    <x v="0"/>
    <n v="1"/>
    <s v="Male"/>
    <x v="1"/>
    <x v="3"/>
    <x v="1"/>
    <n v="1091"/>
    <n v="17"/>
    <x v="1"/>
    <n v="0"/>
    <n v="1"/>
    <n v="3"/>
    <n v="3"/>
    <x v="1"/>
    <n v="0"/>
    <x v="0"/>
    <s v="Good"/>
    <x v="0"/>
    <x v="0"/>
    <x v="0"/>
    <x v="0"/>
    <x v="1"/>
  </r>
  <r>
    <x v="0"/>
    <s v="No"/>
    <x v="1"/>
    <n v="1"/>
    <s v="Male"/>
    <x v="1"/>
    <x v="2"/>
    <x v="2"/>
    <n v="1951"/>
    <n v="12"/>
    <x v="1"/>
    <n v="1"/>
    <n v="1"/>
    <n v="3"/>
    <n v="3"/>
    <x v="1"/>
    <n v="0"/>
    <x v="0"/>
    <s v="Good"/>
    <x v="0"/>
    <x v="0"/>
    <x v="0"/>
    <x v="0"/>
    <x v="1"/>
  </r>
  <r>
    <x v="0"/>
    <s v="No"/>
    <x v="0"/>
    <n v="1"/>
    <s v="Male"/>
    <x v="1"/>
    <x v="3"/>
    <x v="0"/>
    <n v="2404"/>
    <n v="13"/>
    <x v="1"/>
    <n v="1"/>
    <n v="1"/>
    <n v="3"/>
    <n v="3"/>
    <x v="1"/>
    <n v="0"/>
    <x v="0"/>
    <s v="Good"/>
    <x v="0"/>
    <x v="0"/>
    <x v="0"/>
    <x v="0"/>
    <x v="1"/>
  </r>
  <r>
    <x v="0"/>
    <s v="No"/>
    <x v="0"/>
    <n v="1"/>
    <s v="Male"/>
    <x v="1"/>
    <x v="3"/>
    <x v="3"/>
    <n v="2476"/>
    <n v="18"/>
    <x v="1"/>
    <n v="1"/>
    <n v="1"/>
    <n v="3"/>
    <n v="3"/>
    <x v="1"/>
    <n v="0"/>
    <x v="0"/>
    <s v="Good"/>
    <x v="0"/>
    <x v="0"/>
    <x v="0"/>
    <x v="0"/>
    <x v="1"/>
  </r>
  <r>
    <x v="0"/>
    <s v="No"/>
    <x v="0"/>
    <n v="1"/>
    <s v="Female"/>
    <x v="1"/>
    <x v="3"/>
    <x v="3"/>
    <n v="2856"/>
    <n v="19"/>
    <x v="1"/>
    <n v="1"/>
    <n v="1"/>
    <n v="3"/>
    <n v="3"/>
    <x v="1"/>
    <n v="0"/>
    <x v="0"/>
    <s v="Good"/>
    <x v="0"/>
    <x v="0"/>
    <x v="0"/>
    <x v="0"/>
    <x v="1"/>
  </r>
  <r>
    <x v="0"/>
    <s v="No"/>
    <x v="1"/>
    <n v="1"/>
    <s v="Male"/>
    <x v="1"/>
    <x v="2"/>
    <x v="2"/>
    <n v="1702"/>
    <n v="23"/>
    <x v="0"/>
    <n v="1"/>
    <n v="1"/>
    <n v="3"/>
    <n v="3"/>
    <x v="1"/>
    <n v="0"/>
    <x v="0"/>
    <s v="Good"/>
    <x v="0"/>
    <x v="0"/>
    <x v="0"/>
    <x v="0"/>
    <x v="0"/>
  </r>
  <r>
    <x v="0"/>
    <s v="No"/>
    <x v="1"/>
    <n v="1"/>
    <s v="Male"/>
    <x v="1"/>
    <x v="2"/>
    <x v="0"/>
    <n v="1281"/>
    <n v="18"/>
    <x v="1"/>
    <n v="2"/>
    <n v="1"/>
    <n v="3"/>
    <n v="3"/>
    <x v="1"/>
    <n v="0"/>
    <x v="0"/>
    <s v="Good"/>
    <x v="0"/>
    <x v="0"/>
    <x v="0"/>
    <x v="0"/>
    <x v="1"/>
  </r>
  <r>
    <x v="0"/>
    <s v="No"/>
    <x v="0"/>
    <n v="1"/>
    <s v="Female"/>
    <x v="1"/>
    <x v="3"/>
    <x v="1"/>
    <n v="2827"/>
    <n v="12"/>
    <x v="1"/>
    <n v="3"/>
    <n v="1"/>
    <n v="3"/>
    <n v="3"/>
    <x v="1"/>
    <n v="0"/>
    <x v="0"/>
    <s v="Good"/>
    <x v="0"/>
    <x v="0"/>
    <x v="0"/>
    <x v="0"/>
    <x v="1"/>
  </r>
  <r>
    <x v="0"/>
    <s v="No"/>
    <x v="1"/>
    <n v="1"/>
    <s v="Male"/>
    <x v="1"/>
    <x v="2"/>
    <x v="3"/>
    <n v="4841"/>
    <n v="14"/>
    <x v="1"/>
    <n v="1"/>
    <n v="4"/>
    <n v="3"/>
    <n v="3"/>
    <x v="1"/>
    <n v="0"/>
    <x v="0"/>
    <s v="Good"/>
    <x v="0"/>
    <x v="0"/>
    <x v="0"/>
    <x v="0"/>
    <x v="1"/>
  </r>
  <r>
    <x v="0"/>
    <s v="No"/>
    <x v="1"/>
    <n v="1"/>
    <s v="Female"/>
    <x v="1"/>
    <x v="2"/>
    <x v="2"/>
    <n v="3038"/>
    <n v="12"/>
    <x v="1"/>
    <n v="0"/>
    <n v="5"/>
    <n v="3"/>
    <n v="3"/>
    <x v="1"/>
    <n v="0"/>
    <x v="0"/>
    <s v="Good"/>
    <x v="0"/>
    <x v="0"/>
    <x v="0"/>
    <x v="0"/>
    <x v="1"/>
  </r>
  <r>
    <x v="0"/>
    <s v="No"/>
    <x v="1"/>
    <n v="1"/>
    <s v="Female"/>
    <x v="2"/>
    <x v="1"/>
    <x v="3"/>
    <n v="4505"/>
    <n v="15"/>
    <x v="1"/>
    <n v="1"/>
    <n v="12"/>
    <n v="3"/>
    <n v="3"/>
    <x v="1"/>
    <n v="0"/>
    <x v="0"/>
    <s v="Good"/>
    <x v="0"/>
    <x v="0"/>
    <x v="0"/>
    <x v="0"/>
    <x v="1"/>
  </r>
  <r>
    <x v="0"/>
    <s v="No"/>
    <x v="1"/>
    <n v="1"/>
    <s v="Male"/>
    <x v="2"/>
    <x v="6"/>
    <x v="0"/>
    <n v="6553"/>
    <n v="14"/>
    <x v="1"/>
    <n v="0"/>
    <n v="14"/>
    <n v="3"/>
    <n v="3"/>
    <x v="1"/>
    <n v="0"/>
    <x v="0"/>
    <s v="Good"/>
    <x v="0"/>
    <x v="0"/>
    <x v="0"/>
    <x v="0"/>
    <x v="1"/>
  </r>
  <r>
    <x v="0"/>
    <s v="No"/>
    <x v="0"/>
    <n v="1"/>
    <s v="Female"/>
    <x v="0"/>
    <x v="0"/>
    <x v="2"/>
    <n v="13591"/>
    <n v="18"/>
    <x v="1"/>
    <n v="0"/>
    <n v="16"/>
    <n v="3"/>
    <n v="3"/>
    <x v="1"/>
    <n v="0"/>
    <x v="0"/>
    <s v="Good"/>
    <x v="0"/>
    <x v="0"/>
    <x v="0"/>
    <x v="0"/>
    <x v="1"/>
  </r>
  <r>
    <x v="0"/>
    <s v="No"/>
    <x v="1"/>
    <n v="1"/>
    <s v="Male"/>
    <x v="2"/>
    <x v="2"/>
    <x v="2"/>
    <n v="4272"/>
    <n v="19"/>
    <x v="1"/>
    <n v="0"/>
    <n v="16"/>
    <n v="3"/>
    <n v="3"/>
    <x v="1"/>
    <n v="0"/>
    <x v="0"/>
    <s v="Good"/>
    <x v="0"/>
    <x v="0"/>
    <x v="0"/>
    <x v="0"/>
    <x v="1"/>
  </r>
  <r>
    <x v="0"/>
    <s v="No"/>
    <x v="1"/>
    <n v="1"/>
    <s v="Female"/>
    <x v="2"/>
    <x v="6"/>
    <x v="1"/>
    <n v="6516"/>
    <n v="16"/>
    <x v="1"/>
    <n v="1"/>
    <n v="18"/>
    <n v="3"/>
    <n v="3"/>
    <x v="1"/>
    <n v="0"/>
    <x v="0"/>
    <s v="Good"/>
    <x v="0"/>
    <x v="0"/>
    <x v="0"/>
    <x v="0"/>
    <x v="1"/>
  </r>
  <r>
    <x v="0"/>
    <s v="No"/>
    <x v="1"/>
    <n v="1"/>
    <s v="Female"/>
    <x v="2"/>
    <x v="2"/>
    <x v="0"/>
    <n v="3780"/>
    <n v="11"/>
    <x v="1"/>
    <n v="0"/>
    <n v="19"/>
    <n v="3"/>
    <n v="3"/>
    <x v="1"/>
    <n v="0"/>
    <x v="0"/>
    <s v="Good"/>
    <x v="0"/>
    <x v="0"/>
    <x v="0"/>
    <x v="0"/>
    <x v="1"/>
  </r>
  <r>
    <x v="0"/>
    <s v="No"/>
    <x v="1"/>
    <n v="1"/>
    <s v="Female"/>
    <x v="2"/>
    <x v="2"/>
    <x v="0"/>
    <n v="3448"/>
    <n v="22"/>
    <x v="0"/>
    <n v="1"/>
    <n v="20"/>
    <n v="3"/>
    <n v="3"/>
    <x v="1"/>
    <n v="0"/>
    <x v="0"/>
    <s v="Good"/>
    <x v="0"/>
    <x v="0"/>
    <x v="0"/>
    <x v="0"/>
    <x v="0"/>
  </r>
  <r>
    <x v="0"/>
    <s v="No"/>
    <x v="1"/>
    <n v="1"/>
    <s v="Female"/>
    <x v="1"/>
    <x v="2"/>
    <x v="2"/>
    <n v="1129"/>
    <n v="11"/>
    <x v="1"/>
    <n v="3"/>
    <n v="1"/>
    <n v="4"/>
    <n v="3"/>
    <x v="1"/>
    <n v="0"/>
    <x v="0"/>
    <s v="Good"/>
    <x v="0"/>
    <x v="0"/>
    <x v="0"/>
    <x v="0"/>
    <x v="1"/>
  </r>
  <r>
    <x v="0"/>
    <s v="No"/>
    <x v="1"/>
    <n v="1"/>
    <s v="Male"/>
    <x v="1"/>
    <x v="2"/>
    <x v="3"/>
    <n v="2694"/>
    <n v="11"/>
    <x v="1"/>
    <n v="3"/>
    <n v="1"/>
    <n v="4"/>
    <n v="3"/>
    <x v="1"/>
    <n v="0"/>
    <x v="0"/>
    <s v="Good"/>
    <x v="0"/>
    <x v="0"/>
    <x v="0"/>
    <x v="0"/>
    <x v="1"/>
  </r>
  <r>
    <x v="0"/>
    <s v="Yes"/>
    <x v="2"/>
    <n v="1"/>
    <s v="Male"/>
    <x v="1"/>
    <x v="8"/>
    <x v="1"/>
    <n v="2956"/>
    <n v="17"/>
    <x v="1"/>
    <n v="0"/>
    <n v="2"/>
    <n v="4"/>
    <n v="3"/>
    <x v="1"/>
    <n v="0"/>
    <x v="0"/>
    <s v="Good"/>
    <x v="0"/>
    <x v="0"/>
    <x v="0"/>
    <x v="0"/>
    <x v="1"/>
  </r>
  <r>
    <x v="0"/>
    <s v="Yes"/>
    <x v="1"/>
    <n v="1"/>
    <s v="Male"/>
    <x v="1"/>
    <x v="1"/>
    <x v="2"/>
    <n v="2285"/>
    <n v="23"/>
    <x v="0"/>
    <n v="0"/>
    <n v="3"/>
    <n v="4"/>
    <n v="3"/>
    <x v="1"/>
    <n v="0"/>
    <x v="0"/>
    <s v="Good"/>
    <x v="0"/>
    <x v="0"/>
    <x v="0"/>
    <x v="0"/>
    <x v="0"/>
  </r>
  <r>
    <x v="0"/>
    <s v="No"/>
    <x v="0"/>
    <n v="1"/>
    <s v="Female"/>
    <x v="1"/>
    <x v="3"/>
    <x v="2"/>
    <n v="2534"/>
    <n v="14"/>
    <x v="1"/>
    <n v="1"/>
    <n v="5"/>
    <n v="4"/>
    <n v="3"/>
    <x v="1"/>
    <n v="0"/>
    <x v="0"/>
    <s v="Good"/>
    <x v="0"/>
    <x v="0"/>
    <x v="0"/>
    <x v="0"/>
    <x v="1"/>
  </r>
  <r>
    <x v="0"/>
    <s v="No"/>
    <x v="1"/>
    <n v="1"/>
    <s v="Male"/>
    <x v="1"/>
    <x v="2"/>
    <x v="2"/>
    <n v="4766"/>
    <n v="11"/>
    <x v="1"/>
    <n v="1"/>
    <n v="6"/>
    <n v="4"/>
    <n v="3"/>
    <x v="1"/>
    <n v="0"/>
    <x v="0"/>
    <s v="Good"/>
    <x v="0"/>
    <x v="0"/>
    <x v="0"/>
    <x v="0"/>
    <x v="1"/>
  </r>
  <r>
    <x v="0"/>
    <s v="Yes"/>
    <x v="1"/>
    <n v="1"/>
    <s v="Male"/>
    <x v="1"/>
    <x v="1"/>
    <x v="0"/>
    <n v="2437"/>
    <n v="16"/>
    <x v="1"/>
    <n v="1"/>
    <n v="6"/>
    <n v="4"/>
    <n v="3"/>
    <x v="1"/>
    <n v="0"/>
    <x v="0"/>
    <s v="Good"/>
    <x v="0"/>
    <x v="0"/>
    <x v="0"/>
    <x v="0"/>
    <x v="1"/>
  </r>
  <r>
    <x v="0"/>
    <s v="Yes"/>
    <x v="1"/>
    <n v="1"/>
    <s v="Male"/>
    <x v="1"/>
    <x v="1"/>
    <x v="0"/>
    <n v="2479"/>
    <n v="24"/>
    <x v="0"/>
    <n v="0"/>
    <n v="7"/>
    <n v="4"/>
    <n v="3"/>
    <x v="1"/>
    <n v="0"/>
    <x v="0"/>
    <s v="Good"/>
    <x v="0"/>
    <x v="0"/>
    <x v="0"/>
    <x v="0"/>
    <x v="0"/>
  </r>
  <r>
    <x v="0"/>
    <s v="No"/>
    <x v="1"/>
    <n v="1"/>
    <s v="Female"/>
    <x v="2"/>
    <x v="4"/>
    <x v="0"/>
    <n v="9824"/>
    <n v="19"/>
    <x v="1"/>
    <n v="1"/>
    <n v="18"/>
    <n v="4"/>
    <n v="3"/>
    <x v="1"/>
    <n v="0"/>
    <x v="0"/>
    <s v="Good"/>
    <x v="0"/>
    <x v="0"/>
    <x v="0"/>
    <x v="0"/>
    <x v="1"/>
  </r>
  <r>
    <x v="0"/>
    <s v="No"/>
    <x v="1"/>
    <n v="1"/>
    <s v="Female"/>
    <x v="1"/>
    <x v="1"/>
    <x v="2"/>
    <n v="2061"/>
    <n v="21"/>
    <x v="0"/>
    <n v="0"/>
    <n v="1"/>
    <n v="5"/>
    <n v="3"/>
    <x v="1"/>
    <n v="0"/>
    <x v="0"/>
    <s v="Good"/>
    <x v="0"/>
    <x v="0"/>
    <x v="0"/>
    <x v="0"/>
    <x v="0"/>
  </r>
  <r>
    <x v="0"/>
    <s v="No"/>
    <x v="0"/>
    <n v="1"/>
    <s v="Male"/>
    <x v="1"/>
    <x v="3"/>
    <x v="3"/>
    <n v="1052"/>
    <n v="22"/>
    <x v="0"/>
    <n v="0"/>
    <n v="1"/>
    <n v="5"/>
    <n v="3"/>
    <x v="1"/>
    <n v="0"/>
    <x v="0"/>
    <s v="Good"/>
    <x v="0"/>
    <x v="0"/>
    <x v="0"/>
    <x v="0"/>
    <x v="0"/>
  </r>
  <r>
    <x v="0"/>
    <s v="No"/>
    <x v="1"/>
    <n v="1"/>
    <s v="Male"/>
    <x v="1"/>
    <x v="2"/>
    <x v="2"/>
    <n v="2380"/>
    <n v="18"/>
    <x v="1"/>
    <n v="0"/>
    <n v="8"/>
    <n v="5"/>
    <n v="3"/>
    <x v="1"/>
    <n v="0"/>
    <x v="0"/>
    <s v="Good"/>
    <x v="0"/>
    <x v="0"/>
    <x v="0"/>
    <x v="0"/>
    <x v="1"/>
  </r>
  <r>
    <x v="0"/>
    <s v="No"/>
    <x v="0"/>
    <n v="1"/>
    <s v="Female"/>
    <x v="2"/>
    <x v="5"/>
    <x v="2"/>
    <n v="6694"/>
    <n v="14"/>
    <x v="1"/>
    <n v="3"/>
    <n v="8"/>
    <n v="5"/>
    <n v="3"/>
    <x v="1"/>
    <n v="0"/>
    <x v="0"/>
    <s v="Good"/>
    <x v="0"/>
    <x v="0"/>
    <x v="0"/>
    <x v="0"/>
    <x v="1"/>
  </r>
  <r>
    <x v="0"/>
    <s v="No"/>
    <x v="0"/>
    <n v="1"/>
    <s v="Female"/>
    <x v="2"/>
    <x v="5"/>
    <x v="0"/>
    <n v="6815"/>
    <n v="13"/>
    <x v="1"/>
    <n v="0"/>
    <n v="15"/>
    <n v="5"/>
    <n v="3"/>
    <x v="1"/>
    <n v="0"/>
    <x v="0"/>
    <s v="Good"/>
    <x v="0"/>
    <x v="0"/>
    <x v="0"/>
    <x v="0"/>
    <x v="1"/>
  </r>
  <r>
    <x v="0"/>
    <s v="Yes"/>
    <x v="1"/>
    <n v="1"/>
    <s v="Male"/>
    <x v="0"/>
    <x v="6"/>
    <x v="0"/>
    <n v="10048"/>
    <n v="11"/>
    <x v="1"/>
    <n v="2"/>
    <n v="17"/>
    <n v="5"/>
    <n v="3"/>
    <x v="1"/>
    <n v="0"/>
    <x v="0"/>
    <s v="Good"/>
    <x v="0"/>
    <x v="0"/>
    <x v="0"/>
    <x v="0"/>
    <x v="1"/>
  </r>
  <r>
    <x v="0"/>
    <s v="No"/>
    <x v="0"/>
    <n v="1"/>
    <s v="Male"/>
    <x v="0"/>
    <x v="5"/>
    <x v="2"/>
    <n v="10798"/>
    <n v="13"/>
    <x v="1"/>
    <n v="1"/>
    <n v="18"/>
    <n v="5"/>
    <n v="3"/>
    <x v="1"/>
    <n v="0"/>
    <x v="0"/>
    <s v="Good"/>
    <x v="0"/>
    <x v="0"/>
    <x v="0"/>
    <x v="0"/>
    <x v="1"/>
  </r>
  <r>
    <x v="0"/>
    <s v="No"/>
    <x v="0"/>
    <n v="1"/>
    <s v="Male"/>
    <x v="1"/>
    <x v="3"/>
    <x v="0"/>
    <n v="2642"/>
    <n v="11"/>
    <x v="1"/>
    <n v="0"/>
    <n v="1"/>
    <n v="6"/>
    <n v="3"/>
    <x v="1"/>
    <n v="0"/>
    <x v="0"/>
    <s v="Good"/>
    <x v="0"/>
    <x v="0"/>
    <x v="0"/>
    <x v="0"/>
    <x v="1"/>
  </r>
  <r>
    <x v="0"/>
    <s v="Yes"/>
    <x v="1"/>
    <n v="1"/>
    <s v="Female"/>
    <x v="1"/>
    <x v="2"/>
    <x v="1"/>
    <n v="2398"/>
    <n v="17"/>
    <x v="1"/>
    <n v="0"/>
    <n v="1"/>
    <n v="6"/>
    <n v="3"/>
    <x v="1"/>
    <n v="0"/>
    <x v="0"/>
    <s v="Good"/>
    <x v="0"/>
    <x v="0"/>
    <x v="0"/>
    <x v="0"/>
    <x v="1"/>
  </r>
  <r>
    <x v="0"/>
    <s v="No"/>
    <x v="1"/>
    <n v="1"/>
    <s v="Female"/>
    <x v="1"/>
    <x v="2"/>
    <x v="1"/>
    <n v="2341"/>
    <n v="13"/>
    <x v="1"/>
    <n v="1"/>
    <n v="1"/>
    <n v="6"/>
    <n v="3"/>
    <x v="1"/>
    <n v="0"/>
    <x v="0"/>
    <s v="Good"/>
    <x v="0"/>
    <x v="0"/>
    <x v="0"/>
    <x v="0"/>
    <x v="1"/>
  </r>
  <r>
    <x v="0"/>
    <s v="No"/>
    <x v="0"/>
    <n v="1"/>
    <s v="Female"/>
    <x v="2"/>
    <x v="5"/>
    <x v="2"/>
    <n v="6653"/>
    <n v="15"/>
    <x v="1"/>
    <n v="0"/>
    <n v="7"/>
    <n v="6"/>
    <n v="3"/>
    <x v="1"/>
    <n v="0"/>
    <x v="0"/>
    <s v="Good"/>
    <x v="0"/>
    <x v="0"/>
    <x v="0"/>
    <x v="0"/>
    <x v="1"/>
  </r>
  <r>
    <x v="0"/>
    <s v="No"/>
    <x v="1"/>
    <n v="1"/>
    <s v="Male"/>
    <x v="1"/>
    <x v="1"/>
    <x v="2"/>
    <n v="2177"/>
    <n v="17"/>
    <x v="1"/>
    <n v="1"/>
    <n v="7"/>
    <n v="6"/>
    <n v="3"/>
    <x v="1"/>
    <n v="0"/>
    <x v="0"/>
    <s v="Good"/>
    <x v="0"/>
    <x v="0"/>
    <x v="0"/>
    <x v="0"/>
    <x v="1"/>
  </r>
  <r>
    <x v="0"/>
    <s v="No"/>
    <x v="1"/>
    <n v="1"/>
    <s v="Male"/>
    <x v="2"/>
    <x v="2"/>
    <x v="0"/>
    <n v="5094"/>
    <n v="14"/>
    <x v="1"/>
    <n v="0"/>
    <n v="10"/>
    <n v="6"/>
    <n v="3"/>
    <x v="1"/>
    <n v="0"/>
    <x v="0"/>
    <s v="Good"/>
    <x v="0"/>
    <x v="0"/>
    <x v="0"/>
    <x v="0"/>
    <x v="1"/>
  </r>
  <r>
    <x v="0"/>
    <s v="No"/>
    <x v="1"/>
    <n v="1"/>
    <s v="Male"/>
    <x v="2"/>
    <x v="4"/>
    <x v="2"/>
    <n v="6781"/>
    <n v="23"/>
    <x v="0"/>
    <n v="0"/>
    <n v="14"/>
    <n v="6"/>
    <n v="3"/>
    <x v="1"/>
    <n v="0"/>
    <x v="0"/>
    <s v="Good"/>
    <x v="0"/>
    <x v="0"/>
    <x v="0"/>
    <x v="0"/>
    <x v="0"/>
  </r>
  <r>
    <x v="0"/>
    <s v="No"/>
    <x v="1"/>
    <n v="1"/>
    <s v="Female"/>
    <x v="0"/>
    <x v="7"/>
    <x v="1"/>
    <n v="13191"/>
    <n v="17"/>
    <x v="1"/>
    <n v="0"/>
    <n v="20"/>
    <n v="6"/>
    <n v="3"/>
    <x v="1"/>
    <n v="0"/>
    <x v="0"/>
    <s v="Good"/>
    <x v="0"/>
    <x v="0"/>
    <x v="0"/>
    <x v="0"/>
    <x v="1"/>
  </r>
  <r>
    <x v="0"/>
    <s v="No"/>
    <x v="1"/>
    <n v="1"/>
    <s v="Female"/>
    <x v="1"/>
    <x v="1"/>
    <x v="3"/>
    <n v="2836"/>
    <n v="13"/>
    <x v="1"/>
    <n v="0"/>
    <n v="1"/>
    <n v="0"/>
    <n v="4"/>
    <x v="1"/>
    <n v="0"/>
    <x v="0"/>
    <s v="Good"/>
    <x v="0"/>
    <x v="0"/>
    <x v="0"/>
    <x v="0"/>
    <x v="1"/>
  </r>
  <r>
    <x v="0"/>
    <s v="Yes"/>
    <x v="0"/>
    <n v="1"/>
    <s v="Male"/>
    <x v="1"/>
    <x v="3"/>
    <x v="1"/>
    <n v="2033"/>
    <n v="18"/>
    <x v="1"/>
    <n v="1"/>
    <n v="1"/>
    <n v="2"/>
    <n v="4"/>
    <x v="1"/>
    <n v="0"/>
    <x v="0"/>
    <s v="Good"/>
    <x v="0"/>
    <x v="0"/>
    <x v="0"/>
    <x v="0"/>
    <x v="1"/>
  </r>
  <r>
    <x v="0"/>
    <s v="No"/>
    <x v="1"/>
    <n v="1"/>
    <s v="Female"/>
    <x v="2"/>
    <x v="6"/>
    <x v="3"/>
    <n v="4765"/>
    <n v="21"/>
    <x v="0"/>
    <n v="1"/>
    <n v="4"/>
    <n v="2"/>
    <n v="4"/>
    <x v="1"/>
    <n v="0"/>
    <x v="0"/>
    <s v="Good"/>
    <x v="0"/>
    <x v="0"/>
    <x v="0"/>
    <x v="0"/>
    <x v="0"/>
  </r>
  <r>
    <x v="0"/>
    <s v="No"/>
    <x v="1"/>
    <n v="1"/>
    <s v="Female"/>
    <x v="2"/>
    <x v="6"/>
    <x v="0"/>
    <n v="5258"/>
    <n v="14"/>
    <x v="1"/>
    <n v="0"/>
    <n v="7"/>
    <n v="2"/>
    <n v="4"/>
    <x v="1"/>
    <n v="0"/>
    <x v="0"/>
    <s v="Good"/>
    <x v="0"/>
    <x v="0"/>
    <x v="0"/>
    <x v="0"/>
    <x v="1"/>
  </r>
  <r>
    <x v="0"/>
    <s v="Yes"/>
    <x v="1"/>
    <n v="1"/>
    <s v="Female"/>
    <x v="1"/>
    <x v="2"/>
    <x v="1"/>
    <n v="3646"/>
    <n v="23"/>
    <x v="0"/>
    <n v="0"/>
    <n v="11"/>
    <n v="2"/>
    <n v="4"/>
    <x v="1"/>
    <n v="0"/>
    <x v="0"/>
    <s v="Good"/>
    <x v="0"/>
    <x v="0"/>
    <x v="0"/>
    <x v="0"/>
    <x v="0"/>
  </r>
  <r>
    <x v="0"/>
    <s v="No"/>
    <x v="1"/>
    <n v="1"/>
    <s v="Female"/>
    <x v="2"/>
    <x v="4"/>
    <x v="1"/>
    <n v="5093"/>
    <n v="11"/>
    <x v="1"/>
    <n v="1"/>
    <n v="16"/>
    <n v="2"/>
    <n v="4"/>
    <x v="1"/>
    <n v="0"/>
    <x v="0"/>
    <s v="Good"/>
    <x v="0"/>
    <x v="0"/>
    <x v="0"/>
    <x v="0"/>
    <x v="1"/>
  </r>
  <r>
    <x v="0"/>
    <s v="No"/>
    <x v="1"/>
    <n v="1"/>
    <s v="Male"/>
    <x v="2"/>
    <x v="4"/>
    <x v="2"/>
    <n v="5163"/>
    <n v="14"/>
    <x v="1"/>
    <n v="1"/>
    <n v="17"/>
    <n v="2"/>
    <n v="4"/>
    <x v="1"/>
    <n v="0"/>
    <x v="0"/>
    <s v="Good"/>
    <x v="0"/>
    <x v="0"/>
    <x v="0"/>
    <x v="0"/>
    <x v="1"/>
  </r>
  <r>
    <x v="0"/>
    <s v="No"/>
    <x v="1"/>
    <n v="1"/>
    <s v="Male"/>
    <x v="0"/>
    <x v="4"/>
    <x v="2"/>
    <n v="10883"/>
    <n v="20"/>
    <x v="0"/>
    <n v="1"/>
    <n v="19"/>
    <n v="2"/>
    <n v="4"/>
    <x v="1"/>
    <n v="0"/>
    <x v="0"/>
    <s v="Good"/>
    <x v="0"/>
    <x v="0"/>
    <x v="0"/>
    <x v="0"/>
    <x v="0"/>
  </r>
  <r>
    <x v="0"/>
    <s v="No"/>
    <x v="1"/>
    <n v="1"/>
    <s v="Male"/>
    <x v="3"/>
    <x v="0"/>
    <x v="0"/>
    <n v="18711"/>
    <n v="13"/>
    <x v="1"/>
    <n v="1"/>
    <n v="23"/>
    <n v="2"/>
    <n v="4"/>
    <x v="1"/>
    <n v="0"/>
    <x v="0"/>
    <s v="Good"/>
    <x v="0"/>
    <x v="0"/>
    <x v="0"/>
    <x v="0"/>
    <x v="1"/>
  </r>
  <r>
    <x v="0"/>
    <s v="Yes"/>
    <x v="1"/>
    <n v="1"/>
    <s v="Female"/>
    <x v="1"/>
    <x v="1"/>
    <x v="3"/>
    <n v="1261"/>
    <n v="12"/>
    <x v="1"/>
    <n v="0"/>
    <n v="1"/>
    <n v="3"/>
    <n v="4"/>
    <x v="1"/>
    <n v="0"/>
    <x v="0"/>
    <s v="Good"/>
    <x v="0"/>
    <x v="0"/>
    <x v="0"/>
    <x v="0"/>
    <x v="1"/>
  </r>
  <r>
    <x v="0"/>
    <s v="Yes"/>
    <x v="2"/>
    <n v="1"/>
    <s v="Male"/>
    <x v="1"/>
    <x v="8"/>
    <x v="2"/>
    <n v="2564"/>
    <n v="12"/>
    <x v="1"/>
    <n v="0"/>
    <n v="1"/>
    <n v="3"/>
    <n v="4"/>
    <x v="1"/>
    <n v="0"/>
    <x v="0"/>
    <s v="Good"/>
    <x v="0"/>
    <x v="0"/>
    <x v="0"/>
    <x v="0"/>
    <x v="1"/>
  </r>
  <r>
    <x v="0"/>
    <s v="Yes"/>
    <x v="0"/>
    <n v="1"/>
    <s v="Male"/>
    <x v="1"/>
    <x v="3"/>
    <x v="3"/>
    <n v="2121"/>
    <n v="13"/>
    <x v="1"/>
    <n v="0"/>
    <n v="1"/>
    <n v="3"/>
    <n v="4"/>
    <x v="1"/>
    <n v="0"/>
    <x v="0"/>
    <s v="Good"/>
    <x v="0"/>
    <x v="0"/>
    <x v="0"/>
    <x v="0"/>
    <x v="1"/>
  </r>
  <r>
    <x v="0"/>
    <s v="Yes"/>
    <x v="0"/>
    <n v="1"/>
    <s v="Female"/>
    <x v="1"/>
    <x v="3"/>
    <x v="2"/>
    <n v="2785"/>
    <n v="14"/>
    <x v="1"/>
    <n v="0"/>
    <n v="3"/>
    <n v="3"/>
    <n v="4"/>
    <x v="1"/>
    <n v="0"/>
    <x v="0"/>
    <s v="Good"/>
    <x v="0"/>
    <x v="0"/>
    <x v="0"/>
    <x v="0"/>
    <x v="1"/>
  </r>
  <r>
    <x v="0"/>
    <s v="No"/>
    <x v="0"/>
    <n v="1"/>
    <s v="Male"/>
    <x v="3"/>
    <x v="0"/>
    <x v="0"/>
    <n v="18303"/>
    <n v="13"/>
    <x v="1"/>
    <n v="0"/>
    <n v="21"/>
    <n v="3"/>
    <n v="4"/>
    <x v="1"/>
    <n v="0"/>
    <x v="0"/>
    <s v="Good"/>
    <x v="0"/>
    <x v="0"/>
    <x v="0"/>
    <x v="0"/>
    <x v="1"/>
  </r>
  <r>
    <x v="0"/>
    <s v="No"/>
    <x v="1"/>
    <n v="1"/>
    <s v="Male"/>
    <x v="3"/>
    <x v="7"/>
    <x v="2"/>
    <n v="18265"/>
    <n v="12"/>
    <x v="1"/>
    <n v="0"/>
    <n v="25"/>
    <n v="3"/>
    <n v="4"/>
    <x v="1"/>
    <n v="0"/>
    <x v="0"/>
    <s v="Good"/>
    <x v="0"/>
    <x v="0"/>
    <x v="0"/>
    <x v="0"/>
    <x v="1"/>
  </r>
  <r>
    <x v="0"/>
    <s v="No"/>
    <x v="1"/>
    <n v="1"/>
    <s v="Female"/>
    <x v="0"/>
    <x v="6"/>
    <x v="0"/>
    <n v="7861"/>
    <n v="14"/>
    <x v="1"/>
    <n v="0"/>
    <n v="10"/>
    <n v="4"/>
    <n v="4"/>
    <x v="1"/>
    <n v="0"/>
    <x v="0"/>
    <s v="Good"/>
    <x v="0"/>
    <x v="0"/>
    <x v="0"/>
    <x v="0"/>
    <x v="1"/>
  </r>
  <r>
    <x v="0"/>
    <s v="Yes"/>
    <x v="0"/>
    <n v="1"/>
    <s v="Male"/>
    <x v="2"/>
    <x v="3"/>
    <x v="2"/>
    <n v="2086"/>
    <n v="14"/>
    <x v="1"/>
    <n v="1"/>
    <n v="19"/>
    <n v="6"/>
    <n v="4"/>
    <x v="1"/>
    <n v="0"/>
    <x v="0"/>
    <s v="Good"/>
    <x v="0"/>
    <x v="0"/>
    <x v="0"/>
    <x v="0"/>
    <x v="1"/>
  </r>
  <r>
    <x v="0"/>
    <s v="No"/>
    <x v="0"/>
    <n v="1"/>
    <s v="Male"/>
    <x v="0"/>
    <x v="5"/>
    <x v="0"/>
    <n v="7082"/>
    <n v="16"/>
    <x v="1"/>
    <n v="0"/>
    <n v="21"/>
    <n v="2"/>
    <n v="3"/>
    <x v="2"/>
    <n v="0"/>
    <x v="0"/>
    <s v="Good"/>
    <x v="0"/>
    <x v="0"/>
    <x v="0"/>
    <x v="0"/>
    <x v="1"/>
  </r>
  <r>
    <x v="0"/>
    <s v="No"/>
    <x v="1"/>
    <n v="1"/>
    <s v="Male"/>
    <x v="1"/>
    <x v="2"/>
    <x v="2"/>
    <n v="2314"/>
    <n v="12"/>
    <x v="1"/>
    <n v="1"/>
    <n v="4"/>
    <n v="2"/>
    <n v="3"/>
    <x v="3"/>
    <n v="0"/>
    <x v="0"/>
    <s v="Good"/>
    <x v="0"/>
    <x v="0"/>
    <x v="0"/>
    <x v="0"/>
    <x v="1"/>
  </r>
  <r>
    <x v="0"/>
    <s v="No"/>
    <x v="1"/>
    <n v="1"/>
    <s v="Female"/>
    <x v="1"/>
    <x v="2"/>
    <x v="3"/>
    <n v="2332"/>
    <n v="20"/>
    <x v="0"/>
    <n v="0"/>
    <n v="5"/>
    <n v="3"/>
    <n v="3"/>
    <x v="3"/>
    <n v="0"/>
    <x v="0"/>
    <s v="Good"/>
    <x v="0"/>
    <x v="0"/>
    <x v="0"/>
    <x v="0"/>
    <x v="0"/>
  </r>
  <r>
    <x v="0"/>
    <s v="No"/>
    <x v="1"/>
    <n v="1"/>
    <s v="Female"/>
    <x v="2"/>
    <x v="6"/>
    <x v="2"/>
    <n v="5070"/>
    <n v="13"/>
    <x v="1"/>
    <n v="3"/>
    <n v="20"/>
    <n v="2"/>
    <n v="3"/>
    <x v="4"/>
    <n v="0"/>
    <x v="0"/>
    <s v="Good"/>
    <x v="1"/>
    <x v="0"/>
    <x v="0"/>
    <x v="0"/>
    <x v="1"/>
  </r>
  <r>
    <x v="0"/>
    <s v="No"/>
    <x v="1"/>
    <n v="1"/>
    <s v="Female"/>
    <x v="4"/>
    <x v="0"/>
    <x v="0"/>
    <n v="14756"/>
    <n v="14"/>
    <x v="1"/>
    <n v="3"/>
    <n v="21"/>
    <n v="2"/>
    <n v="3"/>
    <x v="4"/>
    <n v="0"/>
    <x v="0"/>
    <s v="Good"/>
    <x v="1"/>
    <x v="0"/>
    <x v="0"/>
    <x v="0"/>
    <x v="1"/>
  </r>
  <r>
    <x v="0"/>
    <s v="No"/>
    <x v="2"/>
    <n v="1"/>
    <s v="Female"/>
    <x v="0"/>
    <x v="8"/>
    <x v="0"/>
    <n v="9756"/>
    <n v="21"/>
    <x v="0"/>
    <n v="2"/>
    <n v="9"/>
    <n v="2"/>
    <n v="4"/>
    <x v="4"/>
    <n v="0"/>
    <x v="0"/>
    <s v="Good"/>
    <x v="1"/>
    <x v="0"/>
    <x v="0"/>
    <x v="0"/>
    <x v="0"/>
  </r>
  <r>
    <x v="0"/>
    <s v="No"/>
    <x v="1"/>
    <n v="1"/>
    <s v="Female"/>
    <x v="0"/>
    <x v="4"/>
    <x v="3"/>
    <n v="10552"/>
    <n v="13"/>
    <x v="1"/>
    <n v="1"/>
    <n v="24"/>
    <n v="3"/>
    <n v="3"/>
    <x v="5"/>
    <n v="0"/>
    <x v="0"/>
    <s v="Good"/>
    <x v="1"/>
    <x v="0"/>
    <x v="0"/>
    <x v="0"/>
    <x v="1"/>
  </r>
  <r>
    <x v="0"/>
    <s v="No"/>
    <x v="0"/>
    <n v="1"/>
    <s v="Female"/>
    <x v="3"/>
    <x v="0"/>
    <x v="2"/>
    <n v="19517"/>
    <n v="11"/>
    <x v="1"/>
    <n v="1"/>
    <n v="32"/>
    <n v="3"/>
    <n v="2"/>
    <x v="6"/>
    <n v="0"/>
    <x v="0"/>
    <s v="Bad"/>
    <x v="1"/>
    <x v="0"/>
    <x v="0"/>
    <x v="0"/>
    <x v="1"/>
  </r>
  <r>
    <x v="0"/>
    <s v="No"/>
    <x v="1"/>
    <n v="1"/>
    <s v="Female"/>
    <x v="1"/>
    <x v="2"/>
    <x v="3"/>
    <n v="2370"/>
    <n v="13"/>
    <x v="1"/>
    <n v="1"/>
    <n v="8"/>
    <n v="4"/>
    <n v="3"/>
    <x v="7"/>
    <n v="0"/>
    <x v="0"/>
    <s v="Good"/>
    <x v="1"/>
    <x v="0"/>
    <x v="0"/>
    <x v="0"/>
    <x v="1"/>
  </r>
  <r>
    <x v="0"/>
    <s v="No"/>
    <x v="0"/>
    <n v="1"/>
    <s v="Female"/>
    <x v="2"/>
    <x v="5"/>
    <x v="2"/>
    <n v="4163"/>
    <n v="17"/>
    <x v="1"/>
    <n v="0"/>
    <n v="9"/>
    <n v="0"/>
    <n v="3"/>
    <x v="8"/>
    <n v="0"/>
    <x v="0"/>
    <s v="Good"/>
    <x v="1"/>
    <x v="0"/>
    <x v="0"/>
    <x v="0"/>
    <x v="1"/>
  </r>
  <r>
    <x v="0"/>
    <s v="No"/>
    <x v="1"/>
    <n v="1"/>
    <s v="Male"/>
    <x v="1"/>
    <x v="1"/>
    <x v="2"/>
    <n v="2862"/>
    <n v="12"/>
    <x v="1"/>
    <n v="1"/>
    <n v="10"/>
    <n v="2"/>
    <n v="2"/>
    <x v="9"/>
    <n v="0"/>
    <x v="0"/>
    <s v="Bad"/>
    <x v="1"/>
    <x v="0"/>
    <x v="0"/>
    <x v="0"/>
    <x v="1"/>
  </r>
  <r>
    <x v="0"/>
    <s v="No"/>
    <x v="0"/>
    <n v="1"/>
    <s v="Male"/>
    <x v="2"/>
    <x v="5"/>
    <x v="3"/>
    <n v="4187"/>
    <n v="13"/>
    <x v="1"/>
    <n v="1"/>
    <n v="10"/>
    <n v="3"/>
    <n v="2"/>
    <x v="9"/>
    <n v="0"/>
    <x v="0"/>
    <s v="Bad"/>
    <x v="1"/>
    <x v="0"/>
    <x v="0"/>
    <x v="0"/>
    <x v="1"/>
  </r>
  <r>
    <x v="0"/>
    <s v="No"/>
    <x v="0"/>
    <n v="1"/>
    <s v="Male"/>
    <x v="0"/>
    <x v="5"/>
    <x v="3"/>
    <n v="7642"/>
    <n v="13"/>
    <x v="1"/>
    <n v="0"/>
    <n v="10"/>
    <n v="2"/>
    <n v="3"/>
    <x v="9"/>
    <n v="0"/>
    <x v="0"/>
    <s v="Good"/>
    <x v="1"/>
    <x v="0"/>
    <x v="0"/>
    <x v="0"/>
    <x v="1"/>
  </r>
  <r>
    <x v="0"/>
    <s v="No"/>
    <x v="0"/>
    <n v="1"/>
    <s v="Female"/>
    <x v="2"/>
    <x v="5"/>
    <x v="2"/>
    <n v="5476"/>
    <n v="11"/>
    <x v="1"/>
    <n v="2"/>
    <n v="10"/>
    <n v="2"/>
    <n v="3"/>
    <x v="9"/>
    <n v="0"/>
    <x v="0"/>
    <s v="Good"/>
    <x v="1"/>
    <x v="0"/>
    <x v="0"/>
    <x v="0"/>
    <x v="1"/>
  </r>
  <r>
    <x v="0"/>
    <s v="No"/>
    <x v="0"/>
    <n v="1"/>
    <s v="Male"/>
    <x v="4"/>
    <x v="0"/>
    <x v="1"/>
    <n v="17567"/>
    <n v="15"/>
    <x v="1"/>
    <n v="0"/>
    <n v="27"/>
    <n v="5"/>
    <n v="1"/>
    <x v="10"/>
    <n v="0"/>
    <x v="0"/>
    <s v="Bad"/>
    <x v="1"/>
    <x v="0"/>
    <x v="0"/>
    <x v="0"/>
    <x v="1"/>
  </r>
  <r>
    <x v="0"/>
    <s v="No"/>
    <x v="1"/>
    <n v="1"/>
    <s v="Female"/>
    <x v="2"/>
    <x v="1"/>
    <x v="2"/>
    <n v="4422"/>
    <n v="13"/>
    <x v="1"/>
    <n v="1"/>
    <n v="16"/>
    <n v="3"/>
    <n v="1"/>
    <x v="1"/>
    <n v="1"/>
    <x v="0"/>
    <s v="Bad"/>
    <x v="0"/>
    <x v="0"/>
    <x v="0"/>
    <x v="0"/>
    <x v="1"/>
  </r>
  <r>
    <x v="0"/>
    <s v="Yes"/>
    <x v="1"/>
    <n v="1"/>
    <s v="Male"/>
    <x v="1"/>
    <x v="2"/>
    <x v="0"/>
    <n v="2377"/>
    <n v="20"/>
    <x v="0"/>
    <n v="1"/>
    <n v="1"/>
    <n v="0"/>
    <n v="2"/>
    <x v="1"/>
    <n v="1"/>
    <x v="0"/>
    <s v="Bad"/>
    <x v="0"/>
    <x v="0"/>
    <x v="0"/>
    <x v="0"/>
    <x v="0"/>
  </r>
  <r>
    <x v="0"/>
    <s v="No"/>
    <x v="1"/>
    <n v="1"/>
    <s v="Male"/>
    <x v="1"/>
    <x v="1"/>
    <x v="0"/>
    <n v="2566"/>
    <n v="15"/>
    <x v="1"/>
    <n v="1"/>
    <n v="1"/>
    <n v="2"/>
    <n v="2"/>
    <x v="1"/>
    <n v="1"/>
    <x v="0"/>
    <s v="Bad"/>
    <x v="0"/>
    <x v="0"/>
    <x v="0"/>
    <x v="0"/>
    <x v="1"/>
  </r>
  <r>
    <x v="0"/>
    <s v="No"/>
    <x v="1"/>
    <n v="1"/>
    <s v="Male"/>
    <x v="1"/>
    <x v="2"/>
    <x v="0"/>
    <n v="2008"/>
    <n v="12"/>
    <x v="1"/>
    <n v="3"/>
    <n v="1"/>
    <n v="2"/>
    <n v="2"/>
    <x v="1"/>
    <n v="1"/>
    <x v="0"/>
    <s v="Bad"/>
    <x v="0"/>
    <x v="0"/>
    <x v="0"/>
    <x v="0"/>
    <x v="1"/>
  </r>
  <r>
    <x v="0"/>
    <s v="Yes"/>
    <x v="1"/>
    <n v="1"/>
    <s v="Female"/>
    <x v="1"/>
    <x v="2"/>
    <x v="2"/>
    <n v="2515"/>
    <n v="11"/>
    <x v="1"/>
    <n v="0"/>
    <n v="1"/>
    <n v="4"/>
    <n v="2"/>
    <x v="1"/>
    <n v="1"/>
    <x v="0"/>
    <s v="Bad"/>
    <x v="0"/>
    <x v="0"/>
    <x v="0"/>
    <x v="0"/>
    <x v="1"/>
  </r>
  <r>
    <x v="0"/>
    <s v="No"/>
    <x v="1"/>
    <n v="1"/>
    <s v="Female"/>
    <x v="1"/>
    <x v="1"/>
    <x v="0"/>
    <n v="2318"/>
    <n v="19"/>
    <x v="1"/>
    <n v="0"/>
    <n v="1"/>
    <n v="2"/>
    <n v="3"/>
    <x v="1"/>
    <n v="1"/>
    <x v="0"/>
    <s v="Good"/>
    <x v="0"/>
    <x v="0"/>
    <x v="0"/>
    <x v="0"/>
    <x v="1"/>
  </r>
  <r>
    <x v="0"/>
    <s v="No"/>
    <x v="0"/>
    <n v="1"/>
    <s v="Female"/>
    <x v="1"/>
    <x v="3"/>
    <x v="0"/>
    <n v="2220"/>
    <n v="19"/>
    <x v="1"/>
    <n v="1"/>
    <n v="1"/>
    <n v="2"/>
    <n v="3"/>
    <x v="1"/>
    <n v="1"/>
    <x v="0"/>
    <s v="Good"/>
    <x v="0"/>
    <x v="0"/>
    <x v="0"/>
    <x v="0"/>
    <x v="1"/>
  </r>
  <r>
    <x v="0"/>
    <s v="No"/>
    <x v="1"/>
    <n v="1"/>
    <s v="Male"/>
    <x v="1"/>
    <x v="1"/>
    <x v="3"/>
    <n v="3617"/>
    <n v="14"/>
    <x v="1"/>
    <n v="1"/>
    <n v="3"/>
    <n v="2"/>
    <n v="3"/>
    <x v="1"/>
    <n v="1"/>
    <x v="0"/>
    <s v="Good"/>
    <x v="0"/>
    <x v="0"/>
    <x v="0"/>
    <x v="0"/>
    <x v="1"/>
  </r>
  <r>
    <x v="0"/>
    <s v="Yes"/>
    <x v="1"/>
    <n v="1"/>
    <s v="Male"/>
    <x v="1"/>
    <x v="2"/>
    <x v="3"/>
    <n v="2408"/>
    <n v="17"/>
    <x v="1"/>
    <n v="3"/>
    <n v="1"/>
    <n v="3"/>
    <n v="3"/>
    <x v="1"/>
    <n v="1"/>
    <x v="0"/>
    <s v="Good"/>
    <x v="0"/>
    <x v="0"/>
    <x v="0"/>
    <x v="0"/>
    <x v="1"/>
  </r>
  <r>
    <x v="0"/>
    <s v="No"/>
    <x v="1"/>
    <n v="1"/>
    <s v="Male"/>
    <x v="1"/>
    <x v="2"/>
    <x v="1"/>
    <n v="2296"/>
    <n v="14"/>
    <x v="1"/>
    <n v="3"/>
    <n v="2"/>
    <n v="3"/>
    <n v="3"/>
    <x v="1"/>
    <n v="1"/>
    <x v="0"/>
    <s v="Good"/>
    <x v="0"/>
    <x v="0"/>
    <x v="0"/>
    <x v="0"/>
    <x v="1"/>
  </r>
  <r>
    <x v="0"/>
    <s v="No"/>
    <x v="1"/>
    <n v="1"/>
    <s v="Male"/>
    <x v="1"/>
    <x v="2"/>
    <x v="2"/>
    <n v="2496"/>
    <n v="11"/>
    <x v="1"/>
    <n v="0"/>
    <n v="7"/>
    <n v="3"/>
    <n v="3"/>
    <x v="1"/>
    <n v="1"/>
    <x v="0"/>
    <s v="Good"/>
    <x v="0"/>
    <x v="0"/>
    <x v="0"/>
    <x v="0"/>
    <x v="1"/>
  </r>
  <r>
    <x v="0"/>
    <s v="No"/>
    <x v="1"/>
    <n v="1"/>
    <s v="Male"/>
    <x v="1"/>
    <x v="1"/>
    <x v="1"/>
    <n v="2552"/>
    <n v="25"/>
    <x v="0"/>
    <n v="0"/>
    <n v="1"/>
    <n v="4"/>
    <n v="3"/>
    <x v="1"/>
    <n v="1"/>
    <x v="0"/>
    <s v="Good"/>
    <x v="0"/>
    <x v="0"/>
    <x v="0"/>
    <x v="0"/>
    <x v="0"/>
  </r>
  <r>
    <x v="0"/>
    <s v="Yes"/>
    <x v="0"/>
    <n v="1"/>
    <s v="Female"/>
    <x v="2"/>
    <x v="5"/>
    <x v="1"/>
    <n v="4286"/>
    <n v="14"/>
    <x v="1"/>
    <n v="2"/>
    <n v="5"/>
    <n v="4"/>
    <n v="3"/>
    <x v="1"/>
    <n v="1"/>
    <x v="0"/>
    <s v="Good"/>
    <x v="0"/>
    <x v="0"/>
    <x v="0"/>
    <x v="0"/>
    <x v="1"/>
  </r>
  <r>
    <x v="0"/>
    <s v="No"/>
    <x v="1"/>
    <n v="1"/>
    <s v="Male"/>
    <x v="2"/>
    <x v="4"/>
    <x v="3"/>
    <n v="6540"/>
    <n v="19"/>
    <x v="1"/>
    <n v="0"/>
    <n v="10"/>
    <n v="5"/>
    <n v="3"/>
    <x v="1"/>
    <n v="1"/>
    <x v="0"/>
    <s v="Good"/>
    <x v="0"/>
    <x v="0"/>
    <x v="0"/>
    <x v="0"/>
    <x v="1"/>
  </r>
  <r>
    <x v="0"/>
    <s v="Yes"/>
    <x v="1"/>
    <n v="1"/>
    <s v="Female"/>
    <x v="1"/>
    <x v="1"/>
    <x v="3"/>
    <n v="1859"/>
    <n v="25"/>
    <x v="0"/>
    <n v="0"/>
    <n v="1"/>
    <n v="2"/>
    <n v="4"/>
    <x v="1"/>
    <n v="1"/>
    <x v="0"/>
    <s v="Good"/>
    <x v="0"/>
    <x v="0"/>
    <x v="0"/>
    <x v="0"/>
    <x v="0"/>
  </r>
  <r>
    <x v="0"/>
    <s v="No"/>
    <x v="1"/>
    <n v="1"/>
    <s v="Female"/>
    <x v="1"/>
    <x v="1"/>
    <x v="1"/>
    <n v="3419"/>
    <n v="14"/>
    <x v="1"/>
    <n v="1"/>
    <n v="6"/>
    <n v="3"/>
    <n v="4"/>
    <x v="1"/>
    <n v="1"/>
    <x v="0"/>
    <s v="Good"/>
    <x v="0"/>
    <x v="0"/>
    <x v="0"/>
    <x v="0"/>
    <x v="1"/>
  </r>
  <r>
    <x v="0"/>
    <s v="No"/>
    <x v="1"/>
    <n v="1"/>
    <s v="Male"/>
    <x v="1"/>
    <x v="1"/>
    <x v="0"/>
    <n v="2684"/>
    <n v="17"/>
    <x v="1"/>
    <n v="1"/>
    <n v="3"/>
    <n v="0"/>
    <n v="2"/>
    <x v="2"/>
    <n v="1"/>
    <x v="0"/>
    <s v="Bad"/>
    <x v="0"/>
    <x v="0"/>
    <x v="0"/>
    <x v="0"/>
    <x v="1"/>
  </r>
  <r>
    <x v="0"/>
    <s v="No"/>
    <x v="1"/>
    <n v="1"/>
    <s v="Female"/>
    <x v="1"/>
    <x v="1"/>
    <x v="1"/>
    <n v="3920"/>
    <n v="14"/>
    <x v="1"/>
    <n v="1"/>
    <n v="17"/>
    <n v="2"/>
    <n v="2"/>
    <x v="3"/>
    <n v="1"/>
    <x v="0"/>
    <s v="Bad"/>
    <x v="0"/>
    <x v="0"/>
    <x v="0"/>
    <x v="0"/>
    <x v="1"/>
  </r>
  <r>
    <x v="0"/>
    <s v="No"/>
    <x v="1"/>
    <n v="1"/>
    <s v="Male"/>
    <x v="1"/>
    <x v="1"/>
    <x v="0"/>
    <n v="2703"/>
    <n v="14"/>
    <x v="1"/>
    <n v="1"/>
    <n v="3"/>
    <n v="2"/>
    <n v="3"/>
    <x v="3"/>
    <n v="1"/>
    <x v="0"/>
    <s v="Good"/>
    <x v="0"/>
    <x v="0"/>
    <x v="0"/>
    <x v="0"/>
    <x v="1"/>
  </r>
  <r>
    <x v="0"/>
    <s v="No"/>
    <x v="0"/>
    <n v="1"/>
    <s v="Female"/>
    <x v="1"/>
    <x v="3"/>
    <x v="2"/>
    <n v="2157"/>
    <n v="15"/>
    <x v="1"/>
    <n v="1"/>
    <n v="3"/>
    <n v="5"/>
    <n v="3"/>
    <x v="3"/>
    <n v="1"/>
    <x v="0"/>
    <s v="Good"/>
    <x v="0"/>
    <x v="0"/>
    <x v="0"/>
    <x v="0"/>
    <x v="1"/>
  </r>
  <r>
    <x v="0"/>
    <s v="No"/>
    <x v="1"/>
    <n v="1"/>
    <s v="Male"/>
    <x v="1"/>
    <x v="1"/>
    <x v="2"/>
    <n v="2500"/>
    <n v="14"/>
    <x v="1"/>
    <n v="0"/>
    <n v="4"/>
    <n v="2"/>
    <n v="4"/>
    <x v="3"/>
    <n v="1"/>
    <x v="0"/>
    <s v="Good"/>
    <x v="0"/>
    <x v="0"/>
    <x v="0"/>
    <x v="0"/>
    <x v="1"/>
  </r>
  <r>
    <x v="0"/>
    <s v="Yes"/>
    <x v="1"/>
    <n v="1"/>
    <s v="Male"/>
    <x v="1"/>
    <x v="2"/>
    <x v="2"/>
    <n v="2367"/>
    <n v="12"/>
    <x v="1"/>
    <n v="1"/>
    <n v="6"/>
    <n v="2"/>
    <n v="2"/>
    <x v="11"/>
    <n v="1"/>
    <x v="0"/>
    <s v="Bad"/>
    <x v="2"/>
    <x v="0"/>
    <x v="0"/>
    <x v="0"/>
    <x v="1"/>
  </r>
  <r>
    <x v="0"/>
    <s v="Yes"/>
    <x v="1"/>
    <n v="1"/>
    <s v="Female"/>
    <x v="1"/>
    <x v="1"/>
    <x v="0"/>
    <n v="2432"/>
    <n v="14"/>
    <x v="1"/>
    <n v="0"/>
    <n v="8"/>
    <n v="2"/>
    <n v="3"/>
    <x v="11"/>
    <n v="1"/>
    <x v="0"/>
    <s v="Good"/>
    <x v="2"/>
    <x v="0"/>
    <x v="0"/>
    <x v="0"/>
    <x v="1"/>
  </r>
  <r>
    <x v="0"/>
    <s v="No"/>
    <x v="1"/>
    <n v="1"/>
    <s v="Male"/>
    <x v="1"/>
    <x v="2"/>
    <x v="3"/>
    <n v="2794"/>
    <n v="20"/>
    <x v="0"/>
    <n v="0"/>
    <n v="5"/>
    <n v="3"/>
    <n v="1"/>
    <x v="4"/>
    <n v="1"/>
    <x v="0"/>
    <s v="Bad"/>
    <x v="1"/>
    <x v="0"/>
    <x v="0"/>
    <x v="0"/>
    <x v="0"/>
  </r>
  <r>
    <x v="0"/>
    <s v="No"/>
    <x v="2"/>
    <n v="1"/>
    <s v="Male"/>
    <x v="1"/>
    <x v="8"/>
    <x v="2"/>
    <n v="4936"/>
    <n v="13"/>
    <x v="1"/>
    <n v="1"/>
    <n v="6"/>
    <n v="6"/>
    <n v="3"/>
    <x v="4"/>
    <n v="1"/>
    <x v="0"/>
    <s v="Good"/>
    <x v="1"/>
    <x v="0"/>
    <x v="0"/>
    <x v="0"/>
    <x v="1"/>
  </r>
  <r>
    <x v="0"/>
    <s v="No"/>
    <x v="0"/>
    <n v="1"/>
    <s v="Female"/>
    <x v="2"/>
    <x v="5"/>
    <x v="2"/>
    <n v="4507"/>
    <n v="12"/>
    <x v="1"/>
    <n v="0"/>
    <n v="8"/>
    <n v="1"/>
    <n v="4"/>
    <x v="4"/>
    <n v="1"/>
    <x v="0"/>
    <s v="Good"/>
    <x v="1"/>
    <x v="0"/>
    <x v="0"/>
    <x v="0"/>
    <x v="1"/>
  </r>
  <r>
    <x v="0"/>
    <s v="No"/>
    <x v="1"/>
    <n v="1"/>
    <s v="Female"/>
    <x v="1"/>
    <x v="2"/>
    <x v="3"/>
    <n v="2468"/>
    <n v="14"/>
    <x v="1"/>
    <n v="1"/>
    <n v="9"/>
    <n v="4"/>
    <n v="2"/>
    <x v="5"/>
    <n v="1"/>
    <x v="0"/>
    <s v="Bad"/>
    <x v="1"/>
    <x v="0"/>
    <x v="0"/>
    <x v="0"/>
    <x v="1"/>
  </r>
  <r>
    <x v="0"/>
    <s v="No"/>
    <x v="1"/>
    <n v="1"/>
    <s v="Female"/>
    <x v="4"/>
    <x v="7"/>
    <x v="0"/>
    <n v="16184"/>
    <n v="19"/>
    <x v="1"/>
    <n v="1"/>
    <n v="10"/>
    <n v="2"/>
    <n v="3"/>
    <x v="5"/>
    <n v="1"/>
    <x v="0"/>
    <s v="Good"/>
    <x v="1"/>
    <x v="0"/>
    <x v="0"/>
    <x v="0"/>
    <x v="1"/>
  </r>
  <r>
    <x v="0"/>
    <s v="No"/>
    <x v="0"/>
    <n v="1"/>
    <s v="Female"/>
    <x v="2"/>
    <x v="5"/>
    <x v="2"/>
    <n v="5171"/>
    <n v="17"/>
    <x v="1"/>
    <n v="0"/>
    <n v="13"/>
    <n v="2"/>
    <n v="3"/>
    <x v="5"/>
    <n v="1"/>
    <x v="0"/>
    <s v="Good"/>
    <x v="1"/>
    <x v="0"/>
    <x v="0"/>
    <x v="0"/>
    <x v="1"/>
  </r>
  <r>
    <x v="0"/>
    <s v="Yes"/>
    <x v="1"/>
    <n v="1"/>
    <s v="Male"/>
    <x v="2"/>
    <x v="2"/>
    <x v="1"/>
    <n v="5346"/>
    <n v="17"/>
    <x v="1"/>
    <n v="1"/>
    <n v="11"/>
    <n v="3"/>
    <n v="2"/>
    <x v="6"/>
    <n v="1"/>
    <x v="0"/>
    <s v="Bad"/>
    <x v="1"/>
    <x v="0"/>
    <x v="0"/>
    <x v="0"/>
    <x v="1"/>
  </r>
  <r>
    <x v="0"/>
    <s v="No"/>
    <x v="1"/>
    <n v="1"/>
    <s v="Female"/>
    <x v="4"/>
    <x v="4"/>
    <x v="0"/>
    <n v="13964"/>
    <n v="12"/>
    <x v="1"/>
    <n v="0"/>
    <n v="25"/>
    <n v="2"/>
    <n v="3"/>
    <x v="6"/>
    <n v="1"/>
    <x v="0"/>
    <s v="Good"/>
    <x v="1"/>
    <x v="0"/>
    <x v="0"/>
    <x v="0"/>
    <x v="1"/>
  </r>
  <r>
    <x v="0"/>
    <s v="No"/>
    <x v="1"/>
    <n v="1"/>
    <s v="Female"/>
    <x v="0"/>
    <x v="0"/>
    <x v="1"/>
    <n v="11916"/>
    <n v="23"/>
    <x v="0"/>
    <n v="2"/>
    <n v="9"/>
    <n v="2"/>
    <n v="3"/>
    <x v="8"/>
    <n v="1"/>
    <x v="0"/>
    <s v="Good"/>
    <x v="1"/>
    <x v="0"/>
    <x v="0"/>
    <x v="0"/>
    <x v="0"/>
  </r>
  <r>
    <x v="0"/>
    <s v="No"/>
    <x v="2"/>
    <n v="1"/>
    <s v="Male"/>
    <x v="2"/>
    <x v="8"/>
    <x v="2"/>
    <n v="3886"/>
    <n v="21"/>
    <x v="0"/>
    <n v="0"/>
    <n v="10"/>
    <n v="2"/>
    <n v="2"/>
    <x v="9"/>
    <n v="1"/>
    <x v="0"/>
    <s v="Bad"/>
    <x v="1"/>
    <x v="0"/>
    <x v="0"/>
    <x v="0"/>
    <x v="0"/>
  </r>
  <r>
    <x v="0"/>
    <s v="No"/>
    <x v="0"/>
    <n v="1"/>
    <s v="Male"/>
    <x v="2"/>
    <x v="5"/>
    <x v="2"/>
    <n v="9725"/>
    <n v="11"/>
    <x v="1"/>
    <n v="1"/>
    <n v="16"/>
    <n v="2"/>
    <n v="2"/>
    <x v="12"/>
    <n v="1"/>
    <x v="0"/>
    <s v="Bad"/>
    <x v="1"/>
    <x v="0"/>
    <x v="0"/>
    <x v="0"/>
    <x v="1"/>
  </r>
  <r>
    <x v="0"/>
    <s v="No"/>
    <x v="1"/>
    <n v="1"/>
    <s v="Female"/>
    <x v="1"/>
    <x v="1"/>
    <x v="2"/>
    <n v="2911"/>
    <n v="13"/>
    <x v="1"/>
    <n v="1"/>
    <n v="2"/>
    <n v="2"/>
    <n v="2"/>
    <x v="2"/>
    <n v="2"/>
    <x v="0"/>
    <s v="Bad"/>
    <x v="0"/>
    <x v="0"/>
    <x v="0"/>
    <x v="0"/>
    <x v="1"/>
  </r>
  <r>
    <x v="0"/>
    <s v="No"/>
    <x v="0"/>
    <n v="1"/>
    <s v="Female"/>
    <x v="2"/>
    <x v="5"/>
    <x v="2"/>
    <n v="4157"/>
    <n v="19"/>
    <x v="1"/>
    <n v="1"/>
    <n v="5"/>
    <n v="2"/>
    <n v="2"/>
    <x v="2"/>
    <n v="2"/>
    <x v="0"/>
    <s v="Bad"/>
    <x v="0"/>
    <x v="0"/>
    <x v="0"/>
    <x v="0"/>
    <x v="1"/>
  </r>
  <r>
    <x v="0"/>
    <s v="No"/>
    <x v="1"/>
    <n v="1"/>
    <s v="Male"/>
    <x v="1"/>
    <x v="2"/>
    <x v="0"/>
    <n v="3977"/>
    <n v="19"/>
    <x v="1"/>
    <n v="1"/>
    <n v="7"/>
    <n v="2"/>
    <n v="2"/>
    <x v="2"/>
    <n v="2"/>
    <x v="0"/>
    <s v="Bad"/>
    <x v="0"/>
    <x v="0"/>
    <x v="0"/>
    <x v="0"/>
    <x v="1"/>
  </r>
  <r>
    <x v="0"/>
    <s v="Yes"/>
    <x v="0"/>
    <n v="1"/>
    <s v="Female"/>
    <x v="1"/>
    <x v="3"/>
    <x v="0"/>
    <n v="2044"/>
    <n v="13"/>
    <x v="1"/>
    <n v="0"/>
    <n v="2"/>
    <n v="3"/>
    <n v="2"/>
    <x v="2"/>
    <n v="2"/>
    <x v="0"/>
    <s v="Bad"/>
    <x v="0"/>
    <x v="0"/>
    <x v="0"/>
    <x v="0"/>
    <x v="1"/>
  </r>
  <r>
    <x v="0"/>
    <s v="No"/>
    <x v="1"/>
    <n v="1"/>
    <s v="Male"/>
    <x v="1"/>
    <x v="1"/>
    <x v="2"/>
    <n v="2654"/>
    <n v="21"/>
    <x v="0"/>
    <n v="2"/>
    <n v="8"/>
    <n v="3"/>
    <n v="2"/>
    <x v="2"/>
    <n v="2"/>
    <x v="0"/>
    <s v="Bad"/>
    <x v="0"/>
    <x v="0"/>
    <x v="0"/>
    <x v="0"/>
    <x v="0"/>
  </r>
  <r>
    <x v="0"/>
    <s v="No"/>
    <x v="1"/>
    <n v="1"/>
    <s v="Male"/>
    <x v="1"/>
    <x v="2"/>
    <x v="0"/>
    <n v="3833"/>
    <n v="21"/>
    <x v="0"/>
    <n v="2"/>
    <n v="7"/>
    <n v="2"/>
    <n v="3"/>
    <x v="2"/>
    <n v="2"/>
    <x v="0"/>
    <s v="Good"/>
    <x v="0"/>
    <x v="0"/>
    <x v="0"/>
    <x v="0"/>
    <x v="0"/>
  </r>
  <r>
    <x v="0"/>
    <s v="No"/>
    <x v="0"/>
    <n v="1"/>
    <s v="Male"/>
    <x v="1"/>
    <x v="3"/>
    <x v="1"/>
    <n v="2728"/>
    <n v="11"/>
    <x v="1"/>
    <n v="0"/>
    <n v="2"/>
    <n v="3"/>
    <n v="3"/>
    <x v="2"/>
    <n v="2"/>
    <x v="0"/>
    <s v="Good"/>
    <x v="0"/>
    <x v="0"/>
    <x v="0"/>
    <x v="0"/>
    <x v="1"/>
  </r>
  <r>
    <x v="0"/>
    <s v="Yes"/>
    <x v="0"/>
    <n v="1"/>
    <s v="Female"/>
    <x v="1"/>
    <x v="3"/>
    <x v="2"/>
    <n v="2323"/>
    <n v="14"/>
    <x v="1"/>
    <n v="0"/>
    <n v="2"/>
    <n v="3"/>
    <n v="3"/>
    <x v="2"/>
    <n v="2"/>
    <x v="0"/>
    <s v="Good"/>
    <x v="0"/>
    <x v="0"/>
    <x v="0"/>
    <x v="0"/>
    <x v="1"/>
  </r>
  <r>
    <x v="0"/>
    <s v="No"/>
    <x v="1"/>
    <n v="1"/>
    <s v="Male"/>
    <x v="1"/>
    <x v="1"/>
    <x v="0"/>
    <n v="3505"/>
    <n v="18"/>
    <x v="1"/>
    <n v="0"/>
    <n v="2"/>
    <n v="3"/>
    <n v="3"/>
    <x v="2"/>
    <n v="2"/>
    <x v="0"/>
    <s v="Good"/>
    <x v="0"/>
    <x v="0"/>
    <x v="0"/>
    <x v="0"/>
    <x v="1"/>
  </r>
  <r>
    <x v="0"/>
    <s v="Yes"/>
    <x v="1"/>
    <n v="1"/>
    <s v="Male"/>
    <x v="1"/>
    <x v="2"/>
    <x v="1"/>
    <n v="4031"/>
    <n v="13"/>
    <x v="1"/>
    <n v="1"/>
    <n v="6"/>
    <n v="5"/>
    <n v="3"/>
    <x v="2"/>
    <n v="2"/>
    <x v="0"/>
    <s v="Good"/>
    <x v="0"/>
    <x v="0"/>
    <x v="0"/>
    <x v="0"/>
    <x v="1"/>
  </r>
  <r>
    <x v="0"/>
    <s v="No"/>
    <x v="2"/>
    <n v="1"/>
    <s v="Female"/>
    <x v="2"/>
    <x v="8"/>
    <x v="0"/>
    <n v="5985"/>
    <n v="11"/>
    <x v="1"/>
    <n v="0"/>
    <n v="10"/>
    <n v="1"/>
    <n v="4"/>
    <x v="2"/>
    <n v="2"/>
    <x v="0"/>
    <s v="Good"/>
    <x v="0"/>
    <x v="0"/>
    <x v="0"/>
    <x v="0"/>
    <x v="1"/>
  </r>
  <r>
    <x v="0"/>
    <s v="No"/>
    <x v="1"/>
    <n v="1"/>
    <s v="Male"/>
    <x v="3"/>
    <x v="0"/>
    <x v="2"/>
    <n v="19513"/>
    <n v="12"/>
    <x v="1"/>
    <n v="1"/>
    <n v="26"/>
    <n v="2"/>
    <n v="4"/>
    <x v="2"/>
    <n v="2"/>
    <x v="0"/>
    <s v="Good"/>
    <x v="0"/>
    <x v="0"/>
    <x v="0"/>
    <x v="0"/>
    <x v="1"/>
  </r>
  <r>
    <x v="0"/>
    <s v="No"/>
    <x v="2"/>
    <n v="1"/>
    <s v="Male"/>
    <x v="1"/>
    <x v="8"/>
    <x v="2"/>
    <n v="3737"/>
    <n v="19"/>
    <x v="1"/>
    <n v="1"/>
    <n v="4"/>
    <n v="1"/>
    <n v="1"/>
    <x v="3"/>
    <n v="2"/>
    <x v="0"/>
    <s v="Bad"/>
    <x v="0"/>
    <x v="0"/>
    <x v="0"/>
    <x v="0"/>
    <x v="1"/>
  </r>
  <r>
    <x v="0"/>
    <s v="No"/>
    <x v="1"/>
    <n v="1"/>
    <s v="Male"/>
    <x v="4"/>
    <x v="7"/>
    <x v="0"/>
    <n v="17861"/>
    <n v="13"/>
    <x v="1"/>
    <n v="0"/>
    <n v="26"/>
    <n v="2"/>
    <n v="1"/>
    <x v="3"/>
    <n v="2"/>
    <x v="0"/>
    <s v="Bad"/>
    <x v="0"/>
    <x v="0"/>
    <x v="0"/>
    <x v="0"/>
    <x v="1"/>
  </r>
  <r>
    <x v="0"/>
    <s v="No"/>
    <x v="1"/>
    <n v="1"/>
    <s v="Female"/>
    <x v="1"/>
    <x v="1"/>
    <x v="2"/>
    <n v="2886"/>
    <n v="22"/>
    <x v="0"/>
    <n v="2"/>
    <n v="3"/>
    <n v="3"/>
    <n v="1"/>
    <x v="3"/>
    <n v="2"/>
    <x v="0"/>
    <s v="Bad"/>
    <x v="0"/>
    <x v="0"/>
    <x v="0"/>
    <x v="0"/>
    <x v="0"/>
  </r>
  <r>
    <x v="0"/>
    <s v="No"/>
    <x v="1"/>
    <n v="1"/>
    <s v="Female"/>
    <x v="4"/>
    <x v="0"/>
    <x v="1"/>
    <n v="15402"/>
    <n v="11"/>
    <x v="1"/>
    <n v="1"/>
    <n v="21"/>
    <n v="3"/>
    <n v="1"/>
    <x v="3"/>
    <n v="2"/>
    <x v="0"/>
    <s v="Bad"/>
    <x v="0"/>
    <x v="0"/>
    <x v="0"/>
    <x v="0"/>
    <x v="1"/>
  </r>
  <r>
    <x v="0"/>
    <s v="No"/>
    <x v="1"/>
    <n v="1"/>
    <s v="Male"/>
    <x v="2"/>
    <x v="4"/>
    <x v="2"/>
    <n v="4876"/>
    <n v="14"/>
    <x v="1"/>
    <n v="1"/>
    <n v="5"/>
    <n v="5"/>
    <n v="1"/>
    <x v="3"/>
    <n v="2"/>
    <x v="0"/>
    <s v="Bad"/>
    <x v="0"/>
    <x v="0"/>
    <x v="0"/>
    <x v="0"/>
    <x v="1"/>
  </r>
  <r>
    <x v="0"/>
    <s v="No"/>
    <x v="0"/>
    <n v="1"/>
    <s v="Female"/>
    <x v="1"/>
    <x v="3"/>
    <x v="2"/>
    <n v="2572"/>
    <n v="16"/>
    <x v="1"/>
    <n v="1"/>
    <n v="3"/>
    <n v="1"/>
    <n v="2"/>
    <x v="3"/>
    <n v="2"/>
    <x v="0"/>
    <s v="Bad"/>
    <x v="0"/>
    <x v="0"/>
    <x v="0"/>
    <x v="0"/>
    <x v="1"/>
  </r>
  <r>
    <x v="0"/>
    <s v="No"/>
    <x v="0"/>
    <n v="1"/>
    <s v="Female"/>
    <x v="2"/>
    <x v="5"/>
    <x v="0"/>
    <n v="4999"/>
    <n v="21"/>
    <x v="0"/>
    <n v="1"/>
    <n v="4"/>
    <n v="2"/>
    <n v="2"/>
    <x v="3"/>
    <n v="2"/>
    <x v="0"/>
    <s v="Bad"/>
    <x v="0"/>
    <x v="0"/>
    <x v="0"/>
    <x v="0"/>
    <x v="0"/>
  </r>
  <r>
    <x v="0"/>
    <s v="No"/>
    <x v="1"/>
    <n v="1"/>
    <s v="Male"/>
    <x v="1"/>
    <x v="2"/>
    <x v="0"/>
    <n v="3690"/>
    <n v="15"/>
    <x v="1"/>
    <n v="1"/>
    <n v="5"/>
    <n v="2"/>
    <n v="2"/>
    <x v="3"/>
    <n v="2"/>
    <x v="0"/>
    <s v="Bad"/>
    <x v="0"/>
    <x v="0"/>
    <x v="0"/>
    <x v="0"/>
    <x v="1"/>
  </r>
  <r>
    <x v="0"/>
    <s v="No"/>
    <x v="1"/>
    <n v="1"/>
    <s v="Male"/>
    <x v="1"/>
    <x v="2"/>
    <x v="2"/>
    <n v="3229"/>
    <n v="11"/>
    <x v="1"/>
    <n v="1"/>
    <n v="7"/>
    <n v="2"/>
    <n v="2"/>
    <x v="3"/>
    <n v="2"/>
    <x v="0"/>
    <s v="Bad"/>
    <x v="0"/>
    <x v="0"/>
    <x v="0"/>
    <x v="0"/>
    <x v="1"/>
  </r>
  <r>
    <x v="0"/>
    <s v="No"/>
    <x v="1"/>
    <n v="1"/>
    <s v="Female"/>
    <x v="1"/>
    <x v="1"/>
    <x v="0"/>
    <n v="4477"/>
    <n v="19"/>
    <x v="1"/>
    <n v="1"/>
    <n v="7"/>
    <n v="2"/>
    <n v="2"/>
    <x v="3"/>
    <n v="2"/>
    <x v="0"/>
    <s v="Bad"/>
    <x v="0"/>
    <x v="0"/>
    <x v="0"/>
    <x v="0"/>
    <x v="1"/>
  </r>
  <r>
    <x v="0"/>
    <s v="No"/>
    <x v="1"/>
    <n v="1"/>
    <s v="Male"/>
    <x v="1"/>
    <x v="2"/>
    <x v="2"/>
    <n v="2818"/>
    <n v="24"/>
    <x v="0"/>
    <n v="1"/>
    <n v="10"/>
    <n v="2"/>
    <n v="2"/>
    <x v="3"/>
    <n v="2"/>
    <x v="0"/>
    <s v="Bad"/>
    <x v="0"/>
    <x v="0"/>
    <x v="0"/>
    <x v="0"/>
    <x v="0"/>
  </r>
  <r>
    <x v="0"/>
    <s v="No"/>
    <x v="1"/>
    <n v="1"/>
    <s v="Male"/>
    <x v="2"/>
    <x v="4"/>
    <x v="0"/>
    <n v="5347"/>
    <n v="14"/>
    <x v="1"/>
    <n v="2"/>
    <n v="10"/>
    <n v="2"/>
    <n v="2"/>
    <x v="3"/>
    <n v="2"/>
    <x v="0"/>
    <s v="Bad"/>
    <x v="0"/>
    <x v="0"/>
    <x v="0"/>
    <x v="0"/>
    <x v="1"/>
  </r>
  <r>
    <x v="0"/>
    <s v="No"/>
    <x v="1"/>
    <n v="1"/>
    <s v="Female"/>
    <x v="4"/>
    <x v="6"/>
    <x v="0"/>
    <n v="12965"/>
    <n v="20"/>
    <x v="0"/>
    <n v="3"/>
    <n v="27"/>
    <n v="2"/>
    <n v="2"/>
    <x v="3"/>
    <n v="2"/>
    <x v="0"/>
    <s v="Bad"/>
    <x v="0"/>
    <x v="0"/>
    <x v="0"/>
    <x v="0"/>
    <x v="0"/>
  </r>
  <r>
    <x v="0"/>
    <s v="No"/>
    <x v="1"/>
    <n v="1"/>
    <s v="Male"/>
    <x v="2"/>
    <x v="6"/>
    <x v="0"/>
    <n v="4033"/>
    <n v="11"/>
    <x v="1"/>
    <n v="0"/>
    <n v="5"/>
    <n v="3"/>
    <n v="2"/>
    <x v="3"/>
    <n v="2"/>
    <x v="0"/>
    <s v="Bad"/>
    <x v="0"/>
    <x v="0"/>
    <x v="0"/>
    <x v="0"/>
    <x v="1"/>
  </r>
  <r>
    <x v="0"/>
    <s v="No"/>
    <x v="0"/>
    <n v="1"/>
    <s v="Female"/>
    <x v="2"/>
    <x v="5"/>
    <x v="1"/>
    <n v="5647"/>
    <n v="13"/>
    <x v="1"/>
    <n v="2"/>
    <n v="11"/>
    <n v="3"/>
    <n v="2"/>
    <x v="3"/>
    <n v="2"/>
    <x v="0"/>
    <s v="Bad"/>
    <x v="0"/>
    <x v="0"/>
    <x v="0"/>
    <x v="0"/>
    <x v="1"/>
  </r>
  <r>
    <x v="0"/>
    <s v="No"/>
    <x v="1"/>
    <n v="1"/>
    <s v="Female"/>
    <x v="1"/>
    <x v="1"/>
    <x v="0"/>
    <n v="3517"/>
    <n v="17"/>
    <x v="1"/>
    <n v="0"/>
    <n v="5"/>
    <n v="0"/>
    <n v="3"/>
    <x v="3"/>
    <n v="2"/>
    <x v="0"/>
    <s v="Good"/>
    <x v="0"/>
    <x v="0"/>
    <x v="0"/>
    <x v="0"/>
    <x v="1"/>
  </r>
  <r>
    <x v="0"/>
    <s v="No"/>
    <x v="1"/>
    <n v="1"/>
    <s v="Male"/>
    <x v="2"/>
    <x v="6"/>
    <x v="3"/>
    <n v="4941"/>
    <n v="20"/>
    <x v="0"/>
    <n v="2"/>
    <n v="7"/>
    <n v="0"/>
    <n v="3"/>
    <x v="3"/>
    <n v="2"/>
    <x v="0"/>
    <s v="Good"/>
    <x v="0"/>
    <x v="0"/>
    <x v="0"/>
    <x v="0"/>
    <x v="0"/>
  </r>
  <r>
    <x v="0"/>
    <s v="No"/>
    <x v="1"/>
    <n v="1"/>
    <s v="Male"/>
    <x v="1"/>
    <x v="1"/>
    <x v="1"/>
    <n v="2799"/>
    <n v="11"/>
    <x v="1"/>
    <n v="0"/>
    <n v="6"/>
    <n v="1"/>
    <n v="3"/>
    <x v="3"/>
    <n v="2"/>
    <x v="0"/>
    <s v="Good"/>
    <x v="0"/>
    <x v="0"/>
    <x v="0"/>
    <x v="0"/>
    <x v="1"/>
  </r>
  <r>
    <x v="0"/>
    <s v="No"/>
    <x v="1"/>
    <n v="1"/>
    <s v="Male"/>
    <x v="2"/>
    <x v="6"/>
    <x v="0"/>
    <n v="6434"/>
    <n v="17"/>
    <x v="1"/>
    <n v="1"/>
    <n v="9"/>
    <n v="1"/>
    <n v="3"/>
    <x v="3"/>
    <n v="2"/>
    <x v="0"/>
    <s v="Good"/>
    <x v="0"/>
    <x v="0"/>
    <x v="0"/>
    <x v="0"/>
    <x v="1"/>
  </r>
  <r>
    <x v="0"/>
    <s v="No"/>
    <x v="1"/>
    <n v="1"/>
    <s v="Female"/>
    <x v="2"/>
    <x v="1"/>
    <x v="1"/>
    <n v="6545"/>
    <n v="13"/>
    <x v="1"/>
    <n v="0"/>
    <n v="10"/>
    <n v="1"/>
    <n v="3"/>
    <x v="3"/>
    <n v="2"/>
    <x v="0"/>
    <s v="Good"/>
    <x v="0"/>
    <x v="0"/>
    <x v="0"/>
    <x v="0"/>
    <x v="1"/>
  </r>
  <r>
    <x v="0"/>
    <s v="Yes"/>
    <x v="0"/>
    <n v="1"/>
    <s v="Male"/>
    <x v="1"/>
    <x v="3"/>
    <x v="0"/>
    <n v="2683"/>
    <n v="14"/>
    <x v="1"/>
    <n v="0"/>
    <n v="3"/>
    <n v="2"/>
    <n v="3"/>
    <x v="3"/>
    <n v="2"/>
    <x v="0"/>
    <s v="Good"/>
    <x v="0"/>
    <x v="0"/>
    <x v="0"/>
    <x v="0"/>
    <x v="1"/>
  </r>
  <r>
    <x v="0"/>
    <s v="No"/>
    <x v="1"/>
    <n v="1"/>
    <s v="Female"/>
    <x v="1"/>
    <x v="2"/>
    <x v="2"/>
    <n v="2659"/>
    <n v="13"/>
    <x v="1"/>
    <n v="1"/>
    <n v="3"/>
    <n v="2"/>
    <n v="3"/>
    <x v="3"/>
    <n v="2"/>
    <x v="0"/>
    <s v="Good"/>
    <x v="0"/>
    <x v="0"/>
    <x v="0"/>
    <x v="0"/>
    <x v="1"/>
  </r>
  <r>
    <x v="0"/>
    <s v="Yes"/>
    <x v="0"/>
    <n v="1"/>
    <s v="Male"/>
    <x v="1"/>
    <x v="3"/>
    <x v="2"/>
    <n v="2275"/>
    <n v="21"/>
    <x v="0"/>
    <n v="1"/>
    <n v="3"/>
    <n v="2"/>
    <n v="3"/>
    <x v="3"/>
    <n v="2"/>
    <x v="0"/>
    <s v="Good"/>
    <x v="0"/>
    <x v="0"/>
    <x v="0"/>
    <x v="0"/>
    <x v="0"/>
  </r>
  <r>
    <x v="0"/>
    <s v="No"/>
    <x v="1"/>
    <n v="1"/>
    <s v="Female"/>
    <x v="2"/>
    <x v="6"/>
    <x v="3"/>
    <n v="4788"/>
    <n v="11"/>
    <x v="1"/>
    <n v="0"/>
    <n v="4"/>
    <n v="2"/>
    <n v="3"/>
    <x v="3"/>
    <n v="2"/>
    <x v="0"/>
    <s v="Good"/>
    <x v="0"/>
    <x v="0"/>
    <x v="0"/>
    <x v="0"/>
    <x v="1"/>
  </r>
  <r>
    <x v="0"/>
    <s v="Yes"/>
    <x v="1"/>
    <n v="1"/>
    <s v="Male"/>
    <x v="1"/>
    <x v="2"/>
    <x v="3"/>
    <n v="2373"/>
    <n v="13"/>
    <x v="1"/>
    <n v="1"/>
    <n v="5"/>
    <n v="2"/>
    <n v="3"/>
    <x v="3"/>
    <n v="2"/>
    <x v="0"/>
    <s v="Good"/>
    <x v="0"/>
    <x v="0"/>
    <x v="0"/>
    <x v="0"/>
    <x v="1"/>
  </r>
  <r>
    <x v="0"/>
    <s v="No"/>
    <x v="0"/>
    <n v="1"/>
    <s v="Male"/>
    <x v="2"/>
    <x v="5"/>
    <x v="2"/>
    <n v="6931"/>
    <n v="14"/>
    <x v="1"/>
    <n v="1"/>
    <n v="10"/>
    <n v="2"/>
    <n v="3"/>
    <x v="3"/>
    <n v="2"/>
    <x v="0"/>
    <s v="Good"/>
    <x v="0"/>
    <x v="0"/>
    <x v="0"/>
    <x v="0"/>
    <x v="1"/>
  </r>
  <r>
    <x v="0"/>
    <s v="Yes"/>
    <x v="2"/>
    <n v="1"/>
    <s v="Female"/>
    <x v="0"/>
    <x v="8"/>
    <x v="1"/>
    <n v="9950"/>
    <n v="15"/>
    <x v="1"/>
    <n v="3"/>
    <n v="11"/>
    <n v="2"/>
    <n v="3"/>
    <x v="3"/>
    <n v="2"/>
    <x v="0"/>
    <s v="Good"/>
    <x v="0"/>
    <x v="0"/>
    <x v="0"/>
    <x v="0"/>
    <x v="1"/>
  </r>
  <r>
    <x v="0"/>
    <s v="No"/>
    <x v="1"/>
    <n v="1"/>
    <s v="Male"/>
    <x v="2"/>
    <x v="6"/>
    <x v="3"/>
    <n v="8847"/>
    <n v="11"/>
    <x v="1"/>
    <n v="1"/>
    <n v="13"/>
    <n v="2"/>
    <n v="3"/>
    <x v="3"/>
    <n v="2"/>
    <x v="0"/>
    <s v="Good"/>
    <x v="0"/>
    <x v="0"/>
    <x v="0"/>
    <x v="0"/>
    <x v="1"/>
  </r>
  <r>
    <x v="0"/>
    <s v="No"/>
    <x v="0"/>
    <n v="1"/>
    <s v="Female"/>
    <x v="2"/>
    <x v="5"/>
    <x v="1"/>
    <n v="4538"/>
    <n v="12"/>
    <x v="1"/>
    <n v="0"/>
    <n v="4"/>
    <n v="3"/>
    <n v="3"/>
    <x v="3"/>
    <n v="2"/>
    <x v="0"/>
    <s v="Good"/>
    <x v="0"/>
    <x v="0"/>
    <x v="0"/>
    <x v="0"/>
    <x v="1"/>
  </r>
  <r>
    <x v="0"/>
    <s v="No"/>
    <x v="0"/>
    <n v="1"/>
    <s v="Female"/>
    <x v="2"/>
    <x v="5"/>
    <x v="3"/>
    <n v="4302"/>
    <n v="17"/>
    <x v="1"/>
    <n v="1"/>
    <n v="4"/>
    <n v="3"/>
    <n v="3"/>
    <x v="3"/>
    <n v="2"/>
    <x v="0"/>
    <s v="Good"/>
    <x v="0"/>
    <x v="0"/>
    <x v="0"/>
    <x v="0"/>
    <x v="1"/>
  </r>
  <r>
    <x v="0"/>
    <s v="No"/>
    <x v="1"/>
    <n v="1"/>
    <s v="Female"/>
    <x v="1"/>
    <x v="2"/>
    <x v="3"/>
    <n v="3180"/>
    <n v="13"/>
    <x v="1"/>
    <n v="3"/>
    <n v="4"/>
    <n v="3"/>
    <n v="3"/>
    <x v="3"/>
    <n v="2"/>
    <x v="0"/>
    <s v="Good"/>
    <x v="0"/>
    <x v="0"/>
    <x v="0"/>
    <x v="0"/>
    <x v="1"/>
  </r>
  <r>
    <x v="0"/>
    <s v="Yes"/>
    <x v="0"/>
    <n v="1"/>
    <s v="Female"/>
    <x v="1"/>
    <x v="3"/>
    <x v="0"/>
    <n v="2800"/>
    <n v="19"/>
    <x v="1"/>
    <n v="3"/>
    <n v="5"/>
    <n v="3"/>
    <n v="3"/>
    <x v="3"/>
    <n v="2"/>
    <x v="0"/>
    <s v="Good"/>
    <x v="0"/>
    <x v="0"/>
    <x v="0"/>
    <x v="0"/>
    <x v="1"/>
  </r>
  <r>
    <x v="0"/>
    <s v="Yes"/>
    <x v="0"/>
    <n v="1"/>
    <s v="Female"/>
    <x v="2"/>
    <x v="5"/>
    <x v="1"/>
    <n v="5324"/>
    <n v="15"/>
    <x v="1"/>
    <n v="0"/>
    <n v="6"/>
    <n v="3"/>
    <n v="3"/>
    <x v="3"/>
    <n v="2"/>
    <x v="0"/>
    <s v="Good"/>
    <x v="0"/>
    <x v="0"/>
    <x v="0"/>
    <x v="0"/>
    <x v="1"/>
  </r>
  <r>
    <x v="0"/>
    <s v="No"/>
    <x v="1"/>
    <n v="1"/>
    <s v="Female"/>
    <x v="1"/>
    <x v="1"/>
    <x v="2"/>
    <n v="3312"/>
    <n v="17"/>
    <x v="1"/>
    <n v="2"/>
    <n v="6"/>
    <n v="3"/>
    <n v="3"/>
    <x v="3"/>
    <n v="2"/>
    <x v="0"/>
    <s v="Good"/>
    <x v="0"/>
    <x v="0"/>
    <x v="0"/>
    <x v="0"/>
    <x v="1"/>
  </r>
  <r>
    <x v="0"/>
    <s v="Yes"/>
    <x v="2"/>
    <n v="1"/>
    <s v="Male"/>
    <x v="1"/>
    <x v="8"/>
    <x v="1"/>
    <n v="2073"/>
    <n v="22"/>
    <x v="0"/>
    <n v="0"/>
    <n v="7"/>
    <n v="3"/>
    <n v="3"/>
    <x v="3"/>
    <n v="2"/>
    <x v="0"/>
    <s v="Good"/>
    <x v="0"/>
    <x v="0"/>
    <x v="0"/>
    <x v="0"/>
    <x v="0"/>
  </r>
  <r>
    <x v="0"/>
    <s v="No"/>
    <x v="2"/>
    <n v="1"/>
    <s v="Female"/>
    <x v="1"/>
    <x v="8"/>
    <x v="3"/>
    <n v="2109"/>
    <n v="18"/>
    <x v="1"/>
    <n v="0"/>
    <n v="8"/>
    <n v="3"/>
    <n v="3"/>
    <x v="3"/>
    <n v="2"/>
    <x v="0"/>
    <s v="Good"/>
    <x v="0"/>
    <x v="0"/>
    <x v="0"/>
    <x v="0"/>
    <x v="1"/>
  </r>
  <r>
    <x v="0"/>
    <s v="No"/>
    <x v="0"/>
    <n v="1"/>
    <s v="Female"/>
    <x v="2"/>
    <x v="5"/>
    <x v="1"/>
    <n v="4779"/>
    <n v="14"/>
    <x v="1"/>
    <n v="2"/>
    <n v="8"/>
    <n v="3"/>
    <n v="3"/>
    <x v="3"/>
    <n v="2"/>
    <x v="0"/>
    <s v="Good"/>
    <x v="0"/>
    <x v="0"/>
    <x v="0"/>
    <x v="0"/>
    <x v="1"/>
  </r>
  <r>
    <x v="0"/>
    <s v="No"/>
    <x v="1"/>
    <n v="1"/>
    <s v="Male"/>
    <x v="2"/>
    <x v="2"/>
    <x v="2"/>
    <n v="3681"/>
    <n v="14"/>
    <x v="1"/>
    <n v="0"/>
    <n v="9"/>
    <n v="3"/>
    <n v="3"/>
    <x v="3"/>
    <n v="2"/>
    <x v="0"/>
    <s v="Good"/>
    <x v="0"/>
    <x v="0"/>
    <x v="0"/>
    <x v="0"/>
    <x v="1"/>
  </r>
  <r>
    <x v="0"/>
    <s v="No"/>
    <x v="1"/>
    <n v="1"/>
    <s v="Male"/>
    <x v="2"/>
    <x v="2"/>
    <x v="1"/>
    <n v="5562"/>
    <n v="13"/>
    <x v="1"/>
    <n v="1"/>
    <n v="9"/>
    <n v="3"/>
    <n v="3"/>
    <x v="3"/>
    <n v="2"/>
    <x v="0"/>
    <s v="Good"/>
    <x v="0"/>
    <x v="0"/>
    <x v="0"/>
    <x v="0"/>
    <x v="1"/>
  </r>
  <r>
    <x v="0"/>
    <s v="No"/>
    <x v="1"/>
    <n v="1"/>
    <s v="Female"/>
    <x v="1"/>
    <x v="1"/>
    <x v="2"/>
    <n v="3452"/>
    <n v="18"/>
    <x v="1"/>
    <n v="0"/>
    <n v="5"/>
    <n v="4"/>
    <n v="3"/>
    <x v="3"/>
    <n v="2"/>
    <x v="0"/>
    <s v="Good"/>
    <x v="0"/>
    <x v="0"/>
    <x v="0"/>
    <x v="0"/>
    <x v="1"/>
  </r>
  <r>
    <x v="0"/>
    <s v="No"/>
    <x v="1"/>
    <n v="1"/>
    <s v="Female"/>
    <x v="1"/>
    <x v="2"/>
    <x v="0"/>
    <n v="3629"/>
    <n v="18"/>
    <x v="1"/>
    <n v="0"/>
    <n v="8"/>
    <n v="6"/>
    <n v="3"/>
    <x v="3"/>
    <n v="2"/>
    <x v="0"/>
    <s v="Good"/>
    <x v="0"/>
    <x v="0"/>
    <x v="0"/>
    <x v="0"/>
    <x v="1"/>
  </r>
  <r>
    <x v="0"/>
    <s v="No"/>
    <x v="1"/>
    <n v="1"/>
    <s v="Female"/>
    <x v="0"/>
    <x v="4"/>
    <x v="1"/>
    <n v="8008"/>
    <n v="12"/>
    <x v="1"/>
    <n v="2"/>
    <n v="9"/>
    <n v="6"/>
    <n v="3"/>
    <x v="3"/>
    <n v="2"/>
    <x v="0"/>
    <s v="Good"/>
    <x v="0"/>
    <x v="0"/>
    <x v="0"/>
    <x v="0"/>
    <x v="1"/>
  </r>
  <r>
    <x v="0"/>
    <s v="No"/>
    <x v="1"/>
    <n v="1"/>
    <s v="Male"/>
    <x v="1"/>
    <x v="2"/>
    <x v="0"/>
    <n v="2305"/>
    <n v="15"/>
    <x v="1"/>
    <n v="3"/>
    <n v="3"/>
    <n v="3"/>
    <n v="4"/>
    <x v="3"/>
    <n v="2"/>
    <x v="0"/>
    <s v="Good"/>
    <x v="0"/>
    <x v="0"/>
    <x v="0"/>
    <x v="0"/>
    <x v="1"/>
  </r>
  <r>
    <x v="0"/>
    <s v="Yes"/>
    <x v="1"/>
    <n v="1"/>
    <s v="Female"/>
    <x v="2"/>
    <x v="6"/>
    <x v="0"/>
    <n v="4171"/>
    <n v="19"/>
    <x v="1"/>
    <n v="1"/>
    <n v="4"/>
    <n v="3"/>
    <n v="4"/>
    <x v="3"/>
    <n v="2"/>
    <x v="0"/>
    <s v="Good"/>
    <x v="0"/>
    <x v="0"/>
    <x v="0"/>
    <x v="0"/>
    <x v="1"/>
  </r>
  <r>
    <x v="0"/>
    <s v="No"/>
    <x v="1"/>
    <n v="1"/>
    <s v="Male"/>
    <x v="1"/>
    <x v="1"/>
    <x v="1"/>
    <n v="2819"/>
    <n v="16"/>
    <x v="1"/>
    <n v="1"/>
    <n v="5"/>
    <n v="3"/>
    <n v="4"/>
    <x v="3"/>
    <n v="2"/>
    <x v="0"/>
    <s v="Good"/>
    <x v="0"/>
    <x v="0"/>
    <x v="0"/>
    <x v="0"/>
    <x v="1"/>
  </r>
  <r>
    <x v="0"/>
    <s v="No"/>
    <x v="1"/>
    <n v="1"/>
    <s v="Male"/>
    <x v="2"/>
    <x v="4"/>
    <x v="0"/>
    <n v="6294"/>
    <n v="12"/>
    <x v="1"/>
    <n v="0"/>
    <n v="10"/>
    <n v="5"/>
    <n v="4"/>
    <x v="3"/>
    <n v="2"/>
    <x v="0"/>
    <s v="Good"/>
    <x v="0"/>
    <x v="0"/>
    <x v="0"/>
    <x v="0"/>
    <x v="1"/>
  </r>
  <r>
    <x v="0"/>
    <s v="Yes"/>
    <x v="1"/>
    <n v="1"/>
    <s v="Male"/>
    <x v="1"/>
    <x v="2"/>
    <x v="3"/>
    <n v="3743"/>
    <n v="24"/>
    <x v="0"/>
    <n v="1"/>
    <n v="5"/>
    <n v="2"/>
    <n v="1"/>
    <x v="11"/>
    <n v="2"/>
    <x v="0"/>
    <s v="Bad"/>
    <x v="2"/>
    <x v="0"/>
    <x v="0"/>
    <x v="0"/>
    <x v="0"/>
  </r>
  <r>
    <x v="0"/>
    <s v="Yes"/>
    <x v="1"/>
    <n v="1"/>
    <s v="Male"/>
    <x v="1"/>
    <x v="2"/>
    <x v="1"/>
    <n v="2166"/>
    <n v="14"/>
    <x v="1"/>
    <n v="0"/>
    <n v="10"/>
    <n v="3"/>
    <n v="1"/>
    <x v="11"/>
    <n v="2"/>
    <x v="0"/>
    <s v="Bad"/>
    <x v="2"/>
    <x v="0"/>
    <x v="0"/>
    <x v="0"/>
    <x v="1"/>
  </r>
  <r>
    <x v="0"/>
    <s v="No"/>
    <x v="1"/>
    <n v="1"/>
    <s v="Male"/>
    <x v="1"/>
    <x v="1"/>
    <x v="2"/>
    <n v="2904"/>
    <n v="12"/>
    <x v="1"/>
    <n v="2"/>
    <n v="4"/>
    <n v="2"/>
    <n v="2"/>
    <x v="11"/>
    <n v="2"/>
    <x v="0"/>
    <s v="Bad"/>
    <x v="2"/>
    <x v="0"/>
    <x v="0"/>
    <x v="0"/>
    <x v="1"/>
  </r>
  <r>
    <x v="0"/>
    <s v="No"/>
    <x v="1"/>
    <n v="1"/>
    <s v="Male"/>
    <x v="1"/>
    <x v="2"/>
    <x v="0"/>
    <n v="2154"/>
    <n v="11"/>
    <x v="1"/>
    <n v="0"/>
    <n v="5"/>
    <n v="2"/>
    <n v="2"/>
    <x v="11"/>
    <n v="2"/>
    <x v="0"/>
    <s v="Bad"/>
    <x v="2"/>
    <x v="0"/>
    <x v="0"/>
    <x v="0"/>
    <x v="1"/>
  </r>
  <r>
    <x v="0"/>
    <s v="No"/>
    <x v="0"/>
    <n v="1"/>
    <s v="Female"/>
    <x v="2"/>
    <x v="5"/>
    <x v="2"/>
    <n v="8103"/>
    <n v="12"/>
    <x v="1"/>
    <n v="0"/>
    <n v="9"/>
    <n v="3"/>
    <n v="2"/>
    <x v="11"/>
    <n v="2"/>
    <x v="0"/>
    <s v="Bad"/>
    <x v="2"/>
    <x v="0"/>
    <x v="0"/>
    <x v="0"/>
    <x v="1"/>
  </r>
  <r>
    <x v="0"/>
    <s v="No"/>
    <x v="0"/>
    <n v="1"/>
    <s v="Female"/>
    <x v="2"/>
    <x v="3"/>
    <x v="2"/>
    <n v="5405"/>
    <n v="20"/>
    <x v="0"/>
    <n v="2"/>
    <n v="20"/>
    <n v="4"/>
    <n v="2"/>
    <x v="11"/>
    <n v="2"/>
    <x v="0"/>
    <s v="Bad"/>
    <x v="2"/>
    <x v="0"/>
    <x v="0"/>
    <x v="0"/>
    <x v="0"/>
  </r>
  <r>
    <x v="0"/>
    <s v="No"/>
    <x v="1"/>
    <n v="1"/>
    <s v="Male"/>
    <x v="1"/>
    <x v="1"/>
    <x v="0"/>
    <n v="2127"/>
    <n v="12"/>
    <x v="1"/>
    <n v="0"/>
    <n v="7"/>
    <n v="5"/>
    <n v="2"/>
    <x v="11"/>
    <n v="2"/>
    <x v="0"/>
    <s v="Bad"/>
    <x v="2"/>
    <x v="0"/>
    <x v="0"/>
    <x v="0"/>
    <x v="1"/>
  </r>
  <r>
    <x v="0"/>
    <s v="No"/>
    <x v="1"/>
    <n v="1"/>
    <s v="Male"/>
    <x v="1"/>
    <x v="1"/>
    <x v="0"/>
    <n v="3544"/>
    <n v="16"/>
    <x v="1"/>
    <n v="1"/>
    <n v="6"/>
    <n v="0"/>
    <n v="3"/>
    <x v="11"/>
    <n v="2"/>
    <x v="0"/>
    <s v="Good"/>
    <x v="2"/>
    <x v="0"/>
    <x v="0"/>
    <x v="0"/>
    <x v="1"/>
  </r>
  <r>
    <x v="0"/>
    <s v="No"/>
    <x v="1"/>
    <n v="1"/>
    <s v="Female"/>
    <x v="1"/>
    <x v="1"/>
    <x v="2"/>
    <n v="3929"/>
    <n v="23"/>
    <x v="0"/>
    <n v="1"/>
    <n v="7"/>
    <n v="0"/>
    <n v="3"/>
    <x v="11"/>
    <n v="2"/>
    <x v="0"/>
    <s v="Good"/>
    <x v="2"/>
    <x v="0"/>
    <x v="0"/>
    <x v="0"/>
    <x v="0"/>
  </r>
  <r>
    <x v="0"/>
    <s v="No"/>
    <x v="1"/>
    <n v="1"/>
    <s v="Male"/>
    <x v="1"/>
    <x v="1"/>
    <x v="0"/>
    <n v="2610"/>
    <n v="11"/>
    <x v="1"/>
    <n v="3"/>
    <n v="4"/>
    <n v="2"/>
    <n v="3"/>
    <x v="11"/>
    <n v="2"/>
    <x v="0"/>
    <s v="Good"/>
    <x v="2"/>
    <x v="0"/>
    <x v="0"/>
    <x v="0"/>
    <x v="1"/>
  </r>
  <r>
    <x v="0"/>
    <s v="No"/>
    <x v="0"/>
    <n v="1"/>
    <s v="Female"/>
    <x v="1"/>
    <x v="3"/>
    <x v="0"/>
    <n v="2966"/>
    <n v="18"/>
    <x v="1"/>
    <n v="0"/>
    <n v="5"/>
    <n v="2"/>
    <n v="3"/>
    <x v="11"/>
    <n v="2"/>
    <x v="0"/>
    <s v="Good"/>
    <x v="2"/>
    <x v="0"/>
    <x v="0"/>
    <x v="0"/>
    <x v="1"/>
  </r>
  <r>
    <x v="0"/>
    <s v="No"/>
    <x v="1"/>
    <n v="1"/>
    <s v="Female"/>
    <x v="1"/>
    <x v="1"/>
    <x v="1"/>
    <n v="3580"/>
    <n v="16"/>
    <x v="1"/>
    <n v="1"/>
    <n v="7"/>
    <n v="2"/>
    <n v="3"/>
    <x v="11"/>
    <n v="2"/>
    <x v="0"/>
    <s v="Good"/>
    <x v="2"/>
    <x v="0"/>
    <x v="0"/>
    <x v="0"/>
    <x v="1"/>
  </r>
  <r>
    <x v="0"/>
    <s v="No"/>
    <x v="2"/>
    <n v="1"/>
    <s v="Male"/>
    <x v="2"/>
    <x v="8"/>
    <x v="3"/>
    <n v="5021"/>
    <n v="22"/>
    <x v="0"/>
    <n v="1"/>
    <n v="16"/>
    <n v="2"/>
    <n v="3"/>
    <x v="11"/>
    <n v="2"/>
    <x v="0"/>
    <s v="Good"/>
    <x v="2"/>
    <x v="0"/>
    <x v="0"/>
    <x v="0"/>
    <x v="0"/>
  </r>
  <r>
    <x v="0"/>
    <s v="Yes"/>
    <x v="1"/>
    <n v="1"/>
    <s v="Male"/>
    <x v="0"/>
    <x v="6"/>
    <x v="2"/>
    <n v="10650"/>
    <n v="15"/>
    <x v="1"/>
    <n v="0"/>
    <n v="18"/>
    <n v="2"/>
    <n v="3"/>
    <x v="11"/>
    <n v="2"/>
    <x v="0"/>
    <s v="Good"/>
    <x v="2"/>
    <x v="0"/>
    <x v="0"/>
    <x v="0"/>
    <x v="1"/>
  </r>
  <r>
    <x v="0"/>
    <s v="No"/>
    <x v="1"/>
    <n v="1"/>
    <s v="Male"/>
    <x v="3"/>
    <x v="7"/>
    <x v="3"/>
    <n v="19081"/>
    <n v="11"/>
    <x v="1"/>
    <n v="1"/>
    <n v="25"/>
    <n v="2"/>
    <n v="3"/>
    <x v="11"/>
    <n v="2"/>
    <x v="0"/>
    <s v="Good"/>
    <x v="2"/>
    <x v="0"/>
    <x v="0"/>
    <x v="0"/>
    <x v="1"/>
  </r>
  <r>
    <x v="0"/>
    <s v="No"/>
    <x v="0"/>
    <n v="1"/>
    <s v="Male"/>
    <x v="2"/>
    <x v="5"/>
    <x v="2"/>
    <n v="4908"/>
    <n v="14"/>
    <x v="1"/>
    <n v="0"/>
    <n v="4"/>
    <n v="3"/>
    <n v="3"/>
    <x v="11"/>
    <n v="2"/>
    <x v="0"/>
    <s v="Good"/>
    <x v="2"/>
    <x v="0"/>
    <x v="0"/>
    <x v="0"/>
    <x v="1"/>
  </r>
  <r>
    <x v="0"/>
    <s v="No"/>
    <x v="1"/>
    <n v="1"/>
    <s v="Male"/>
    <x v="1"/>
    <x v="2"/>
    <x v="3"/>
    <n v="2387"/>
    <n v="22"/>
    <x v="0"/>
    <n v="1"/>
    <n v="7"/>
    <n v="3"/>
    <n v="3"/>
    <x v="11"/>
    <n v="2"/>
    <x v="0"/>
    <s v="Good"/>
    <x v="2"/>
    <x v="0"/>
    <x v="0"/>
    <x v="0"/>
    <x v="0"/>
  </r>
  <r>
    <x v="0"/>
    <s v="No"/>
    <x v="1"/>
    <n v="1"/>
    <s v="Male"/>
    <x v="2"/>
    <x v="4"/>
    <x v="0"/>
    <n v="5399"/>
    <n v="12"/>
    <x v="1"/>
    <n v="0"/>
    <n v="12"/>
    <n v="3"/>
    <n v="3"/>
    <x v="11"/>
    <n v="2"/>
    <x v="0"/>
    <s v="Good"/>
    <x v="2"/>
    <x v="0"/>
    <x v="0"/>
    <x v="0"/>
    <x v="1"/>
  </r>
  <r>
    <x v="0"/>
    <s v="No"/>
    <x v="1"/>
    <n v="1"/>
    <s v="Male"/>
    <x v="0"/>
    <x v="4"/>
    <x v="1"/>
    <n v="9396"/>
    <n v="16"/>
    <x v="1"/>
    <n v="1"/>
    <n v="17"/>
    <n v="3"/>
    <n v="3"/>
    <x v="11"/>
    <n v="2"/>
    <x v="0"/>
    <s v="Good"/>
    <x v="2"/>
    <x v="0"/>
    <x v="0"/>
    <x v="0"/>
    <x v="1"/>
  </r>
  <r>
    <x v="0"/>
    <s v="No"/>
    <x v="1"/>
    <n v="1"/>
    <s v="Female"/>
    <x v="2"/>
    <x v="6"/>
    <x v="3"/>
    <n v="5131"/>
    <n v="13"/>
    <x v="1"/>
    <n v="3"/>
    <n v="18"/>
    <n v="3"/>
    <n v="3"/>
    <x v="11"/>
    <n v="2"/>
    <x v="0"/>
    <s v="Good"/>
    <x v="2"/>
    <x v="0"/>
    <x v="0"/>
    <x v="0"/>
    <x v="1"/>
  </r>
  <r>
    <x v="0"/>
    <s v="Yes"/>
    <x v="1"/>
    <n v="1"/>
    <s v="Male"/>
    <x v="1"/>
    <x v="2"/>
    <x v="0"/>
    <n v="2028"/>
    <n v="14"/>
    <x v="1"/>
    <n v="0"/>
    <n v="6"/>
    <n v="4"/>
    <n v="3"/>
    <x v="11"/>
    <n v="2"/>
    <x v="0"/>
    <s v="Good"/>
    <x v="2"/>
    <x v="0"/>
    <x v="0"/>
    <x v="0"/>
    <x v="1"/>
  </r>
  <r>
    <x v="0"/>
    <s v="No"/>
    <x v="1"/>
    <n v="1"/>
    <s v="Male"/>
    <x v="1"/>
    <x v="2"/>
    <x v="2"/>
    <n v="2075"/>
    <n v="23"/>
    <x v="0"/>
    <n v="2"/>
    <n v="10"/>
    <n v="4"/>
    <n v="3"/>
    <x v="11"/>
    <n v="2"/>
    <x v="0"/>
    <s v="Good"/>
    <x v="2"/>
    <x v="0"/>
    <x v="0"/>
    <x v="0"/>
    <x v="0"/>
  </r>
  <r>
    <x v="0"/>
    <s v="No"/>
    <x v="1"/>
    <n v="1"/>
    <s v="Male"/>
    <x v="1"/>
    <x v="1"/>
    <x v="2"/>
    <n v="2713"/>
    <n v="11"/>
    <x v="1"/>
    <n v="1"/>
    <n v="5"/>
    <n v="2"/>
    <n v="1"/>
    <x v="4"/>
    <n v="2"/>
    <x v="0"/>
    <s v="Bad"/>
    <x v="1"/>
    <x v="0"/>
    <x v="0"/>
    <x v="0"/>
    <x v="1"/>
  </r>
  <r>
    <x v="0"/>
    <s v="No"/>
    <x v="1"/>
    <n v="1"/>
    <s v="Female"/>
    <x v="4"/>
    <x v="6"/>
    <x v="3"/>
    <n v="13142"/>
    <n v="16"/>
    <x v="1"/>
    <n v="0"/>
    <n v="29"/>
    <n v="1"/>
    <n v="2"/>
    <x v="4"/>
    <n v="2"/>
    <x v="0"/>
    <s v="Bad"/>
    <x v="1"/>
    <x v="0"/>
    <x v="0"/>
    <x v="0"/>
    <x v="1"/>
  </r>
  <r>
    <x v="0"/>
    <s v="No"/>
    <x v="1"/>
    <n v="1"/>
    <s v="Male"/>
    <x v="1"/>
    <x v="1"/>
    <x v="2"/>
    <n v="2070"/>
    <n v="23"/>
    <x v="0"/>
    <n v="1"/>
    <n v="5"/>
    <n v="3"/>
    <n v="2"/>
    <x v="4"/>
    <n v="2"/>
    <x v="0"/>
    <s v="Bad"/>
    <x v="1"/>
    <x v="0"/>
    <x v="0"/>
    <x v="0"/>
    <x v="0"/>
  </r>
  <r>
    <x v="0"/>
    <s v="No"/>
    <x v="0"/>
    <n v="1"/>
    <s v="Male"/>
    <x v="2"/>
    <x v="5"/>
    <x v="2"/>
    <n v="4403"/>
    <n v="11"/>
    <x v="1"/>
    <n v="1"/>
    <n v="8"/>
    <n v="3"/>
    <n v="2"/>
    <x v="4"/>
    <n v="2"/>
    <x v="0"/>
    <s v="Bad"/>
    <x v="1"/>
    <x v="0"/>
    <x v="0"/>
    <x v="0"/>
    <x v="1"/>
  </r>
  <r>
    <x v="0"/>
    <s v="Yes"/>
    <x v="0"/>
    <n v="1"/>
    <s v="Male"/>
    <x v="2"/>
    <x v="5"/>
    <x v="2"/>
    <n v="5304"/>
    <n v="13"/>
    <x v="1"/>
    <n v="0"/>
    <n v="9"/>
    <n v="3"/>
    <n v="2"/>
    <x v="4"/>
    <n v="2"/>
    <x v="0"/>
    <s v="Bad"/>
    <x v="1"/>
    <x v="0"/>
    <x v="0"/>
    <x v="0"/>
    <x v="1"/>
  </r>
  <r>
    <x v="0"/>
    <s v="No"/>
    <x v="1"/>
    <n v="1"/>
    <s v="Male"/>
    <x v="1"/>
    <x v="2"/>
    <x v="3"/>
    <n v="3816"/>
    <n v="11"/>
    <x v="1"/>
    <n v="1"/>
    <n v="5"/>
    <n v="2"/>
    <n v="3"/>
    <x v="4"/>
    <n v="2"/>
    <x v="0"/>
    <s v="Good"/>
    <x v="1"/>
    <x v="0"/>
    <x v="0"/>
    <x v="0"/>
    <x v="1"/>
  </r>
  <r>
    <x v="0"/>
    <s v="No"/>
    <x v="0"/>
    <n v="1"/>
    <s v="Male"/>
    <x v="2"/>
    <x v="5"/>
    <x v="3"/>
    <n v="4189"/>
    <n v="14"/>
    <x v="1"/>
    <n v="2"/>
    <n v="5"/>
    <n v="2"/>
    <n v="3"/>
    <x v="4"/>
    <n v="2"/>
    <x v="0"/>
    <s v="Good"/>
    <x v="1"/>
    <x v="0"/>
    <x v="0"/>
    <x v="0"/>
    <x v="1"/>
  </r>
  <r>
    <x v="0"/>
    <s v="Yes"/>
    <x v="1"/>
    <n v="1"/>
    <s v="Male"/>
    <x v="1"/>
    <x v="1"/>
    <x v="1"/>
    <n v="3904"/>
    <n v="13"/>
    <x v="1"/>
    <n v="0"/>
    <n v="6"/>
    <n v="2"/>
    <n v="3"/>
    <x v="4"/>
    <n v="2"/>
    <x v="0"/>
    <s v="Good"/>
    <x v="1"/>
    <x v="0"/>
    <x v="0"/>
    <x v="0"/>
    <x v="1"/>
  </r>
  <r>
    <x v="0"/>
    <s v="Yes"/>
    <x v="1"/>
    <n v="1"/>
    <s v="Female"/>
    <x v="1"/>
    <x v="1"/>
    <x v="0"/>
    <n v="2132"/>
    <n v="11"/>
    <x v="1"/>
    <n v="0"/>
    <n v="7"/>
    <n v="2"/>
    <n v="3"/>
    <x v="4"/>
    <n v="2"/>
    <x v="0"/>
    <s v="Good"/>
    <x v="1"/>
    <x v="0"/>
    <x v="0"/>
    <x v="0"/>
    <x v="1"/>
  </r>
  <r>
    <x v="0"/>
    <s v="No"/>
    <x v="2"/>
    <n v="1"/>
    <s v="Male"/>
    <x v="1"/>
    <x v="8"/>
    <x v="3"/>
    <n v="2143"/>
    <n v="13"/>
    <x v="1"/>
    <n v="1"/>
    <n v="8"/>
    <n v="2"/>
    <n v="3"/>
    <x v="4"/>
    <n v="2"/>
    <x v="0"/>
    <s v="Good"/>
    <x v="1"/>
    <x v="0"/>
    <x v="0"/>
    <x v="0"/>
    <x v="1"/>
  </r>
  <r>
    <x v="0"/>
    <s v="No"/>
    <x v="1"/>
    <n v="1"/>
    <s v="Female"/>
    <x v="0"/>
    <x v="7"/>
    <x v="2"/>
    <n v="13603"/>
    <n v="18"/>
    <x v="1"/>
    <n v="2"/>
    <n v="15"/>
    <n v="2"/>
    <n v="3"/>
    <x v="4"/>
    <n v="2"/>
    <x v="0"/>
    <s v="Good"/>
    <x v="1"/>
    <x v="0"/>
    <x v="0"/>
    <x v="0"/>
    <x v="1"/>
  </r>
  <r>
    <x v="0"/>
    <s v="No"/>
    <x v="1"/>
    <n v="1"/>
    <s v="Male"/>
    <x v="0"/>
    <x v="4"/>
    <x v="0"/>
    <n v="10965"/>
    <n v="24"/>
    <x v="0"/>
    <n v="0"/>
    <n v="26"/>
    <n v="2"/>
    <n v="3"/>
    <x v="4"/>
    <n v="2"/>
    <x v="0"/>
    <s v="Good"/>
    <x v="1"/>
    <x v="0"/>
    <x v="0"/>
    <x v="0"/>
    <x v="0"/>
  </r>
  <r>
    <x v="0"/>
    <s v="No"/>
    <x v="0"/>
    <n v="1"/>
    <s v="Male"/>
    <x v="2"/>
    <x v="5"/>
    <x v="2"/>
    <n v="4968"/>
    <n v="11"/>
    <x v="1"/>
    <n v="1"/>
    <n v="5"/>
    <n v="3"/>
    <n v="3"/>
    <x v="4"/>
    <n v="2"/>
    <x v="0"/>
    <s v="Good"/>
    <x v="1"/>
    <x v="0"/>
    <x v="0"/>
    <x v="0"/>
    <x v="1"/>
  </r>
  <r>
    <x v="0"/>
    <s v="Yes"/>
    <x v="0"/>
    <n v="1"/>
    <s v="Female"/>
    <x v="2"/>
    <x v="5"/>
    <x v="1"/>
    <n v="8224"/>
    <n v="17"/>
    <x v="1"/>
    <n v="0"/>
    <n v="6"/>
    <n v="3"/>
    <n v="3"/>
    <x v="4"/>
    <n v="2"/>
    <x v="0"/>
    <s v="Good"/>
    <x v="1"/>
    <x v="0"/>
    <x v="0"/>
    <x v="0"/>
    <x v="1"/>
  </r>
  <r>
    <x v="0"/>
    <s v="No"/>
    <x v="0"/>
    <n v="1"/>
    <s v="Male"/>
    <x v="2"/>
    <x v="5"/>
    <x v="0"/>
    <n v="8346"/>
    <n v="19"/>
    <x v="1"/>
    <n v="1"/>
    <n v="6"/>
    <n v="3"/>
    <n v="3"/>
    <x v="4"/>
    <n v="2"/>
    <x v="0"/>
    <s v="Good"/>
    <x v="1"/>
    <x v="0"/>
    <x v="0"/>
    <x v="0"/>
    <x v="1"/>
  </r>
  <r>
    <x v="0"/>
    <s v="No"/>
    <x v="1"/>
    <n v="1"/>
    <s v="Female"/>
    <x v="2"/>
    <x v="4"/>
    <x v="0"/>
    <n v="4522"/>
    <n v="14"/>
    <x v="1"/>
    <n v="0"/>
    <n v="8"/>
    <n v="3"/>
    <n v="3"/>
    <x v="4"/>
    <n v="2"/>
    <x v="0"/>
    <s v="Good"/>
    <x v="1"/>
    <x v="0"/>
    <x v="0"/>
    <x v="0"/>
    <x v="1"/>
  </r>
  <r>
    <x v="0"/>
    <s v="No"/>
    <x v="0"/>
    <n v="1"/>
    <s v="Male"/>
    <x v="2"/>
    <x v="5"/>
    <x v="1"/>
    <n v="5332"/>
    <n v="13"/>
    <x v="1"/>
    <n v="0"/>
    <n v="10"/>
    <n v="3"/>
    <n v="3"/>
    <x v="4"/>
    <n v="2"/>
    <x v="0"/>
    <s v="Good"/>
    <x v="1"/>
    <x v="0"/>
    <x v="0"/>
    <x v="0"/>
    <x v="1"/>
  </r>
  <r>
    <x v="0"/>
    <s v="No"/>
    <x v="1"/>
    <n v="1"/>
    <s v="Male"/>
    <x v="2"/>
    <x v="2"/>
    <x v="2"/>
    <n v="2571"/>
    <n v="17"/>
    <x v="1"/>
    <n v="1"/>
    <n v="17"/>
    <n v="3"/>
    <n v="3"/>
    <x v="4"/>
    <n v="2"/>
    <x v="0"/>
    <s v="Good"/>
    <x v="1"/>
    <x v="0"/>
    <x v="0"/>
    <x v="0"/>
    <x v="1"/>
  </r>
  <r>
    <x v="0"/>
    <s v="No"/>
    <x v="0"/>
    <n v="1"/>
    <s v="Female"/>
    <x v="0"/>
    <x v="5"/>
    <x v="2"/>
    <n v="10934"/>
    <n v="18"/>
    <x v="1"/>
    <n v="1"/>
    <n v="35"/>
    <n v="3"/>
    <n v="3"/>
    <x v="4"/>
    <n v="2"/>
    <x v="0"/>
    <s v="Good"/>
    <x v="1"/>
    <x v="0"/>
    <x v="0"/>
    <x v="0"/>
    <x v="1"/>
  </r>
  <r>
    <x v="0"/>
    <s v="No"/>
    <x v="1"/>
    <n v="1"/>
    <s v="Male"/>
    <x v="1"/>
    <x v="1"/>
    <x v="2"/>
    <n v="4821"/>
    <n v="12"/>
    <x v="1"/>
    <n v="1"/>
    <n v="6"/>
    <n v="4"/>
    <n v="3"/>
    <x v="4"/>
    <n v="2"/>
    <x v="0"/>
    <s v="Good"/>
    <x v="1"/>
    <x v="0"/>
    <x v="0"/>
    <x v="0"/>
    <x v="1"/>
  </r>
  <r>
    <x v="0"/>
    <s v="No"/>
    <x v="1"/>
    <n v="1"/>
    <s v="Female"/>
    <x v="2"/>
    <x v="4"/>
    <x v="0"/>
    <n v="6142"/>
    <n v="16"/>
    <x v="1"/>
    <n v="0"/>
    <n v="10"/>
    <n v="4"/>
    <n v="3"/>
    <x v="4"/>
    <n v="2"/>
    <x v="0"/>
    <s v="Good"/>
    <x v="1"/>
    <x v="0"/>
    <x v="0"/>
    <x v="0"/>
    <x v="1"/>
  </r>
  <r>
    <x v="0"/>
    <s v="No"/>
    <x v="1"/>
    <n v="1"/>
    <s v="Male"/>
    <x v="1"/>
    <x v="2"/>
    <x v="0"/>
    <n v="3162"/>
    <n v="14"/>
    <x v="1"/>
    <n v="0"/>
    <n v="7"/>
    <n v="5"/>
    <n v="3"/>
    <x v="4"/>
    <n v="2"/>
    <x v="0"/>
    <s v="Good"/>
    <x v="1"/>
    <x v="0"/>
    <x v="0"/>
    <x v="0"/>
    <x v="1"/>
  </r>
  <r>
    <x v="0"/>
    <s v="Yes"/>
    <x v="1"/>
    <n v="1"/>
    <s v="Female"/>
    <x v="1"/>
    <x v="1"/>
    <x v="1"/>
    <n v="2657"/>
    <n v="11"/>
    <x v="1"/>
    <n v="0"/>
    <n v="8"/>
    <n v="5"/>
    <n v="3"/>
    <x v="4"/>
    <n v="2"/>
    <x v="0"/>
    <s v="Good"/>
    <x v="1"/>
    <x v="0"/>
    <x v="0"/>
    <x v="0"/>
    <x v="1"/>
  </r>
  <r>
    <x v="0"/>
    <s v="No"/>
    <x v="1"/>
    <n v="1"/>
    <s v="Male"/>
    <x v="1"/>
    <x v="1"/>
    <x v="2"/>
    <n v="4771"/>
    <n v="19"/>
    <x v="1"/>
    <n v="2"/>
    <n v="10"/>
    <n v="0"/>
    <n v="4"/>
    <x v="4"/>
    <n v="2"/>
    <x v="0"/>
    <s v="Good"/>
    <x v="1"/>
    <x v="0"/>
    <x v="0"/>
    <x v="0"/>
    <x v="1"/>
  </r>
  <r>
    <x v="0"/>
    <s v="No"/>
    <x v="0"/>
    <n v="1"/>
    <s v="Male"/>
    <x v="2"/>
    <x v="5"/>
    <x v="1"/>
    <n v="4256"/>
    <n v="12"/>
    <x v="1"/>
    <n v="0"/>
    <n v="5"/>
    <n v="1"/>
    <n v="4"/>
    <x v="4"/>
    <n v="2"/>
    <x v="0"/>
    <s v="Good"/>
    <x v="1"/>
    <x v="0"/>
    <x v="0"/>
    <x v="0"/>
    <x v="1"/>
  </r>
  <r>
    <x v="0"/>
    <s v="No"/>
    <x v="0"/>
    <n v="1"/>
    <s v="Female"/>
    <x v="2"/>
    <x v="5"/>
    <x v="0"/>
    <n v="4260"/>
    <n v="12"/>
    <x v="1"/>
    <n v="1"/>
    <n v="5"/>
    <n v="2"/>
    <n v="4"/>
    <x v="4"/>
    <n v="2"/>
    <x v="0"/>
    <s v="Good"/>
    <x v="1"/>
    <x v="0"/>
    <x v="0"/>
    <x v="0"/>
    <x v="1"/>
  </r>
  <r>
    <x v="0"/>
    <s v="No"/>
    <x v="1"/>
    <n v="1"/>
    <s v="Male"/>
    <x v="1"/>
    <x v="2"/>
    <x v="0"/>
    <n v="3477"/>
    <n v="14"/>
    <x v="1"/>
    <n v="1"/>
    <n v="6"/>
    <n v="2"/>
    <n v="4"/>
    <x v="4"/>
    <n v="2"/>
    <x v="0"/>
    <s v="Good"/>
    <x v="1"/>
    <x v="0"/>
    <x v="0"/>
    <x v="0"/>
    <x v="1"/>
  </r>
  <r>
    <x v="0"/>
    <s v="No"/>
    <x v="1"/>
    <n v="1"/>
    <s v="Male"/>
    <x v="1"/>
    <x v="1"/>
    <x v="2"/>
    <n v="2662"/>
    <n v="20"/>
    <x v="0"/>
    <n v="1"/>
    <n v="19"/>
    <n v="2"/>
    <n v="4"/>
    <x v="4"/>
    <n v="2"/>
    <x v="0"/>
    <s v="Good"/>
    <x v="1"/>
    <x v="0"/>
    <x v="0"/>
    <x v="0"/>
    <x v="0"/>
  </r>
  <r>
    <x v="0"/>
    <s v="No"/>
    <x v="1"/>
    <n v="1"/>
    <s v="Male"/>
    <x v="0"/>
    <x v="7"/>
    <x v="0"/>
    <n v="13664"/>
    <n v="13"/>
    <x v="1"/>
    <n v="0"/>
    <n v="16"/>
    <n v="3"/>
    <n v="4"/>
    <x v="4"/>
    <n v="2"/>
    <x v="0"/>
    <s v="Good"/>
    <x v="1"/>
    <x v="0"/>
    <x v="0"/>
    <x v="0"/>
    <x v="1"/>
  </r>
  <r>
    <x v="0"/>
    <s v="No"/>
    <x v="1"/>
    <n v="1"/>
    <s v="Male"/>
    <x v="0"/>
    <x v="0"/>
    <x v="2"/>
    <n v="11244"/>
    <n v="25"/>
    <x v="0"/>
    <n v="0"/>
    <n v="10"/>
    <n v="5"/>
    <n v="4"/>
    <x v="4"/>
    <n v="2"/>
    <x v="0"/>
    <s v="Good"/>
    <x v="1"/>
    <x v="0"/>
    <x v="0"/>
    <x v="0"/>
    <x v="0"/>
  </r>
  <r>
    <x v="0"/>
    <s v="No"/>
    <x v="1"/>
    <n v="1"/>
    <s v="Male"/>
    <x v="2"/>
    <x v="4"/>
    <x v="2"/>
    <n v="7756"/>
    <n v="17"/>
    <x v="1"/>
    <n v="0"/>
    <n v="7"/>
    <n v="1"/>
    <n v="2"/>
    <x v="5"/>
    <n v="2"/>
    <x v="0"/>
    <s v="Bad"/>
    <x v="1"/>
    <x v="0"/>
    <x v="0"/>
    <x v="0"/>
    <x v="1"/>
  </r>
  <r>
    <x v="0"/>
    <s v="No"/>
    <x v="1"/>
    <n v="1"/>
    <s v="Male"/>
    <x v="2"/>
    <x v="6"/>
    <x v="1"/>
    <n v="9957"/>
    <n v="15"/>
    <x v="1"/>
    <n v="1"/>
    <n v="7"/>
    <n v="1"/>
    <n v="2"/>
    <x v="5"/>
    <n v="2"/>
    <x v="0"/>
    <s v="Bad"/>
    <x v="1"/>
    <x v="0"/>
    <x v="0"/>
    <x v="0"/>
    <x v="1"/>
  </r>
  <r>
    <x v="0"/>
    <s v="No"/>
    <x v="1"/>
    <n v="1"/>
    <s v="Male"/>
    <x v="2"/>
    <x v="6"/>
    <x v="2"/>
    <n v="6347"/>
    <n v="16"/>
    <x v="1"/>
    <n v="2"/>
    <n v="8"/>
    <n v="2"/>
    <n v="2"/>
    <x v="5"/>
    <n v="2"/>
    <x v="0"/>
    <s v="Bad"/>
    <x v="1"/>
    <x v="0"/>
    <x v="0"/>
    <x v="0"/>
    <x v="1"/>
  </r>
  <r>
    <x v="0"/>
    <s v="No"/>
    <x v="1"/>
    <n v="1"/>
    <s v="Male"/>
    <x v="1"/>
    <x v="1"/>
    <x v="3"/>
    <n v="3298"/>
    <n v="12"/>
    <x v="1"/>
    <n v="2"/>
    <n v="7"/>
    <n v="5"/>
    <n v="2"/>
    <x v="5"/>
    <n v="2"/>
    <x v="0"/>
    <s v="Bad"/>
    <x v="1"/>
    <x v="0"/>
    <x v="0"/>
    <x v="0"/>
    <x v="1"/>
  </r>
  <r>
    <x v="0"/>
    <s v="No"/>
    <x v="1"/>
    <n v="1"/>
    <s v="Male"/>
    <x v="2"/>
    <x v="6"/>
    <x v="3"/>
    <n v="6142"/>
    <n v="20"/>
    <x v="0"/>
    <n v="1"/>
    <n v="6"/>
    <n v="0"/>
    <n v="3"/>
    <x v="5"/>
    <n v="2"/>
    <x v="0"/>
    <s v="Good"/>
    <x v="1"/>
    <x v="0"/>
    <x v="0"/>
    <x v="0"/>
    <x v="0"/>
  </r>
  <r>
    <x v="0"/>
    <s v="No"/>
    <x v="0"/>
    <n v="1"/>
    <s v="Male"/>
    <x v="2"/>
    <x v="5"/>
    <x v="2"/>
    <n v="5071"/>
    <n v="20"/>
    <x v="0"/>
    <n v="0"/>
    <n v="8"/>
    <n v="3"/>
    <n v="3"/>
    <x v="5"/>
    <n v="2"/>
    <x v="0"/>
    <s v="Good"/>
    <x v="1"/>
    <x v="0"/>
    <x v="0"/>
    <x v="0"/>
    <x v="0"/>
  </r>
  <r>
    <x v="0"/>
    <s v="No"/>
    <x v="0"/>
    <n v="1"/>
    <s v="Female"/>
    <x v="2"/>
    <x v="5"/>
    <x v="1"/>
    <n v="5940"/>
    <n v="14"/>
    <x v="1"/>
    <n v="1"/>
    <n v="16"/>
    <n v="4"/>
    <n v="3"/>
    <x v="5"/>
    <n v="2"/>
    <x v="0"/>
    <s v="Good"/>
    <x v="1"/>
    <x v="0"/>
    <x v="0"/>
    <x v="0"/>
    <x v="1"/>
  </r>
  <r>
    <x v="0"/>
    <s v="No"/>
    <x v="0"/>
    <n v="1"/>
    <s v="Male"/>
    <x v="2"/>
    <x v="5"/>
    <x v="2"/>
    <n v="5505"/>
    <n v="14"/>
    <x v="1"/>
    <n v="2"/>
    <n v="6"/>
    <n v="5"/>
    <n v="3"/>
    <x v="5"/>
    <n v="2"/>
    <x v="0"/>
    <s v="Good"/>
    <x v="1"/>
    <x v="0"/>
    <x v="0"/>
    <x v="0"/>
    <x v="1"/>
  </r>
  <r>
    <x v="0"/>
    <s v="No"/>
    <x v="1"/>
    <n v="1"/>
    <s v="Male"/>
    <x v="2"/>
    <x v="2"/>
    <x v="1"/>
    <n v="2176"/>
    <n v="13"/>
    <x v="1"/>
    <n v="0"/>
    <n v="9"/>
    <n v="5"/>
    <n v="3"/>
    <x v="5"/>
    <n v="2"/>
    <x v="0"/>
    <s v="Good"/>
    <x v="1"/>
    <x v="0"/>
    <x v="0"/>
    <x v="0"/>
    <x v="1"/>
  </r>
  <r>
    <x v="0"/>
    <s v="No"/>
    <x v="1"/>
    <n v="1"/>
    <s v="Male"/>
    <x v="1"/>
    <x v="1"/>
    <x v="2"/>
    <n v="4678"/>
    <n v="18"/>
    <x v="1"/>
    <n v="0"/>
    <n v="8"/>
    <n v="6"/>
    <n v="3"/>
    <x v="5"/>
    <n v="2"/>
    <x v="0"/>
    <s v="Good"/>
    <x v="1"/>
    <x v="0"/>
    <x v="0"/>
    <x v="0"/>
    <x v="1"/>
  </r>
  <r>
    <x v="0"/>
    <s v="No"/>
    <x v="0"/>
    <n v="1"/>
    <s v="Female"/>
    <x v="1"/>
    <x v="3"/>
    <x v="0"/>
    <n v="2579"/>
    <n v="18"/>
    <x v="1"/>
    <n v="2"/>
    <n v="8"/>
    <n v="3"/>
    <n v="3"/>
    <x v="7"/>
    <n v="2"/>
    <x v="0"/>
    <s v="Good"/>
    <x v="1"/>
    <x v="0"/>
    <x v="0"/>
    <x v="0"/>
    <x v="1"/>
  </r>
  <r>
    <x v="0"/>
    <s v="No"/>
    <x v="1"/>
    <n v="1"/>
    <s v="Male"/>
    <x v="0"/>
    <x v="7"/>
    <x v="0"/>
    <n v="11935"/>
    <n v="18"/>
    <x v="1"/>
    <n v="0"/>
    <n v="10"/>
    <n v="2"/>
    <n v="3"/>
    <x v="9"/>
    <n v="2"/>
    <x v="0"/>
    <s v="Good"/>
    <x v="1"/>
    <x v="0"/>
    <x v="0"/>
    <x v="0"/>
    <x v="1"/>
  </r>
  <r>
    <x v="0"/>
    <s v="No"/>
    <x v="1"/>
    <n v="1"/>
    <s v="Male"/>
    <x v="2"/>
    <x v="4"/>
    <x v="0"/>
    <n v="5689"/>
    <n v="14"/>
    <x v="1"/>
    <n v="2"/>
    <n v="10"/>
    <n v="2"/>
    <n v="4"/>
    <x v="9"/>
    <n v="2"/>
    <x v="0"/>
    <s v="Good"/>
    <x v="1"/>
    <x v="0"/>
    <x v="0"/>
    <x v="0"/>
    <x v="1"/>
  </r>
  <r>
    <x v="0"/>
    <s v="No"/>
    <x v="0"/>
    <n v="1"/>
    <s v="Male"/>
    <x v="0"/>
    <x v="5"/>
    <x v="0"/>
    <n v="9610"/>
    <n v="13"/>
    <x v="1"/>
    <n v="1"/>
    <n v="10"/>
    <n v="2"/>
    <n v="1"/>
    <x v="11"/>
    <n v="3"/>
    <x v="0"/>
    <s v="Bad"/>
    <x v="2"/>
    <x v="0"/>
    <x v="0"/>
    <x v="0"/>
    <x v="1"/>
  </r>
  <r>
    <x v="0"/>
    <s v="No"/>
    <x v="1"/>
    <n v="1"/>
    <s v="Female"/>
    <x v="0"/>
    <x v="7"/>
    <x v="0"/>
    <n v="13549"/>
    <n v="12"/>
    <x v="1"/>
    <n v="1"/>
    <n v="16"/>
    <n v="5"/>
    <n v="1"/>
    <x v="11"/>
    <n v="3"/>
    <x v="0"/>
    <s v="Bad"/>
    <x v="2"/>
    <x v="0"/>
    <x v="0"/>
    <x v="0"/>
    <x v="1"/>
  </r>
  <r>
    <x v="0"/>
    <s v="No"/>
    <x v="0"/>
    <n v="1"/>
    <s v="Male"/>
    <x v="2"/>
    <x v="5"/>
    <x v="2"/>
    <n v="7457"/>
    <n v="22"/>
    <x v="0"/>
    <n v="3"/>
    <n v="6"/>
    <n v="2"/>
    <n v="2"/>
    <x v="11"/>
    <n v="3"/>
    <x v="0"/>
    <s v="Bad"/>
    <x v="2"/>
    <x v="0"/>
    <x v="0"/>
    <x v="0"/>
    <x v="0"/>
  </r>
  <r>
    <x v="0"/>
    <s v="No"/>
    <x v="1"/>
    <n v="1"/>
    <s v="Male"/>
    <x v="2"/>
    <x v="6"/>
    <x v="0"/>
    <n v="5768"/>
    <n v="17"/>
    <x v="1"/>
    <n v="3"/>
    <n v="9"/>
    <n v="2"/>
    <n v="2"/>
    <x v="11"/>
    <n v="3"/>
    <x v="0"/>
    <s v="Bad"/>
    <x v="2"/>
    <x v="0"/>
    <x v="0"/>
    <x v="0"/>
    <x v="1"/>
  </r>
  <r>
    <x v="0"/>
    <s v="Yes"/>
    <x v="1"/>
    <n v="1"/>
    <s v="Male"/>
    <x v="1"/>
    <x v="1"/>
    <x v="2"/>
    <n v="2389"/>
    <n v="13"/>
    <x v="1"/>
    <n v="0"/>
    <n v="4"/>
    <n v="3"/>
    <n v="2"/>
    <x v="11"/>
    <n v="3"/>
    <x v="0"/>
    <s v="Bad"/>
    <x v="2"/>
    <x v="0"/>
    <x v="0"/>
    <x v="0"/>
    <x v="1"/>
  </r>
  <r>
    <x v="0"/>
    <s v="No"/>
    <x v="0"/>
    <n v="1"/>
    <s v="Male"/>
    <x v="2"/>
    <x v="5"/>
    <x v="0"/>
    <n v="4649"/>
    <n v="14"/>
    <x v="1"/>
    <n v="1"/>
    <n v="4"/>
    <n v="3"/>
    <n v="2"/>
    <x v="11"/>
    <n v="3"/>
    <x v="0"/>
    <s v="Bad"/>
    <x v="2"/>
    <x v="0"/>
    <x v="0"/>
    <x v="0"/>
    <x v="1"/>
  </r>
  <r>
    <x v="0"/>
    <s v="No"/>
    <x v="1"/>
    <n v="1"/>
    <s v="Male"/>
    <x v="1"/>
    <x v="1"/>
    <x v="1"/>
    <n v="3424"/>
    <n v="13"/>
    <x v="1"/>
    <n v="0"/>
    <n v="6"/>
    <n v="3"/>
    <n v="2"/>
    <x v="11"/>
    <n v="3"/>
    <x v="0"/>
    <s v="Bad"/>
    <x v="2"/>
    <x v="0"/>
    <x v="0"/>
    <x v="0"/>
    <x v="1"/>
  </r>
  <r>
    <x v="0"/>
    <s v="No"/>
    <x v="0"/>
    <n v="1"/>
    <s v="Male"/>
    <x v="2"/>
    <x v="5"/>
    <x v="2"/>
    <n v="9204"/>
    <n v="12"/>
    <x v="1"/>
    <n v="1"/>
    <n v="7"/>
    <n v="3"/>
    <n v="2"/>
    <x v="11"/>
    <n v="3"/>
    <x v="0"/>
    <s v="Bad"/>
    <x v="2"/>
    <x v="0"/>
    <x v="0"/>
    <x v="0"/>
    <x v="1"/>
  </r>
  <r>
    <x v="0"/>
    <s v="No"/>
    <x v="1"/>
    <n v="1"/>
    <s v="Female"/>
    <x v="2"/>
    <x v="4"/>
    <x v="3"/>
    <n v="4107"/>
    <n v="15"/>
    <x v="1"/>
    <n v="0"/>
    <n v="8"/>
    <n v="3"/>
    <n v="2"/>
    <x v="11"/>
    <n v="3"/>
    <x v="0"/>
    <s v="Bad"/>
    <x v="2"/>
    <x v="0"/>
    <x v="0"/>
    <x v="0"/>
    <x v="1"/>
  </r>
  <r>
    <x v="0"/>
    <s v="No"/>
    <x v="1"/>
    <n v="1"/>
    <s v="Female"/>
    <x v="2"/>
    <x v="1"/>
    <x v="0"/>
    <n v="4869"/>
    <n v="12"/>
    <x v="1"/>
    <n v="0"/>
    <n v="20"/>
    <n v="4"/>
    <n v="2"/>
    <x v="11"/>
    <n v="3"/>
    <x v="0"/>
    <s v="Bad"/>
    <x v="2"/>
    <x v="0"/>
    <x v="0"/>
    <x v="0"/>
    <x v="1"/>
  </r>
  <r>
    <x v="0"/>
    <s v="Yes"/>
    <x v="0"/>
    <n v="1"/>
    <s v="Female"/>
    <x v="1"/>
    <x v="3"/>
    <x v="3"/>
    <n v="3140"/>
    <n v="22"/>
    <x v="0"/>
    <n v="0"/>
    <n v="4"/>
    <n v="5"/>
    <n v="2"/>
    <x v="11"/>
    <n v="3"/>
    <x v="0"/>
    <s v="Bad"/>
    <x v="2"/>
    <x v="0"/>
    <x v="0"/>
    <x v="0"/>
    <x v="0"/>
  </r>
  <r>
    <x v="0"/>
    <s v="No"/>
    <x v="1"/>
    <n v="1"/>
    <s v="Female"/>
    <x v="1"/>
    <x v="2"/>
    <x v="1"/>
    <n v="3377"/>
    <n v="17"/>
    <x v="1"/>
    <n v="1"/>
    <n v="7"/>
    <n v="5"/>
    <n v="2"/>
    <x v="11"/>
    <n v="3"/>
    <x v="0"/>
    <s v="Bad"/>
    <x v="2"/>
    <x v="0"/>
    <x v="0"/>
    <x v="0"/>
    <x v="1"/>
  </r>
  <r>
    <x v="0"/>
    <s v="No"/>
    <x v="1"/>
    <n v="1"/>
    <s v="Female"/>
    <x v="2"/>
    <x v="6"/>
    <x v="1"/>
    <n v="4148"/>
    <n v="12"/>
    <x v="1"/>
    <n v="1"/>
    <n v="4"/>
    <n v="1"/>
    <n v="3"/>
    <x v="11"/>
    <n v="3"/>
    <x v="0"/>
    <s v="Good"/>
    <x v="2"/>
    <x v="0"/>
    <x v="0"/>
    <x v="0"/>
    <x v="1"/>
  </r>
  <r>
    <x v="0"/>
    <s v="No"/>
    <x v="0"/>
    <n v="1"/>
    <s v="Male"/>
    <x v="2"/>
    <x v="5"/>
    <x v="1"/>
    <n v="4373"/>
    <n v="14"/>
    <x v="1"/>
    <n v="2"/>
    <n v="5"/>
    <n v="2"/>
    <n v="3"/>
    <x v="11"/>
    <n v="3"/>
    <x v="0"/>
    <s v="Good"/>
    <x v="2"/>
    <x v="0"/>
    <x v="0"/>
    <x v="0"/>
    <x v="1"/>
  </r>
  <r>
    <x v="0"/>
    <s v="No"/>
    <x v="1"/>
    <n v="1"/>
    <s v="Male"/>
    <x v="2"/>
    <x v="2"/>
    <x v="3"/>
    <n v="4025"/>
    <n v="13"/>
    <x v="1"/>
    <n v="1"/>
    <n v="10"/>
    <n v="2"/>
    <n v="3"/>
    <x v="11"/>
    <n v="3"/>
    <x v="0"/>
    <s v="Good"/>
    <x v="2"/>
    <x v="0"/>
    <x v="0"/>
    <x v="0"/>
    <x v="1"/>
  </r>
  <r>
    <x v="0"/>
    <s v="Yes"/>
    <x v="0"/>
    <n v="1"/>
    <s v="Male"/>
    <x v="1"/>
    <x v="3"/>
    <x v="1"/>
    <n v="3041"/>
    <n v="11"/>
    <x v="1"/>
    <n v="1"/>
    <n v="5"/>
    <n v="3"/>
    <n v="3"/>
    <x v="11"/>
    <n v="3"/>
    <x v="0"/>
    <s v="Good"/>
    <x v="2"/>
    <x v="0"/>
    <x v="0"/>
    <x v="0"/>
    <x v="1"/>
  </r>
  <r>
    <x v="0"/>
    <s v="No"/>
    <x v="0"/>
    <n v="1"/>
    <s v="Male"/>
    <x v="2"/>
    <x v="5"/>
    <x v="1"/>
    <n v="4115"/>
    <n v="19"/>
    <x v="1"/>
    <n v="3"/>
    <n v="8"/>
    <n v="3"/>
    <n v="3"/>
    <x v="11"/>
    <n v="3"/>
    <x v="0"/>
    <s v="Good"/>
    <x v="2"/>
    <x v="0"/>
    <x v="0"/>
    <x v="0"/>
    <x v="1"/>
  </r>
  <r>
    <x v="0"/>
    <s v="No"/>
    <x v="1"/>
    <n v="1"/>
    <s v="Male"/>
    <x v="4"/>
    <x v="7"/>
    <x v="0"/>
    <n v="17639"/>
    <n v="16"/>
    <x v="1"/>
    <n v="0"/>
    <n v="30"/>
    <n v="3"/>
    <n v="3"/>
    <x v="11"/>
    <n v="3"/>
    <x v="0"/>
    <s v="Good"/>
    <x v="2"/>
    <x v="0"/>
    <x v="0"/>
    <x v="0"/>
    <x v="1"/>
  </r>
  <r>
    <x v="0"/>
    <s v="No"/>
    <x v="1"/>
    <n v="1"/>
    <s v="Female"/>
    <x v="2"/>
    <x v="6"/>
    <x v="2"/>
    <n v="6062"/>
    <n v="13"/>
    <x v="1"/>
    <n v="1"/>
    <n v="8"/>
    <n v="4"/>
    <n v="3"/>
    <x v="11"/>
    <n v="3"/>
    <x v="0"/>
    <s v="Good"/>
    <x v="2"/>
    <x v="0"/>
    <x v="0"/>
    <x v="0"/>
    <x v="1"/>
  </r>
  <r>
    <x v="0"/>
    <s v="No"/>
    <x v="1"/>
    <n v="1"/>
    <s v="Female"/>
    <x v="1"/>
    <x v="2"/>
    <x v="2"/>
    <n v="2532"/>
    <n v="14"/>
    <x v="1"/>
    <n v="3"/>
    <n v="8"/>
    <n v="5"/>
    <n v="3"/>
    <x v="11"/>
    <n v="3"/>
    <x v="0"/>
    <s v="Good"/>
    <x v="2"/>
    <x v="0"/>
    <x v="0"/>
    <x v="0"/>
    <x v="1"/>
  </r>
  <r>
    <x v="0"/>
    <s v="No"/>
    <x v="1"/>
    <n v="1"/>
    <s v="Male"/>
    <x v="1"/>
    <x v="2"/>
    <x v="1"/>
    <n v="2500"/>
    <n v="14"/>
    <x v="1"/>
    <n v="1"/>
    <n v="5"/>
    <n v="2"/>
    <n v="4"/>
    <x v="11"/>
    <n v="3"/>
    <x v="0"/>
    <s v="Good"/>
    <x v="2"/>
    <x v="0"/>
    <x v="0"/>
    <x v="0"/>
    <x v="1"/>
  </r>
  <r>
    <x v="0"/>
    <s v="No"/>
    <x v="2"/>
    <n v="1"/>
    <s v="Male"/>
    <x v="2"/>
    <x v="8"/>
    <x v="1"/>
    <n v="6272"/>
    <n v="16"/>
    <x v="1"/>
    <n v="1"/>
    <n v="10"/>
    <n v="3"/>
    <n v="4"/>
    <x v="11"/>
    <n v="3"/>
    <x v="0"/>
    <s v="Good"/>
    <x v="2"/>
    <x v="0"/>
    <x v="0"/>
    <x v="0"/>
    <x v="1"/>
  </r>
  <r>
    <x v="0"/>
    <s v="No"/>
    <x v="2"/>
    <n v="1"/>
    <s v="Male"/>
    <x v="1"/>
    <x v="8"/>
    <x v="3"/>
    <n v="2277"/>
    <n v="11"/>
    <x v="1"/>
    <n v="1"/>
    <n v="7"/>
    <n v="4"/>
    <n v="4"/>
    <x v="11"/>
    <n v="3"/>
    <x v="0"/>
    <s v="Good"/>
    <x v="2"/>
    <x v="0"/>
    <x v="0"/>
    <x v="0"/>
    <x v="1"/>
  </r>
  <r>
    <x v="0"/>
    <s v="No"/>
    <x v="1"/>
    <n v="1"/>
    <s v="Male"/>
    <x v="1"/>
    <x v="1"/>
    <x v="3"/>
    <n v="3201"/>
    <n v="17"/>
    <x v="1"/>
    <n v="0"/>
    <n v="6"/>
    <n v="2"/>
    <n v="1"/>
    <x v="4"/>
    <n v="3"/>
    <x v="0"/>
    <s v="Bad"/>
    <x v="1"/>
    <x v="0"/>
    <x v="0"/>
    <x v="0"/>
    <x v="1"/>
  </r>
  <r>
    <x v="0"/>
    <s v="No"/>
    <x v="0"/>
    <n v="1"/>
    <s v="Male"/>
    <x v="2"/>
    <x v="5"/>
    <x v="1"/>
    <n v="5561"/>
    <n v="16"/>
    <x v="1"/>
    <n v="1"/>
    <n v="6"/>
    <n v="2"/>
    <n v="1"/>
    <x v="4"/>
    <n v="3"/>
    <x v="0"/>
    <s v="Bad"/>
    <x v="1"/>
    <x v="0"/>
    <x v="0"/>
    <x v="0"/>
    <x v="1"/>
  </r>
  <r>
    <x v="0"/>
    <s v="Yes"/>
    <x v="0"/>
    <n v="1"/>
    <s v="Female"/>
    <x v="2"/>
    <x v="5"/>
    <x v="3"/>
    <n v="5765"/>
    <n v="11"/>
    <x v="1"/>
    <n v="0"/>
    <n v="7"/>
    <n v="4"/>
    <n v="1"/>
    <x v="4"/>
    <n v="3"/>
    <x v="0"/>
    <s v="Bad"/>
    <x v="1"/>
    <x v="0"/>
    <x v="0"/>
    <x v="0"/>
    <x v="1"/>
  </r>
  <r>
    <x v="0"/>
    <s v="No"/>
    <x v="0"/>
    <n v="1"/>
    <s v="Female"/>
    <x v="2"/>
    <x v="5"/>
    <x v="0"/>
    <n v="4907"/>
    <n v="22"/>
    <x v="0"/>
    <n v="1"/>
    <n v="6"/>
    <n v="3"/>
    <n v="2"/>
    <x v="4"/>
    <n v="3"/>
    <x v="0"/>
    <s v="Bad"/>
    <x v="1"/>
    <x v="0"/>
    <x v="0"/>
    <x v="0"/>
    <x v="0"/>
  </r>
  <r>
    <x v="0"/>
    <s v="No"/>
    <x v="1"/>
    <n v="1"/>
    <s v="Female"/>
    <x v="4"/>
    <x v="6"/>
    <x v="0"/>
    <n v="13247"/>
    <n v="11"/>
    <x v="1"/>
    <n v="1"/>
    <n v="24"/>
    <n v="3"/>
    <n v="2"/>
    <x v="4"/>
    <n v="3"/>
    <x v="0"/>
    <s v="Bad"/>
    <x v="1"/>
    <x v="0"/>
    <x v="0"/>
    <x v="0"/>
    <x v="1"/>
  </r>
  <r>
    <x v="0"/>
    <s v="No"/>
    <x v="1"/>
    <n v="1"/>
    <s v="Male"/>
    <x v="2"/>
    <x v="4"/>
    <x v="1"/>
    <n v="5373"/>
    <n v="12"/>
    <x v="1"/>
    <n v="1"/>
    <n v="6"/>
    <n v="5"/>
    <n v="2"/>
    <x v="4"/>
    <n v="3"/>
    <x v="0"/>
    <s v="Bad"/>
    <x v="1"/>
    <x v="0"/>
    <x v="0"/>
    <x v="0"/>
    <x v="1"/>
  </r>
  <r>
    <x v="0"/>
    <s v="No"/>
    <x v="1"/>
    <n v="1"/>
    <s v="Female"/>
    <x v="2"/>
    <x v="6"/>
    <x v="1"/>
    <n v="4877"/>
    <n v="21"/>
    <x v="0"/>
    <n v="1"/>
    <n v="6"/>
    <n v="5"/>
    <n v="2"/>
    <x v="4"/>
    <n v="3"/>
    <x v="0"/>
    <s v="Bad"/>
    <x v="1"/>
    <x v="0"/>
    <x v="0"/>
    <x v="0"/>
    <x v="0"/>
  </r>
  <r>
    <x v="0"/>
    <s v="No"/>
    <x v="1"/>
    <n v="1"/>
    <s v="Female"/>
    <x v="1"/>
    <x v="1"/>
    <x v="0"/>
    <n v="2187"/>
    <n v="12"/>
    <x v="1"/>
    <n v="2"/>
    <n v="6"/>
    <n v="5"/>
    <n v="2"/>
    <x v="4"/>
    <n v="3"/>
    <x v="0"/>
    <s v="Bad"/>
    <x v="1"/>
    <x v="0"/>
    <x v="0"/>
    <x v="0"/>
    <x v="1"/>
  </r>
  <r>
    <x v="0"/>
    <s v="No"/>
    <x v="1"/>
    <n v="1"/>
    <s v="Male"/>
    <x v="1"/>
    <x v="2"/>
    <x v="3"/>
    <n v="2766"/>
    <n v="22"/>
    <x v="0"/>
    <n v="3"/>
    <n v="7"/>
    <n v="6"/>
    <n v="2"/>
    <x v="4"/>
    <n v="3"/>
    <x v="0"/>
    <s v="Bad"/>
    <x v="1"/>
    <x v="0"/>
    <x v="0"/>
    <x v="0"/>
    <x v="0"/>
  </r>
  <r>
    <x v="0"/>
    <s v="No"/>
    <x v="0"/>
    <n v="1"/>
    <s v="Male"/>
    <x v="2"/>
    <x v="5"/>
    <x v="1"/>
    <n v="4724"/>
    <n v="11"/>
    <x v="1"/>
    <n v="1"/>
    <n v="5"/>
    <n v="0"/>
    <n v="3"/>
    <x v="4"/>
    <n v="3"/>
    <x v="0"/>
    <s v="Good"/>
    <x v="1"/>
    <x v="0"/>
    <x v="0"/>
    <x v="0"/>
    <x v="1"/>
  </r>
  <r>
    <x v="0"/>
    <s v="No"/>
    <x v="1"/>
    <n v="1"/>
    <s v="Male"/>
    <x v="1"/>
    <x v="1"/>
    <x v="0"/>
    <n v="4401"/>
    <n v="16"/>
    <x v="1"/>
    <n v="1"/>
    <n v="5"/>
    <n v="1"/>
    <n v="3"/>
    <x v="4"/>
    <n v="3"/>
    <x v="0"/>
    <s v="Good"/>
    <x v="1"/>
    <x v="0"/>
    <x v="0"/>
    <x v="0"/>
    <x v="1"/>
  </r>
  <r>
    <x v="0"/>
    <s v="No"/>
    <x v="1"/>
    <n v="1"/>
    <s v="Male"/>
    <x v="2"/>
    <x v="6"/>
    <x v="3"/>
    <n v="4320"/>
    <n v="13"/>
    <x v="1"/>
    <n v="0"/>
    <n v="5"/>
    <n v="2"/>
    <n v="3"/>
    <x v="4"/>
    <n v="3"/>
    <x v="0"/>
    <s v="Good"/>
    <x v="1"/>
    <x v="0"/>
    <x v="0"/>
    <x v="0"/>
    <x v="1"/>
  </r>
  <r>
    <x v="0"/>
    <s v="No"/>
    <x v="1"/>
    <n v="1"/>
    <s v="Male"/>
    <x v="1"/>
    <x v="2"/>
    <x v="1"/>
    <n v="2289"/>
    <n v="20"/>
    <x v="0"/>
    <n v="2"/>
    <n v="5"/>
    <n v="2"/>
    <n v="3"/>
    <x v="4"/>
    <n v="3"/>
    <x v="0"/>
    <s v="Good"/>
    <x v="1"/>
    <x v="0"/>
    <x v="0"/>
    <x v="0"/>
    <x v="0"/>
  </r>
  <r>
    <x v="0"/>
    <s v="No"/>
    <x v="1"/>
    <n v="1"/>
    <s v="Male"/>
    <x v="1"/>
    <x v="1"/>
    <x v="0"/>
    <n v="2517"/>
    <n v="11"/>
    <x v="1"/>
    <n v="3"/>
    <n v="5"/>
    <n v="2"/>
    <n v="3"/>
    <x v="4"/>
    <n v="3"/>
    <x v="0"/>
    <s v="Good"/>
    <x v="1"/>
    <x v="0"/>
    <x v="0"/>
    <x v="0"/>
    <x v="1"/>
  </r>
  <r>
    <x v="0"/>
    <s v="No"/>
    <x v="1"/>
    <n v="1"/>
    <s v="Female"/>
    <x v="1"/>
    <x v="2"/>
    <x v="2"/>
    <n v="2270"/>
    <n v="14"/>
    <x v="1"/>
    <n v="2"/>
    <n v="8"/>
    <n v="2"/>
    <n v="3"/>
    <x v="4"/>
    <n v="3"/>
    <x v="0"/>
    <s v="Good"/>
    <x v="1"/>
    <x v="0"/>
    <x v="0"/>
    <x v="0"/>
    <x v="1"/>
  </r>
  <r>
    <x v="0"/>
    <s v="No"/>
    <x v="1"/>
    <n v="1"/>
    <s v="Male"/>
    <x v="2"/>
    <x v="1"/>
    <x v="1"/>
    <n v="4284"/>
    <n v="22"/>
    <x v="0"/>
    <n v="1"/>
    <n v="16"/>
    <n v="2"/>
    <n v="3"/>
    <x v="4"/>
    <n v="3"/>
    <x v="0"/>
    <s v="Good"/>
    <x v="1"/>
    <x v="0"/>
    <x v="0"/>
    <x v="0"/>
    <x v="0"/>
  </r>
  <r>
    <x v="0"/>
    <s v="No"/>
    <x v="1"/>
    <n v="1"/>
    <s v="Female"/>
    <x v="1"/>
    <x v="1"/>
    <x v="0"/>
    <n v="2001"/>
    <n v="14"/>
    <x v="1"/>
    <n v="3"/>
    <n v="20"/>
    <n v="2"/>
    <n v="3"/>
    <x v="4"/>
    <n v="3"/>
    <x v="0"/>
    <s v="Good"/>
    <x v="1"/>
    <x v="0"/>
    <x v="0"/>
    <x v="0"/>
    <x v="1"/>
  </r>
  <r>
    <x v="0"/>
    <s v="No"/>
    <x v="0"/>
    <n v="1"/>
    <s v="Male"/>
    <x v="2"/>
    <x v="5"/>
    <x v="1"/>
    <n v="4194"/>
    <n v="18"/>
    <x v="1"/>
    <n v="0"/>
    <n v="5"/>
    <n v="3"/>
    <n v="3"/>
    <x v="4"/>
    <n v="3"/>
    <x v="0"/>
    <s v="Good"/>
    <x v="1"/>
    <x v="0"/>
    <x v="0"/>
    <x v="0"/>
    <x v="1"/>
  </r>
  <r>
    <x v="0"/>
    <s v="No"/>
    <x v="1"/>
    <n v="1"/>
    <s v="Female"/>
    <x v="1"/>
    <x v="1"/>
    <x v="2"/>
    <n v="3310"/>
    <n v="21"/>
    <x v="0"/>
    <n v="0"/>
    <n v="5"/>
    <n v="3"/>
    <n v="3"/>
    <x v="4"/>
    <n v="3"/>
    <x v="0"/>
    <s v="Good"/>
    <x v="1"/>
    <x v="0"/>
    <x v="0"/>
    <x v="0"/>
    <x v="0"/>
  </r>
  <r>
    <x v="0"/>
    <s v="No"/>
    <x v="0"/>
    <n v="1"/>
    <s v="Female"/>
    <x v="2"/>
    <x v="5"/>
    <x v="0"/>
    <n v="4850"/>
    <n v="15"/>
    <x v="1"/>
    <n v="0"/>
    <n v="8"/>
    <n v="3"/>
    <n v="3"/>
    <x v="4"/>
    <n v="3"/>
    <x v="0"/>
    <s v="Good"/>
    <x v="1"/>
    <x v="0"/>
    <x v="0"/>
    <x v="0"/>
    <x v="1"/>
  </r>
  <r>
    <x v="0"/>
    <s v="No"/>
    <x v="1"/>
    <n v="1"/>
    <s v="Female"/>
    <x v="2"/>
    <x v="4"/>
    <x v="2"/>
    <n v="6513"/>
    <n v="17"/>
    <x v="1"/>
    <n v="1"/>
    <n v="12"/>
    <n v="3"/>
    <n v="3"/>
    <x v="4"/>
    <n v="3"/>
    <x v="0"/>
    <s v="Good"/>
    <x v="1"/>
    <x v="0"/>
    <x v="0"/>
    <x v="0"/>
    <x v="1"/>
  </r>
  <r>
    <x v="0"/>
    <s v="Yes"/>
    <x v="0"/>
    <n v="1"/>
    <s v="Male"/>
    <x v="1"/>
    <x v="3"/>
    <x v="1"/>
    <n v="3407"/>
    <n v="23"/>
    <x v="0"/>
    <n v="0"/>
    <n v="10"/>
    <n v="4"/>
    <n v="3"/>
    <x v="4"/>
    <n v="3"/>
    <x v="0"/>
    <s v="Good"/>
    <x v="1"/>
    <x v="0"/>
    <x v="0"/>
    <x v="0"/>
    <x v="0"/>
  </r>
  <r>
    <x v="0"/>
    <s v="No"/>
    <x v="1"/>
    <n v="1"/>
    <s v="Female"/>
    <x v="2"/>
    <x v="6"/>
    <x v="0"/>
    <n v="5265"/>
    <n v="16"/>
    <x v="1"/>
    <n v="1"/>
    <n v="11"/>
    <n v="5"/>
    <n v="3"/>
    <x v="4"/>
    <n v="3"/>
    <x v="0"/>
    <s v="Good"/>
    <x v="1"/>
    <x v="0"/>
    <x v="0"/>
    <x v="0"/>
    <x v="1"/>
  </r>
  <r>
    <x v="0"/>
    <s v="No"/>
    <x v="1"/>
    <n v="1"/>
    <s v="Male"/>
    <x v="1"/>
    <x v="1"/>
    <x v="2"/>
    <n v="2044"/>
    <n v="11"/>
    <x v="1"/>
    <n v="1"/>
    <n v="5"/>
    <n v="6"/>
    <n v="4"/>
    <x v="4"/>
    <n v="3"/>
    <x v="0"/>
    <s v="Good"/>
    <x v="1"/>
    <x v="0"/>
    <x v="0"/>
    <x v="0"/>
    <x v="1"/>
  </r>
  <r>
    <x v="0"/>
    <s v="No"/>
    <x v="0"/>
    <n v="1"/>
    <s v="Female"/>
    <x v="2"/>
    <x v="5"/>
    <x v="2"/>
    <n v="6652"/>
    <n v="13"/>
    <x v="1"/>
    <n v="1"/>
    <n v="8"/>
    <n v="2"/>
    <n v="2"/>
    <x v="5"/>
    <n v="3"/>
    <x v="0"/>
    <s v="Bad"/>
    <x v="1"/>
    <x v="0"/>
    <x v="0"/>
    <x v="0"/>
    <x v="1"/>
  </r>
  <r>
    <x v="0"/>
    <s v="Yes"/>
    <x v="0"/>
    <n v="1"/>
    <s v="Female"/>
    <x v="2"/>
    <x v="5"/>
    <x v="1"/>
    <n v="6696"/>
    <n v="15"/>
    <x v="1"/>
    <n v="0"/>
    <n v="9"/>
    <n v="5"/>
    <n v="2"/>
    <x v="5"/>
    <n v="3"/>
    <x v="0"/>
    <s v="Bad"/>
    <x v="1"/>
    <x v="0"/>
    <x v="0"/>
    <x v="0"/>
    <x v="1"/>
  </r>
  <r>
    <x v="0"/>
    <s v="No"/>
    <x v="2"/>
    <n v="1"/>
    <s v="Male"/>
    <x v="1"/>
    <x v="8"/>
    <x v="3"/>
    <n v="2177"/>
    <n v="16"/>
    <x v="1"/>
    <n v="0"/>
    <n v="6"/>
    <n v="3"/>
    <n v="3"/>
    <x v="5"/>
    <n v="3"/>
    <x v="0"/>
    <s v="Good"/>
    <x v="1"/>
    <x v="0"/>
    <x v="0"/>
    <x v="0"/>
    <x v="1"/>
  </r>
  <r>
    <x v="0"/>
    <s v="Yes"/>
    <x v="0"/>
    <n v="1"/>
    <s v="Male"/>
    <x v="2"/>
    <x v="5"/>
    <x v="0"/>
    <n v="6728"/>
    <n v="12"/>
    <x v="1"/>
    <n v="2"/>
    <n v="12"/>
    <n v="3"/>
    <n v="3"/>
    <x v="5"/>
    <n v="3"/>
    <x v="0"/>
    <s v="Good"/>
    <x v="1"/>
    <x v="0"/>
    <x v="0"/>
    <x v="0"/>
    <x v="1"/>
  </r>
  <r>
    <x v="0"/>
    <s v="No"/>
    <x v="1"/>
    <n v="1"/>
    <s v="Female"/>
    <x v="3"/>
    <x v="7"/>
    <x v="3"/>
    <n v="18172"/>
    <n v="19"/>
    <x v="1"/>
    <n v="0"/>
    <n v="28"/>
    <n v="1"/>
    <n v="2"/>
    <x v="7"/>
    <n v="3"/>
    <x v="0"/>
    <s v="Bad"/>
    <x v="1"/>
    <x v="0"/>
    <x v="0"/>
    <x v="0"/>
    <x v="1"/>
  </r>
  <r>
    <x v="0"/>
    <s v="No"/>
    <x v="1"/>
    <n v="1"/>
    <s v="Male"/>
    <x v="2"/>
    <x v="4"/>
    <x v="1"/>
    <n v="5661"/>
    <n v="19"/>
    <x v="1"/>
    <n v="0"/>
    <n v="9"/>
    <n v="2"/>
    <n v="3"/>
    <x v="7"/>
    <n v="3"/>
    <x v="0"/>
    <s v="Good"/>
    <x v="1"/>
    <x v="0"/>
    <x v="0"/>
    <x v="0"/>
    <x v="1"/>
  </r>
  <r>
    <x v="0"/>
    <s v="No"/>
    <x v="1"/>
    <n v="1"/>
    <s v="Female"/>
    <x v="1"/>
    <x v="2"/>
    <x v="0"/>
    <n v="3755"/>
    <n v="11"/>
    <x v="1"/>
    <n v="1"/>
    <n v="8"/>
    <n v="3"/>
    <n v="3"/>
    <x v="7"/>
    <n v="3"/>
    <x v="0"/>
    <s v="Good"/>
    <x v="1"/>
    <x v="0"/>
    <x v="0"/>
    <x v="0"/>
    <x v="1"/>
  </r>
  <r>
    <x v="0"/>
    <s v="No"/>
    <x v="0"/>
    <n v="1"/>
    <s v="Female"/>
    <x v="2"/>
    <x v="5"/>
    <x v="2"/>
    <n v="8686"/>
    <n v="22"/>
    <x v="0"/>
    <n v="0"/>
    <n v="12"/>
    <n v="2"/>
    <n v="4"/>
    <x v="7"/>
    <n v="3"/>
    <x v="0"/>
    <s v="Good"/>
    <x v="1"/>
    <x v="0"/>
    <x v="0"/>
    <x v="0"/>
    <x v="0"/>
  </r>
  <r>
    <x v="0"/>
    <s v="Yes"/>
    <x v="1"/>
    <n v="1"/>
    <s v="Male"/>
    <x v="2"/>
    <x v="6"/>
    <x v="1"/>
    <n v="4213"/>
    <n v="15"/>
    <x v="1"/>
    <n v="0"/>
    <n v="10"/>
    <n v="4"/>
    <n v="1"/>
    <x v="9"/>
    <n v="3"/>
    <x v="0"/>
    <s v="Bad"/>
    <x v="1"/>
    <x v="0"/>
    <x v="0"/>
    <x v="0"/>
    <x v="1"/>
  </r>
  <r>
    <x v="0"/>
    <s v="Yes"/>
    <x v="1"/>
    <n v="1"/>
    <s v="Male"/>
    <x v="1"/>
    <x v="2"/>
    <x v="2"/>
    <n v="2436"/>
    <n v="13"/>
    <x v="1"/>
    <n v="1"/>
    <n v="8"/>
    <n v="2"/>
    <n v="1"/>
    <x v="4"/>
    <n v="4"/>
    <x v="0"/>
    <s v="Bad"/>
    <x v="1"/>
    <x v="0"/>
    <x v="0"/>
    <x v="0"/>
    <x v="1"/>
  </r>
  <r>
    <x v="0"/>
    <s v="No"/>
    <x v="1"/>
    <n v="1"/>
    <s v="Female"/>
    <x v="1"/>
    <x v="2"/>
    <x v="1"/>
    <n v="2950"/>
    <n v="13"/>
    <x v="1"/>
    <n v="0"/>
    <n v="12"/>
    <n v="2"/>
    <n v="1"/>
    <x v="4"/>
    <n v="4"/>
    <x v="0"/>
    <s v="Bad"/>
    <x v="1"/>
    <x v="0"/>
    <x v="0"/>
    <x v="0"/>
    <x v="1"/>
  </r>
  <r>
    <x v="0"/>
    <s v="No"/>
    <x v="1"/>
    <n v="1"/>
    <s v="Female"/>
    <x v="1"/>
    <x v="1"/>
    <x v="1"/>
    <n v="3785"/>
    <n v="14"/>
    <x v="1"/>
    <n v="0"/>
    <n v="5"/>
    <n v="3"/>
    <n v="1"/>
    <x v="4"/>
    <n v="4"/>
    <x v="0"/>
    <s v="Bad"/>
    <x v="1"/>
    <x v="0"/>
    <x v="0"/>
    <x v="0"/>
    <x v="1"/>
  </r>
  <r>
    <x v="0"/>
    <s v="No"/>
    <x v="1"/>
    <n v="1"/>
    <s v="Female"/>
    <x v="1"/>
    <x v="2"/>
    <x v="3"/>
    <n v="3294"/>
    <n v="17"/>
    <x v="1"/>
    <n v="1"/>
    <n v="7"/>
    <n v="2"/>
    <n v="2"/>
    <x v="4"/>
    <n v="4"/>
    <x v="0"/>
    <s v="Bad"/>
    <x v="1"/>
    <x v="0"/>
    <x v="0"/>
    <x v="0"/>
    <x v="1"/>
  </r>
  <r>
    <x v="0"/>
    <s v="No"/>
    <x v="1"/>
    <n v="1"/>
    <s v="Male"/>
    <x v="2"/>
    <x v="2"/>
    <x v="3"/>
    <n v="6782"/>
    <n v="15"/>
    <x v="1"/>
    <n v="0"/>
    <n v="9"/>
    <n v="2"/>
    <n v="2"/>
    <x v="4"/>
    <n v="4"/>
    <x v="0"/>
    <s v="Bad"/>
    <x v="1"/>
    <x v="0"/>
    <x v="0"/>
    <x v="0"/>
    <x v="1"/>
  </r>
  <r>
    <x v="0"/>
    <s v="No"/>
    <x v="1"/>
    <n v="1"/>
    <s v="Female"/>
    <x v="1"/>
    <x v="2"/>
    <x v="2"/>
    <n v="2379"/>
    <n v="14"/>
    <x v="1"/>
    <n v="0"/>
    <n v="6"/>
    <n v="3"/>
    <n v="2"/>
    <x v="4"/>
    <n v="4"/>
    <x v="0"/>
    <s v="Bad"/>
    <x v="1"/>
    <x v="0"/>
    <x v="0"/>
    <x v="0"/>
    <x v="1"/>
  </r>
  <r>
    <x v="0"/>
    <s v="No"/>
    <x v="1"/>
    <n v="1"/>
    <s v="Male"/>
    <x v="1"/>
    <x v="1"/>
    <x v="2"/>
    <n v="3761"/>
    <n v="12"/>
    <x v="1"/>
    <n v="1"/>
    <n v="10"/>
    <n v="3"/>
    <n v="2"/>
    <x v="4"/>
    <n v="4"/>
    <x v="0"/>
    <s v="Bad"/>
    <x v="1"/>
    <x v="0"/>
    <x v="0"/>
    <x v="0"/>
    <x v="1"/>
  </r>
  <r>
    <x v="0"/>
    <s v="No"/>
    <x v="0"/>
    <n v="1"/>
    <s v="Male"/>
    <x v="0"/>
    <x v="0"/>
    <x v="2"/>
    <n v="11557"/>
    <n v="21"/>
    <x v="0"/>
    <n v="1"/>
    <n v="10"/>
    <n v="3"/>
    <n v="2"/>
    <x v="4"/>
    <n v="4"/>
    <x v="0"/>
    <s v="Bad"/>
    <x v="1"/>
    <x v="0"/>
    <x v="0"/>
    <x v="0"/>
    <x v="0"/>
  </r>
  <r>
    <x v="0"/>
    <s v="No"/>
    <x v="1"/>
    <n v="1"/>
    <s v="Female"/>
    <x v="1"/>
    <x v="1"/>
    <x v="0"/>
    <n v="2632"/>
    <n v="14"/>
    <x v="1"/>
    <n v="0"/>
    <n v="5"/>
    <n v="4"/>
    <n v="2"/>
    <x v="4"/>
    <n v="4"/>
    <x v="0"/>
    <s v="Bad"/>
    <x v="1"/>
    <x v="0"/>
    <x v="0"/>
    <x v="0"/>
    <x v="1"/>
  </r>
  <r>
    <x v="0"/>
    <s v="No"/>
    <x v="1"/>
    <n v="1"/>
    <s v="Female"/>
    <x v="1"/>
    <x v="1"/>
    <x v="0"/>
    <n v="2029"/>
    <n v="20"/>
    <x v="0"/>
    <n v="3"/>
    <n v="5"/>
    <n v="2"/>
    <n v="3"/>
    <x v="4"/>
    <n v="4"/>
    <x v="0"/>
    <s v="Good"/>
    <x v="1"/>
    <x v="0"/>
    <x v="0"/>
    <x v="0"/>
    <x v="0"/>
  </r>
  <r>
    <x v="0"/>
    <s v="No"/>
    <x v="1"/>
    <n v="1"/>
    <s v="Female"/>
    <x v="2"/>
    <x v="6"/>
    <x v="2"/>
    <n v="6091"/>
    <n v="20"/>
    <x v="0"/>
    <n v="0"/>
    <n v="11"/>
    <n v="2"/>
    <n v="3"/>
    <x v="4"/>
    <n v="4"/>
    <x v="0"/>
    <s v="Good"/>
    <x v="1"/>
    <x v="0"/>
    <x v="0"/>
    <x v="0"/>
    <x v="0"/>
  </r>
  <r>
    <x v="0"/>
    <s v="No"/>
    <x v="2"/>
    <n v="1"/>
    <s v="Female"/>
    <x v="2"/>
    <x v="8"/>
    <x v="2"/>
    <n v="5204"/>
    <n v="11"/>
    <x v="1"/>
    <n v="2"/>
    <n v="13"/>
    <n v="2"/>
    <n v="3"/>
    <x v="4"/>
    <n v="4"/>
    <x v="0"/>
    <s v="Good"/>
    <x v="1"/>
    <x v="0"/>
    <x v="0"/>
    <x v="0"/>
    <x v="1"/>
  </r>
  <r>
    <x v="0"/>
    <s v="No"/>
    <x v="0"/>
    <n v="1"/>
    <s v="Male"/>
    <x v="0"/>
    <x v="5"/>
    <x v="1"/>
    <n v="10761"/>
    <n v="12"/>
    <x v="1"/>
    <n v="1"/>
    <n v="18"/>
    <n v="2"/>
    <n v="3"/>
    <x v="4"/>
    <n v="4"/>
    <x v="0"/>
    <s v="Good"/>
    <x v="1"/>
    <x v="0"/>
    <x v="0"/>
    <x v="0"/>
    <x v="1"/>
  </r>
  <r>
    <x v="0"/>
    <s v="No"/>
    <x v="0"/>
    <n v="1"/>
    <s v="Male"/>
    <x v="2"/>
    <x v="5"/>
    <x v="0"/>
    <n v="4478"/>
    <n v="11"/>
    <x v="1"/>
    <n v="0"/>
    <n v="5"/>
    <n v="3"/>
    <n v="3"/>
    <x v="4"/>
    <n v="4"/>
    <x v="0"/>
    <s v="Good"/>
    <x v="1"/>
    <x v="0"/>
    <x v="0"/>
    <x v="0"/>
    <x v="1"/>
  </r>
  <r>
    <x v="0"/>
    <s v="No"/>
    <x v="0"/>
    <n v="1"/>
    <s v="Female"/>
    <x v="2"/>
    <x v="5"/>
    <x v="0"/>
    <n v="4859"/>
    <n v="16"/>
    <x v="1"/>
    <n v="0"/>
    <n v="5"/>
    <n v="3"/>
    <n v="3"/>
    <x v="4"/>
    <n v="4"/>
    <x v="0"/>
    <s v="Good"/>
    <x v="1"/>
    <x v="0"/>
    <x v="0"/>
    <x v="0"/>
    <x v="1"/>
  </r>
  <r>
    <x v="0"/>
    <s v="No"/>
    <x v="1"/>
    <n v="1"/>
    <s v="Male"/>
    <x v="1"/>
    <x v="2"/>
    <x v="3"/>
    <n v="2810"/>
    <n v="22"/>
    <x v="0"/>
    <n v="0"/>
    <n v="5"/>
    <n v="3"/>
    <n v="3"/>
    <x v="4"/>
    <n v="4"/>
    <x v="0"/>
    <s v="Good"/>
    <x v="1"/>
    <x v="0"/>
    <x v="0"/>
    <x v="0"/>
    <x v="0"/>
  </r>
  <r>
    <x v="0"/>
    <s v="No"/>
    <x v="1"/>
    <n v="1"/>
    <s v="Female"/>
    <x v="1"/>
    <x v="2"/>
    <x v="0"/>
    <n v="3702"/>
    <n v="11"/>
    <x v="1"/>
    <n v="1"/>
    <n v="5"/>
    <n v="3"/>
    <n v="3"/>
    <x v="4"/>
    <n v="4"/>
    <x v="0"/>
    <s v="Good"/>
    <x v="1"/>
    <x v="0"/>
    <x v="0"/>
    <x v="0"/>
    <x v="1"/>
  </r>
  <r>
    <x v="0"/>
    <s v="No"/>
    <x v="0"/>
    <n v="1"/>
    <s v="Female"/>
    <x v="2"/>
    <x v="5"/>
    <x v="0"/>
    <n v="4162"/>
    <n v="12"/>
    <x v="1"/>
    <n v="2"/>
    <n v="5"/>
    <n v="3"/>
    <n v="3"/>
    <x v="4"/>
    <n v="4"/>
    <x v="0"/>
    <s v="Good"/>
    <x v="1"/>
    <x v="0"/>
    <x v="0"/>
    <x v="0"/>
    <x v="1"/>
  </r>
  <r>
    <x v="0"/>
    <s v="No"/>
    <x v="2"/>
    <n v="1"/>
    <s v="Male"/>
    <x v="1"/>
    <x v="8"/>
    <x v="1"/>
    <n v="2342"/>
    <n v="21"/>
    <x v="0"/>
    <n v="0"/>
    <n v="6"/>
    <n v="3"/>
    <n v="3"/>
    <x v="4"/>
    <n v="4"/>
    <x v="0"/>
    <s v="Good"/>
    <x v="1"/>
    <x v="0"/>
    <x v="0"/>
    <x v="0"/>
    <x v="0"/>
  </r>
  <r>
    <x v="0"/>
    <s v="No"/>
    <x v="1"/>
    <n v="1"/>
    <s v="Male"/>
    <x v="1"/>
    <x v="1"/>
    <x v="3"/>
    <n v="2703"/>
    <n v="23"/>
    <x v="0"/>
    <n v="1"/>
    <n v="6"/>
    <n v="3"/>
    <n v="3"/>
    <x v="4"/>
    <n v="4"/>
    <x v="0"/>
    <s v="Good"/>
    <x v="1"/>
    <x v="0"/>
    <x v="0"/>
    <x v="0"/>
    <x v="0"/>
  </r>
  <r>
    <x v="0"/>
    <s v="No"/>
    <x v="1"/>
    <n v="1"/>
    <s v="Male"/>
    <x v="1"/>
    <x v="1"/>
    <x v="2"/>
    <n v="2132"/>
    <n v="20"/>
    <x v="0"/>
    <n v="1"/>
    <n v="8"/>
    <n v="3"/>
    <n v="3"/>
    <x v="4"/>
    <n v="4"/>
    <x v="0"/>
    <s v="Good"/>
    <x v="1"/>
    <x v="0"/>
    <x v="0"/>
    <x v="0"/>
    <x v="0"/>
  </r>
  <r>
    <x v="0"/>
    <s v="No"/>
    <x v="0"/>
    <n v="1"/>
    <s v="Female"/>
    <x v="1"/>
    <x v="3"/>
    <x v="2"/>
    <n v="2973"/>
    <n v="15"/>
    <x v="1"/>
    <n v="1"/>
    <n v="10"/>
    <n v="3"/>
    <n v="3"/>
    <x v="4"/>
    <n v="4"/>
    <x v="0"/>
    <s v="Good"/>
    <x v="1"/>
    <x v="0"/>
    <x v="0"/>
    <x v="0"/>
    <x v="1"/>
  </r>
  <r>
    <x v="0"/>
    <s v="No"/>
    <x v="1"/>
    <n v="1"/>
    <s v="Male"/>
    <x v="2"/>
    <x v="4"/>
    <x v="1"/>
    <n v="6842"/>
    <n v="20"/>
    <x v="0"/>
    <n v="1"/>
    <n v="13"/>
    <n v="3"/>
    <n v="3"/>
    <x v="4"/>
    <n v="4"/>
    <x v="0"/>
    <s v="Good"/>
    <x v="1"/>
    <x v="0"/>
    <x v="0"/>
    <x v="0"/>
    <x v="0"/>
  </r>
  <r>
    <x v="0"/>
    <s v="No"/>
    <x v="0"/>
    <n v="1"/>
    <s v="Female"/>
    <x v="2"/>
    <x v="5"/>
    <x v="3"/>
    <n v="9278"/>
    <n v="16"/>
    <x v="1"/>
    <n v="0"/>
    <n v="15"/>
    <n v="3"/>
    <n v="3"/>
    <x v="4"/>
    <n v="4"/>
    <x v="0"/>
    <s v="Good"/>
    <x v="1"/>
    <x v="0"/>
    <x v="0"/>
    <x v="0"/>
    <x v="1"/>
  </r>
  <r>
    <x v="0"/>
    <s v="No"/>
    <x v="1"/>
    <n v="1"/>
    <s v="Female"/>
    <x v="1"/>
    <x v="2"/>
    <x v="1"/>
    <n v="3452"/>
    <n v="20"/>
    <x v="0"/>
    <n v="1"/>
    <n v="17"/>
    <n v="3"/>
    <n v="3"/>
    <x v="4"/>
    <n v="4"/>
    <x v="0"/>
    <s v="Good"/>
    <x v="1"/>
    <x v="0"/>
    <x v="0"/>
    <x v="0"/>
    <x v="0"/>
  </r>
  <r>
    <x v="0"/>
    <s v="No"/>
    <x v="1"/>
    <n v="1"/>
    <s v="Female"/>
    <x v="2"/>
    <x v="1"/>
    <x v="0"/>
    <n v="4556"/>
    <n v="11"/>
    <x v="1"/>
    <n v="1"/>
    <n v="19"/>
    <n v="3"/>
    <n v="3"/>
    <x v="4"/>
    <n v="4"/>
    <x v="0"/>
    <s v="Good"/>
    <x v="1"/>
    <x v="0"/>
    <x v="0"/>
    <x v="0"/>
    <x v="1"/>
  </r>
  <r>
    <x v="0"/>
    <s v="No"/>
    <x v="1"/>
    <n v="1"/>
    <s v="Female"/>
    <x v="1"/>
    <x v="1"/>
    <x v="0"/>
    <n v="2942"/>
    <n v="19"/>
    <x v="1"/>
    <n v="1"/>
    <n v="18"/>
    <n v="4"/>
    <n v="3"/>
    <x v="4"/>
    <n v="4"/>
    <x v="0"/>
    <s v="Good"/>
    <x v="1"/>
    <x v="0"/>
    <x v="0"/>
    <x v="0"/>
    <x v="1"/>
  </r>
  <r>
    <x v="0"/>
    <s v="No"/>
    <x v="1"/>
    <n v="1"/>
    <s v="Male"/>
    <x v="0"/>
    <x v="6"/>
    <x v="0"/>
    <n v="7969"/>
    <n v="14"/>
    <x v="1"/>
    <n v="0"/>
    <n v="28"/>
    <n v="4"/>
    <n v="3"/>
    <x v="4"/>
    <n v="4"/>
    <x v="0"/>
    <s v="Good"/>
    <x v="1"/>
    <x v="0"/>
    <x v="0"/>
    <x v="0"/>
    <x v="1"/>
  </r>
  <r>
    <x v="0"/>
    <s v="No"/>
    <x v="1"/>
    <n v="1"/>
    <s v="Male"/>
    <x v="1"/>
    <x v="2"/>
    <x v="3"/>
    <n v="2426"/>
    <n v="13"/>
    <x v="1"/>
    <n v="1"/>
    <n v="6"/>
    <n v="5"/>
    <n v="3"/>
    <x v="4"/>
    <n v="4"/>
    <x v="0"/>
    <s v="Good"/>
    <x v="1"/>
    <x v="0"/>
    <x v="0"/>
    <x v="0"/>
    <x v="1"/>
  </r>
  <r>
    <x v="0"/>
    <s v="No"/>
    <x v="1"/>
    <n v="1"/>
    <s v="Female"/>
    <x v="1"/>
    <x v="2"/>
    <x v="3"/>
    <n v="3838"/>
    <n v="11"/>
    <x v="1"/>
    <n v="0"/>
    <n v="8"/>
    <n v="5"/>
    <n v="3"/>
    <x v="4"/>
    <n v="4"/>
    <x v="0"/>
    <s v="Good"/>
    <x v="1"/>
    <x v="0"/>
    <x v="0"/>
    <x v="0"/>
    <x v="1"/>
  </r>
  <r>
    <x v="0"/>
    <s v="No"/>
    <x v="0"/>
    <n v="1"/>
    <s v="Male"/>
    <x v="2"/>
    <x v="5"/>
    <x v="3"/>
    <n v="8938"/>
    <n v="11"/>
    <x v="1"/>
    <n v="1"/>
    <n v="14"/>
    <n v="5"/>
    <n v="3"/>
    <x v="4"/>
    <n v="4"/>
    <x v="0"/>
    <s v="Good"/>
    <x v="1"/>
    <x v="0"/>
    <x v="0"/>
    <x v="0"/>
    <x v="1"/>
  </r>
  <r>
    <x v="0"/>
    <s v="No"/>
    <x v="0"/>
    <n v="1"/>
    <s v="Female"/>
    <x v="2"/>
    <x v="5"/>
    <x v="0"/>
    <n v="6244"/>
    <n v="17"/>
    <x v="1"/>
    <n v="0"/>
    <n v="10"/>
    <n v="6"/>
    <n v="3"/>
    <x v="4"/>
    <n v="4"/>
    <x v="0"/>
    <s v="Good"/>
    <x v="1"/>
    <x v="0"/>
    <x v="0"/>
    <x v="0"/>
    <x v="1"/>
  </r>
  <r>
    <x v="0"/>
    <s v="No"/>
    <x v="1"/>
    <n v="1"/>
    <s v="Male"/>
    <x v="1"/>
    <x v="2"/>
    <x v="0"/>
    <n v="2705"/>
    <n v="16"/>
    <x v="1"/>
    <n v="1"/>
    <n v="6"/>
    <n v="2"/>
    <n v="4"/>
    <x v="4"/>
    <n v="4"/>
    <x v="0"/>
    <s v="Good"/>
    <x v="1"/>
    <x v="0"/>
    <x v="0"/>
    <x v="0"/>
    <x v="1"/>
  </r>
  <r>
    <x v="0"/>
    <s v="Yes"/>
    <x v="1"/>
    <n v="1"/>
    <s v="Female"/>
    <x v="1"/>
    <x v="2"/>
    <x v="1"/>
    <n v="4200"/>
    <n v="22"/>
    <x v="0"/>
    <n v="0"/>
    <n v="10"/>
    <n v="2"/>
    <n v="4"/>
    <x v="4"/>
    <n v="4"/>
    <x v="0"/>
    <s v="Good"/>
    <x v="1"/>
    <x v="0"/>
    <x v="0"/>
    <x v="0"/>
    <x v="0"/>
  </r>
  <r>
    <x v="0"/>
    <s v="No"/>
    <x v="0"/>
    <n v="1"/>
    <s v="Male"/>
    <x v="2"/>
    <x v="5"/>
    <x v="0"/>
    <n v="4221"/>
    <n v="15"/>
    <x v="1"/>
    <n v="0"/>
    <n v="5"/>
    <n v="3"/>
    <n v="4"/>
    <x v="4"/>
    <n v="4"/>
    <x v="0"/>
    <s v="Good"/>
    <x v="1"/>
    <x v="0"/>
    <x v="0"/>
    <x v="0"/>
    <x v="1"/>
  </r>
  <r>
    <x v="0"/>
    <s v="No"/>
    <x v="0"/>
    <n v="1"/>
    <s v="Female"/>
    <x v="2"/>
    <x v="5"/>
    <x v="1"/>
    <n v="5006"/>
    <n v="11"/>
    <x v="1"/>
    <n v="1"/>
    <n v="9"/>
    <n v="3"/>
    <n v="4"/>
    <x v="4"/>
    <n v="4"/>
    <x v="0"/>
    <s v="Good"/>
    <x v="1"/>
    <x v="0"/>
    <x v="0"/>
    <x v="0"/>
    <x v="1"/>
  </r>
  <r>
    <x v="0"/>
    <s v="No"/>
    <x v="0"/>
    <n v="1"/>
    <s v="Male"/>
    <x v="2"/>
    <x v="5"/>
    <x v="2"/>
    <n v="6502"/>
    <n v="14"/>
    <x v="1"/>
    <n v="1"/>
    <n v="7"/>
    <n v="5"/>
    <n v="4"/>
    <x v="4"/>
    <n v="4"/>
    <x v="0"/>
    <s v="Good"/>
    <x v="1"/>
    <x v="0"/>
    <x v="0"/>
    <x v="0"/>
    <x v="1"/>
  </r>
  <r>
    <x v="0"/>
    <s v="No"/>
    <x v="1"/>
    <n v="1"/>
    <s v="Female"/>
    <x v="0"/>
    <x v="6"/>
    <x v="0"/>
    <n v="7756"/>
    <n v="19"/>
    <x v="1"/>
    <n v="1"/>
    <n v="10"/>
    <n v="6"/>
    <n v="4"/>
    <x v="4"/>
    <n v="4"/>
    <x v="0"/>
    <s v="Good"/>
    <x v="1"/>
    <x v="0"/>
    <x v="0"/>
    <x v="0"/>
    <x v="1"/>
  </r>
  <r>
    <x v="0"/>
    <s v="Yes"/>
    <x v="0"/>
    <n v="1"/>
    <s v="Female"/>
    <x v="2"/>
    <x v="5"/>
    <x v="2"/>
    <n v="5993"/>
    <n v="11"/>
    <x v="1"/>
    <n v="0"/>
    <n v="8"/>
    <n v="0"/>
    <n v="1"/>
    <x v="5"/>
    <n v="4"/>
    <x v="0"/>
    <s v="Bad"/>
    <x v="1"/>
    <x v="0"/>
    <x v="0"/>
    <x v="0"/>
    <x v="1"/>
  </r>
  <r>
    <x v="0"/>
    <s v="No"/>
    <x v="0"/>
    <n v="1"/>
    <s v="Male"/>
    <x v="0"/>
    <x v="0"/>
    <x v="2"/>
    <n v="11904"/>
    <n v="14"/>
    <x v="1"/>
    <n v="1"/>
    <n v="14"/>
    <n v="1"/>
    <n v="1"/>
    <x v="5"/>
    <n v="4"/>
    <x v="0"/>
    <s v="Bad"/>
    <x v="1"/>
    <x v="0"/>
    <x v="0"/>
    <x v="0"/>
    <x v="1"/>
  </r>
  <r>
    <x v="0"/>
    <s v="No"/>
    <x v="1"/>
    <n v="1"/>
    <s v="Female"/>
    <x v="2"/>
    <x v="1"/>
    <x v="2"/>
    <n v="6322"/>
    <n v="12"/>
    <x v="1"/>
    <n v="1"/>
    <n v="6"/>
    <n v="2"/>
    <n v="2"/>
    <x v="5"/>
    <n v="4"/>
    <x v="0"/>
    <s v="Bad"/>
    <x v="1"/>
    <x v="0"/>
    <x v="0"/>
    <x v="0"/>
    <x v="1"/>
  </r>
  <r>
    <x v="0"/>
    <s v="No"/>
    <x v="1"/>
    <n v="1"/>
    <s v="Male"/>
    <x v="0"/>
    <x v="6"/>
    <x v="2"/>
    <n v="7260"/>
    <n v="11"/>
    <x v="1"/>
    <n v="0"/>
    <n v="37"/>
    <n v="3"/>
    <n v="2"/>
    <x v="5"/>
    <n v="4"/>
    <x v="0"/>
    <s v="Bad"/>
    <x v="1"/>
    <x v="0"/>
    <x v="0"/>
    <x v="0"/>
    <x v="1"/>
  </r>
  <r>
    <x v="0"/>
    <s v="No"/>
    <x v="1"/>
    <n v="1"/>
    <s v="Male"/>
    <x v="1"/>
    <x v="2"/>
    <x v="3"/>
    <n v="4876"/>
    <n v="12"/>
    <x v="1"/>
    <n v="1"/>
    <n v="8"/>
    <n v="0"/>
    <n v="3"/>
    <x v="5"/>
    <n v="4"/>
    <x v="0"/>
    <s v="Good"/>
    <x v="1"/>
    <x v="0"/>
    <x v="0"/>
    <x v="0"/>
    <x v="1"/>
  </r>
  <r>
    <x v="0"/>
    <s v="Yes"/>
    <x v="0"/>
    <n v="1"/>
    <s v="Male"/>
    <x v="2"/>
    <x v="5"/>
    <x v="0"/>
    <n v="5744"/>
    <n v="11"/>
    <x v="1"/>
    <n v="0"/>
    <n v="6"/>
    <n v="1"/>
    <n v="3"/>
    <x v="5"/>
    <n v="4"/>
    <x v="0"/>
    <s v="Good"/>
    <x v="1"/>
    <x v="0"/>
    <x v="0"/>
    <x v="0"/>
    <x v="1"/>
  </r>
  <r>
    <x v="0"/>
    <s v="Yes"/>
    <x v="1"/>
    <n v="1"/>
    <s v="Male"/>
    <x v="1"/>
    <x v="1"/>
    <x v="1"/>
    <n v="3102"/>
    <n v="22"/>
    <x v="0"/>
    <n v="0"/>
    <n v="7"/>
    <n v="2"/>
    <n v="3"/>
    <x v="5"/>
    <n v="4"/>
    <x v="0"/>
    <s v="Good"/>
    <x v="1"/>
    <x v="0"/>
    <x v="0"/>
    <x v="0"/>
    <x v="0"/>
  </r>
  <r>
    <x v="0"/>
    <s v="No"/>
    <x v="1"/>
    <n v="1"/>
    <s v="Male"/>
    <x v="1"/>
    <x v="1"/>
    <x v="2"/>
    <n v="2356"/>
    <n v="19"/>
    <x v="1"/>
    <n v="1"/>
    <n v="8"/>
    <n v="2"/>
    <n v="3"/>
    <x v="5"/>
    <n v="4"/>
    <x v="0"/>
    <s v="Good"/>
    <x v="1"/>
    <x v="0"/>
    <x v="0"/>
    <x v="0"/>
    <x v="1"/>
  </r>
  <r>
    <x v="0"/>
    <s v="No"/>
    <x v="1"/>
    <n v="1"/>
    <s v="Male"/>
    <x v="0"/>
    <x v="4"/>
    <x v="0"/>
    <n v="10920"/>
    <n v="21"/>
    <x v="0"/>
    <n v="1"/>
    <n v="13"/>
    <n v="2"/>
    <n v="3"/>
    <x v="5"/>
    <n v="4"/>
    <x v="0"/>
    <s v="Good"/>
    <x v="1"/>
    <x v="0"/>
    <x v="0"/>
    <x v="0"/>
    <x v="0"/>
  </r>
  <r>
    <x v="0"/>
    <s v="No"/>
    <x v="1"/>
    <n v="1"/>
    <s v="Male"/>
    <x v="1"/>
    <x v="1"/>
    <x v="0"/>
    <n v="2859"/>
    <n v="18"/>
    <x v="1"/>
    <n v="0"/>
    <n v="6"/>
    <n v="3"/>
    <n v="3"/>
    <x v="5"/>
    <n v="4"/>
    <x v="0"/>
    <s v="Good"/>
    <x v="1"/>
    <x v="0"/>
    <x v="0"/>
    <x v="0"/>
    <x v="1"/>
  </r>
  <r>
    <x v="0"/>
    <s v="Yes"/>
    <x v="1"/>
    <n v="1"/>
    <s v="Male"/>
    <x v="1"/>
    <x v="1"/>
    <x v="0"/>
    <n v="2936"/>
    <n v="11"/>
    <x v="1"/>
    <n v="0"/>
    <n v="6"/>
    <n v="4"/>
    <n v="3"/>
    <x v="5"/>
    <n v="4"/>
    <x v="0"/>
    <s v="Good"/>
    <x v="1"/>
    <x v="0"/>
    <x v="0"/>
    <x v="0"/>
    <x v="1"/>
  </r>
  <r>
    <x v="0"/>
    <s v="No"/>
    <x v="0"/>
    <n v="1"/>
    <s v="Male"/>
    <x v="1"/>
    <x v="3"/>
    <x v="0"/>
    <n v="2096"/>
    <n v="11"/>
    <x v="1"/>
    <n v="0"/>
    <n v="7"/>
    <n v="1"/>
    <n v="3"/>
    <x v="6"/>
    <n v="4"/>
    <x v="0"/>
    <s v="Good"/>
    <x v="1"/>
    <x v="0"/>
    <x v="0"/>
    <x v="0"/>
    <x v="1"/>
  </r>
  <r>
    <x v="0"/>
    <s v="No"/>
    <x v="0"/>
    <n v="1"/>
    <s v="Male"/>
    <x v="2"/>
    <x v="5"/>
    <x v="0"/>
    <n v="5487"/>
    <n v="14"/>
    <x v="1"/>
    <n v="0"/>
    <n v="10"/>
    <n v="2"/>
    <n v="2"/>
    <x v="9"/>
    <n v="4"/>
    <x v="0"/>
    <s v="Bad"/>
    <x v="1"/>
    <x v="0"/>
    <x v="0"/>
    <x v="0"/>
    <x v="1"/>
  </r>
  <r>
    <x v="0"/>
    <s v="No"/>
    <x v="1"/>
    <n v="1"/>
    <s v="Male"/>
    <x v="2"/>
    <x v="1"/>
    <x v="3"/>
    <n v="6220"/>
    <n v="17"/>
    <x v="1"/>
    <n v="2"/>
    <n v="10"/>
    <n v="3"/>
    <n v="3"/>
    <x v="9"/>
    <n v="4"/>
    <x v="0"/>
    <s v="Good"/>
    <x v="1"/>
    <x v="0"/>
    <x v="0"/>
    <x v="0"/>
    <x v="1"/>
  </r>
  <r>
    <x v="0"/>
    <s v="No"/>
    <x v="0"/>
    <n v="1"/>
    <s v="Female"/>
    <x v="3"/>
    <x v="0"/>
    <x v="3"/>
    <n v="18789"/>
    <n v="14"/>
    <x v="1"/>
    <n v="1"/>
    <n v="26"/>
    <n v="2"/>
    <n v="3"/>
    <x v="13"/>
    <n v="4"/>
    <x v="0"/>
    <s v="Good"/>
    <x v="1"/>
    <x v="0"/>
    <x v="0"/>
    <x v="0"/>
    <x v="1"/>
  </r>
  <r>
    <x v="0"/>
    <s v="No"/>
    <x v="1"/>
    <n v="1"/>
    <s v="Male"/>
    <x v="2"/>
    <x v="4"/>
    <x v="1"/>
    <n v="6833"/>
    <n v="12"/>
    <x v="1"/>
    <n v="0"/>
    <n v="6"/>
    <n v="2"/>
    <n v="2"/>
    <x v="5"/>
    <n v="5"/>
    <x v="0"/>
    <s v="Bad"/>
    <x v="1"/>
    <x v="0"/>
    <x v="1"/>
    <x v="1"/>
    <x v="1"/>
  </r>
  <r>
    <x v="0"/>
    <s v="No"/>
    <x v="1"/>
    <n v="1"/>
    <s v="Male"/>
    <x v="1"/>
    <x v="1"/>
    <x v="2"/>
    <n v="3452"/>
    <n v="13"/>
    <x v="1"/>
    <n v="0"/>
    <n v="9"/>
    <n v="2"/>
    <n v="2"/>
    <x v="5"/>
    <n v="5"/>
    <x v="0"/>
    <s v="Bad"/>
    <x v="1"/>
    <x v="0"/>
    <x v="1"/>
    <x v="1"/>
    <x v="1"/>
  </r>
  <r>
    <x v="0"/>
    <s v="No"/>
    <x v="1"/>
    <n v="1"/>
    <s v="Male"/>
    <x v="2"/>
    <x v="6"/>
    <x v="3"/>
    <n v="6499"/>
    <n v="13"/>
    <x v="1"/>
    <n v="0"/>
    <n v="6"/>
    <n v="3"/>
    <n v="3"/>
    <x v="5"/>
    <n v="5"/>
    <x v="0"/>
    <s v="Good"/>
    <x v="1"/>
    <x v="0"/>
    <x v="1"/>
    <x v="1"/>
    <x v="1"/>
  </r>
  <r>
    <x v="0"/>
    <s v="No"/>
    <x v="0"/>
    <n v="1"/>
    <s v="Female"/>
    <x v="2"/>
    <x v="5"/>
    <x v="2"/>
    <n v="4647"/>
    <n v="20"/>
    <x v="0"/>
    <n v="2"/>
    <n v="6"/>
    <n v="3"/>
    <n v="3"/>
    <x v="5"/>
    <n v="5"/>
    <x v="0"/>
    <s v="Good"/>
    <x v="1"/>
    <x v="0"/>
    <x v="1"/>
    <x v="1"/>
    <x v="0"/>
  </r>
  <r>
    <x v="0"/>
    <s v="No"/>
    <x v="0"/>
    <n v="1"/>
    <s v="Male"/>
    <x v="2"/>
    <x v="5"/>
    <x v="2"/>
    <n v="6582"/>
    <n v="13"/>
    <x v="1"/>
    <n v="0"/>
    <n v="10"/>
    <n v="2"/>
    <n v="4"/>
    <x v="5"/>
    <n v="5"/>
    <x v="0"/>
    <s v="Good"/>
    <x v="1"/>
    <x v="0"/>
    <x v="1"/>
    <x v="1"/>
    <x v="1"/>
  </r>
  <r>
    <x v="0"/>
    <s v="No"/>
    <x v="1"/>
    <n v="1"/>
    <s v="Female"/>
    <x v="2"/>
    <x v="4"/>
    <x v="2"/>
    <n v="4523"/>
    <n v="11"/>
    <x v="1"/>
    <n v="3"/>
    <n v="7"/>
    <n v="4"/>
    <n v="4"/>
    <x v="5"/>
    <n v="5"/>
    <x v="0"/>
    <s v="Good"/>
    <x v="1"/>
    <x v="0"/>
    <x v="1"/>
    <x v="1"/>
    <x v="1"/>
  </r>
  <r>
    <x v="0"/>
    <s v="No"/>
    <x v="0"/>
    <n v="1"/>
    <s v="Male"/>
    <x v="2"/>
    <x v="5"/>
    <x v="2"/>
    <n v="5253"/>
    <n v="16"/>
    <x v="1"/>
    <n v="0"/>
    <n v="7"/>
    <n v="1"/>
    <n v="3"/>
    <x v="6"/>
    <n v="5"/>
    <x v="0"/>
    <s v="Good"/>
    <x v="1"/>
    <x v="0"/>
    <x v="1"/>
    <x v="1"/>
    <x v="1"/>
  </r>
  <r>
    <x v="0"/>
    <s v="No"/>
    <x v="1"/>
    <n v="1"/>
    <s v="Male"/>
    <x v="2"/>
    <x v="6"/>
    <x v="0"/>
    <n v="5993"/>
    <n v="18"/>
    <x v="1"/>
    <n v="1"/>
    <n v="7"/>
    <n v="2"/>
    <n v="4"/>
    <x v="6"/>
    <n v="5"/>
    <x v="0"/>
    <s v="Good"/>
    <x v="1"/>
    <x v="0"/>
    <x v="1"/>
    <x v="1"/>
    <x v="1"/>
  </r>
  <r>
    <x v="0"/>
    <s v="No"/>
    <x v="1"/>
    <n v="1"/>
    <s v="Female"/>
    <x v="2"/>
    <x v="2"/>
    <x v="0"/>
    <n v="4193"/>
    <n v="12"/>
    <x v="1"/>
    <n v="0"/>
    <n v="10"/>
    <n v="3"/>
    <n v="3"/>
    <x v="8"/>
    <n v="5"/>
    <x v="0"/>
    <s v="Good"/>
    <x v="1"/>
    <x v="0"/>
    <x v="1"/>
    <x v="1"/>
    <x v="1"/>
  </r>
  <r>
    <x v="0"/>
    <s v="No"/>
    <x v="1"/>
    <n v="1"/>
    <s v="Female"/>
    <x v="2"/>
    <x v="4"/>
    <x v="1"/>
    <n v="6811"/>
    <n v="19"/>
    <x v="1"/>
    <n v="0"/>
    <n v="9"/>
    <n v="2"/>
    <n v="1"/>
    <x v="6"/>
    <n v="6"/>
    <x v="0"/>
    <s v="Bad"/>
    <x v="1"/>
    <x v="0"/>
    <x v="1"/>
    <x v="1"/>
    <x v="1"/>
  </r>
  <r>
    <x v="0"/>
    <s v="No"/>
    <x v="0"/>
    <n v="1"/>
    <s v="Male"/>
    <x v="2"/>
    <x v="5"/>
    <x v="3"/>
    <n v="5390"/>
    <n v="14"/>
    <x v="1"/>
    <n v="0"/>
    <n v="17"/>
    <n v="3"/>
    <n v="2"/>
    <x v="8"/>
    <n v="6"/>
    <x v="0"/>
    <s v="Bad"/>
    <x v="1"/>
    <x v="0"/>
    <x v="1"/>
    <x v="1"/>
    <x v="1"/>
  </r>
  <r>
    <x v="0"/>
    <s v="No"/>
    <x v="0"/>
    <n v="1"/>
    <s v="Male"/>
    <x v="2"/>
    <x v="5"/>
    <x v="2"/>
    <n v="5772"/>
    <n v="21"/>
    <x v="0"/>
    <n v="0"/>
    <n v="14"/>
    <n v="4"/>
    <n v="3"/>
    <x v="8"/>
    <n v="6"/>
    <x v="0"/>
    <s v="Good"/>
    <x v="1"/>
    <x v="0"/>
    <x v="1"/>
    <x v="1"/>
    <x v="0"/>
  </r>
  <r>
    <x v="0"/>
    <s v="No"/>
    <x v="1"/>
    <n v="1"/>
    <s v="Female"/>
    <x v="2"/>
    <x v="4"/>
    <x v="2"/>
    <n v="4014"/>
    <n v="25"/>
    <x v="0"/>
    <n v="1"/>
    <n v="10"/>
    <n v="2"/>
    <n v="1"/>
    <x v="9"/>
    <n v="6"/>
    <x v="0"/>
    <s v="Bad"/>
    <x v="1"/>
    <x v="0"/>
    <x v="1"/>
    <x v="1"/>
    <x v="0"/>
  </r>
  <r>
    <x v="0"/>
    <s v="No"/>
    <x v="0"/>
    <n v="1"/>
    <s v="Male"/>
    <x v="0"/>
    <x v="5"/>
    <x v="2"/>
    <n v="10368"/>
    <n v="12"/>
    <x v="1"/>
    <n v="1"/>
    <n v="13"/>
    <n v="5"/>
    <n v="2"/>
    <x v="9"/>
    <n v="6"/>
    <x v="0"/>
    <s v="Bad"/>
    <x v="1"/>
    <x v="0"/>
    <x v="1"/>
    <x v="1"/>
    <x v="1"/>
  </r>
  <r>
    <x v="0"/>
    <s v="No"/>
    <x v="1"/>
    <n v="1"/>
    <s v="Female"/>
    <x v="1"/>
    <x v="1"/>
    <x v="0"/>
    <n v="3376"/>
    <n v="13"/>
    <x v="1"/>
    <n v="0"/>
    <n v="10"/>
    <n v="3"/>
    <n v="3"/>
    <x v="9"/>
    <n v="6"/>
    <x v="0"/>
    <s v="Good"/>
    <x v="1"/>
    <x v="0"/>
    <x v="1"/>
    <x v="1"/>
    <x v="1"/>
  </r>
  <r>
    <x v="0"/>
    <s v="No"/>
    <x v="1"/>
    <n v="1"/>
    <s v="Male"/>
    <x v="0"/>
    <x v="6"/>
    <x v="3"/>
    <n v="8095"/>
    <n v="13"/>
    <x v="1"/>
    <n v="0"/>
    <n v="17"/>
    <n v="5"/>
    <n v="3"/>
    <x v="14"/>
    <n v="6"/>
    <x v="0"/>
    <s v="Good"/>
    <x v="1"/>
    <x v="0"/>
    <x v="1"/>
    <x v="1"/>
    <x v="1"/>
  </r>
  <r>
    <x v="0"/>
    <s v="No"/>
    <x v="1"/>
    <n v="1"/>
    <s v="Female"/>
    <x v="2"/>
    <x v="1"/>
    <x v="2"/>
    <n v="5055"/>
    <n v="16"/>
    <x v="1"/>
    <n v="0"/>
    <n v="10"/>
    <n v="0"/>
    <n v="2"/>
    <x v="6"/>
    <n v="7"/>
    <x v="0"/>
    <s v="Bad"/>
    <x v="1"/>
    <x v="0"/>
    <x v="1"/>
    <x v="1"/>
    <x v="1"/>
  </r>
  <r>
    <x v="0"/>
    <s v="No"/>
    <x v="1"/>
    <n v="1"/>
    <s v="Female"/>
    <x v="1"/>
    <x v="1"/>
    <x v="3"/>
    <n v="2279"/>
    <n v="16"/>
    <x v="1"/>
    <n v="0"/>
    <n v="7"/>
    <n v="2"/>
    <n v="2"/>
    <x v="6"/>
    <n v="7"/>
    <x v="0"/>
    <s v="Bad"/>
    <x v="1"/>
    <x v="0"/>
    <x v="1"/>
    <x v="1"/>
    <x v="1"/>
  </r>
  <r>
    <x v="0"/>
    <s v="No"/>
    <x v="0"/>
    <n v="1"/>
    <s v="Female"/>
    <x v="2"/>
    <x v="5"/>
    <x v="2"/>
    <n v="4936"/>
    <n v="11"/>
    <x v="1"/>
    <n v="1"/>
    <n v="18"/>
    <n v="2"/>
    <n v="2"/>
    <x v="6"/>
    <n v="7"/>
    <x v="0"/>
    <s v="Bad"/>
    <x v="1"/>
    <x v="0"/>
    <x v="1"/>
    <x v="1"/>
    <x v="1"/>
  </r>
  <r>
    <x v="0"/>
    <s v="Yes"/>
    <x v="1"/>
    <n v="1"/>
    <s v="Male"/>
    <x v="1"/>
    <x v="2"/>
    <x v="1"/>
    <n v="2119"/>
    <n v="11"/>
    <x v="1"/>
    <n v="0"/>
    <n v="7"/>
    <n v="4"/>
    <n v="2"/>
    <x v="6"/>
    <n v="7"/>
    <x v="0"/>
    <s v="Bad"/>
    <x v="1"/>
    <x v="0"/>
    <x v="1"/>
    <x v="1"/>
    <x v="1"/>
  </r>
  <r>
    <x v="0"/>
    <s v="No"/>
    <x v="0"/>
    <n v="1"/>
    <s v="Male"/>
    <x v="2"/>
    <x v="5"/>
    <x v="2"/>
    <n v="4682"/>
    <n v="14"/>
    <x v="1"/>
    <n v="0"/>
    <n v="9"/>
    <n v="6"/>
    <n v="2"/>
    <x v="6"/>
    <n v="7"/>
    <x v="0"/>
    <s v="Bad"/>
    <x v="1"/>
    <x v="0"/>
    <x v="1"/>
    <x v="1"/>
    <x v="1"/>
  </r>
  <r>
    <x v="0"/>
    <s v="No"/>
    <x v="0"/>
    <n v="1"/>
    <s v="Male"/>
    <x v="2"/>
    <x v="5"/>
    <x v="1"/>
    <n v="4294"/>
    <n v="12"/>
    <x v="1"/>
    <n v="0"/>
    <n v="7"/>
    <n v="2"/>
    <n v="3"/>
    <x v="6"/>
    <n v="7"/>
    <x v="0"/>
    <s v="Good"/>
    <x v="1"/>
    <x v="0"/>
    <x v="1"/>
    <x v="1"/>
    <x v="1"/>
  </r>
  <r>
    <x v="0"/>
    <s v="No"/>
    <x v="0"/>
    <n v="1"/>
    <s v="Female"/>
    <x v="2"/>
    <x v="5"/>
    <x v="0"/>
    <n v="9981"/>
    <n v="14"/>
    <x v="1"/>
    <n v="0"/>
    <n v="7"/>
    <n v="2"/>
    <n v="3"/>
    <x v="6"/>
    <n v="7"/>
    <x v="0"/>
    <s v="Good"/>
    <x v="1"/>
    <x v="0"/>
    <x v="1"/>
    <x v="1"/>
    <x v="1"/>
  </r>
  <r>
    <x v="0"/>
    <s v="No"/>
    <x v="0"/>
    <n v="1"/>
    <s v="Male"/>
    <x v="2"/>
    <x v="5"/>
    <x v="2"/>
    <n v="6834"/>
    <n v="12"/>
    <x v="1"/>
    <n v="1"/>
    <n v="7"/>
    <n v="2"/>
    <n v="3"/>
    <x v="6"/>
    <n v="7"/>
    <x v="0"/>
    <s v="Good"/>
    <x v="1"/>
    <x v="0"/>
    <x v="1"/>
    <x v="1"/>
    <x v="1"/>
  </r>
  <r>
    <x v="0"/>
    <s v="No"/>
    <x v="1"/>
    <n v="1"/>
    <s v="Male"/>
    <x v="1"/>
    <x v="2"/>
    <x v="1"/>
    <n v="3578"/>
    <n v="12"/>
    <x v="1"/>
    <n v="0"/>
    <n v="8"/>
    <n v="2"/>
    <n v="3"/>
    <x v="6"/>
    <n v="7"/>
    <x v="0"/>
    <s v="Good"/>
    <x v="1"/>
    <x v="0"/>
    <x v="1"/>
    <x v="1"/>
    <x v="1"/>
  </r>
  <r>
    <x v="0"/>
    <s v="No"/>
    <x v="0"/>
    <n v="1"/>
    <s v="Female"/>
    <x v="2"/>
    <x v="5"/>
    <x v="2"/>
    <n v="4028"/>
    <n v="20"/>
    <x v="0"/>
    <n v="0"/>
    <n v="8"/>
    <n v="2"/>
    <n v="3"/>
    <x v="6"/>
    <n v="7"/>
    <x v="0"/>
    <s v="Good"/>
    <x v="1"/>
    <x v="0"/>
    <x v="1"/>
    <x v="1"/>
    <x v="0"/>
  </r>
  <r>
    <x v="0"/>
    <s v="No"/>
    <x v="1"/>
    <n v="1"/>
    <s v="Male"/>
    <x v="0"/>
    <x v="4"/>
    <x v="1"/>
    <n v="10851"/>
    <n v="18"/>
    <x v="1"/>
    <n v="1"/>
    <n v="24"/>
    <n v="2"/>
    <n v="3"/>
    <x v="6"/>
    <n v="7"/>
    <x v="0"/>
    <s v="Good"/>
    <x v="1"/>
    <x v="0"/>
    <x v="1"/>
    <x v="1"/>
    <x v="1"/>
  </r>
  <r>
    <x v="0"/>
    <s v="No"/>
    <x v="1"/>
    <n v="1"/>
    <s v="Male"/>
    <x v="1"/>
    <x v="2"/>
    <x v="1"/>
    <n v="4066"/>
    <n v="11"/>
    <x v="1"/>
    <n v="2"/>
    <n v="7"/>
    <n v="3"/>
    <n v="3"/>
    <x v="6"/>
    <n v="7"/>
    <x v="0"/>
    <s v="Good"/>
    <x v="1"/>
    <x v="0"/>
    <x v="1"/>
    <x v="1"/>
    <x v="1"/>
  </r>
  <r>
    <x v="0"/>
    <s v="No"/>
    <x v="1"/>
    <n v="1"/>
    <s v="Female"/>
    <x v="0"/>
    <x v="6"/>
    <x v="0"/>
    <n v="9667"/>
    <n v="14"/>
    <x v="1"/>
    <n v="0"/>
    <n v="9"/>
    <n v="3"/>
    <n v="3"/>
    <x v="6"/>
    <n v="7"/>
    <x v="0"/>
    <s v="Good"/>
    <x v="1"/>
    <x v="0"/>
    <x v="1"/>
    <x v="1"/>
    <x v="1"/>
  </r>
  <r>
    <x v="0"/>
    <s v="No"/>
    <x v="1"/>
    <n v="1"/>
    <s v="Female"/>
    <x v="2"/>
    <x v="4"/>
    <x v="1"/>
    <n v="9715"/>
    <n v="13"/>
    <x v="1"/>
    <n v="1"/>
    <n v="9"/>
    <n v="3"/>
    <n v="3"/>
    <x v="6"/>
    <n v="7"/>
    <x v="0"/>
    <s v="Good"/>
    <x v="1"/>
    <x v="0"/>
    <x v="1"/>
    <x v="1"/>
    <x v="1"/>
  </r>
  <r>
    <x v="0"/>
    <s v="No"/>
    <x v="1"/>
    <n v="1"/>
    <s v="Male"/>
    <x v="1"/>
    <x v="1"/>
    <x v="3"/>
    <n v="2718"/>
    <n v="14"/>
    <x v="1"/>
    <n v="0"/>
    <n v="12"/>
    <n v="3"/>
    <n v="3"/>
    <x v="6"/>
    <n v="7"/>
    <x v="0"/>
    <s v="Good"/>
    <x v="1"/>
    <x v="0"/>
    <x v="1"/>
    <x v="1"/>
    <x v="1"/>
  </r>
  <r>
    <x v="0"/>
    <s v="No"/>
    <x v="0"/>
    <n v="1"/>
    <s v="Male"/>
    <x v="2"/>
    <x v="5"/>
    <x v="2"/>
    <n v="5079"/>
    <n v="13"/>
    <x v="1"/>
    <n v="2"/>
    <n v="12"/>
    <n v="3"/>
    <n v="3"/>
    <x v="6"/>
    <n v="7"/>
    <x v="0"/>
    <s v="Good"/>
    <x v="1"/>
    <x v="0"/>
    <x v="1"/>
    <x v="1"/>
    <x v="1"/>
  </r>
  <r>
    <x v="0"/>
    <s v="No"/>
    <x v="1"/>
    <n v="1"/>
    <s v="Male"/>
    <x v="2"/>
    <x v="6"/>
    <x v="0"/>
    <n v="6883"/>
    <n v="16"/>
    <x v="1"/>
    <n v="1"/>
    <n v="17"/>
    <n v="3"/>
    <n v="3"/>
    <x v="6"/>
    <n v="7"/>
    <x v="0"/>
    <s v="Good"/>
    <x v="1"/>
    <x v="0"/>
    <x v="1"/>
    <x v="1"/>
    <x v="1"/>
  </r>
  <r>
    <x v="0"/>
    <s v="No"/>
    <x v="0"/>
    <n v="1"/>
    <s v="Male"/>
    <x v="2"/>
    <x v="5"/>
    <x v="2"/>
    <n v="4105"/>
    <n v="14"/>
    <x v="1"/>
    <n v="0"/>
    <n v="7"/>
    <n v="5"/>
    <n v="3"/>
    <x v="6"/>
    <n v="7"/>
    <x v="0"/>
    <s v="Good"/>
    <x v="1"/>
    <x v="0"/>
    <x v="1"/>
    <x v="1"/>
    <x v="1"/>
  </r>
  <r>
    <x v="0"/>
    <s v="No"/>
    <x v="1"/>
    <n v="1"/>
    <s v="Male"/>
    <x v="2"/>
    <x v="6"/>
    <x v="0"/>
    <n v="5206"/>
    <n v="17"/>
    <x v="1"/>
    <n v="2"/>
    <n v="7"/>
    <n v="6"/>
    <n v="3"/>
    <x v="6"/>
    <n v="7"/>
    <x v="0"/>
    <s v="Good"/>
    <x v="1"/>
    <x v="0"/>
    <x v="1"/>
    <x v="1"/>
    <x v="1"/>
  </r>
  <r>
    <x v="0"/>
    <s v="No"/>
    <x v="0"/>
    <n v="1"/>
    <s v="Male"/>
    <x v="2"/>
    <x v="5"/>
    <x v="3"/>
    <n v="6146"/>
    <n v="13"/>
    <x v="1"/>
    <n v="1"/>
    <n v="8"/>
    <n v="2"/>
    <n v="4"/>
    <x v="6"/>
    <n v="7"/>
    <x v="0"/>
    <s v="Good"/>
    <x v="1"/>
    <x v="0"/>
    <x v="1"/>
    <x v="1"/>
    <x v="1"/>
  </r>
  <r>
    <x v="0"/>
    <s v="No"/>
    <x v="1"/>
    <n v="1"/>
    <s v="Male"/>
    <x v="4"/>
    <x v="7"/>
    <x v="2"/>
    <n v="14732"/>
    <n v="13"/>
    <x v="1"/>
    <n v="2"/>
    <n v="31"/>
    <n v="4"/>
    <n v="4"/>
    <x v="6"/>
    <n v="7"/>
    <x v="0"/>
    <s v="Good"/>
    <x v="1"/>
    <x v="0"/>
    <x v="1"/>
    <x v="1"/>
    <x v="1"/>
  </r>
  <r>
    <x v="0"/>
    <s v="No"/>
    <x v="0"/>
    <n v="1"/>
    <s v="Female"/>
    <x v="2"/>
    <x v="5"/>
    <x v="0"/>
    <n v="6500"/>
    <n v="14"/>
    <x v="1"/>
    <n v="0"/>
    <n v="9"/>
    <n v="5"/>
    <n v="2"/>
    <x v="7"/>
    <n v="7"/>
    <x v="0"/>
    <s v="Bad"/>
    <x v="1"/>
    <x v="0"/>
    <x v="1"/>
    <x v="1"/>
    <x v="1"/>
  </r>
  <r>
    <x v="0"/>
    <s v="No"/>
    <x v="1"/>
    <n v="1"/>
    <s v="Female"/>
    <x v="0"/>
    <x v="6"/>
    <x v="1"/>
    <n v="10820"/>
    <n v="11"/>
    <x v="1"/>
    <n v="1"/>
    <n v="18"/>
    <n v="1"/>
    <n v="3"/>
    <x v="7"/>
    <n v="7"/>
    <x v="0"/>
    <s v="Good"/>
    <x v="1"/>
    <x v="0"/>
    <x v="1"/>
    <x v="1"/>
    <x v="1"/>
  </r>
  <r>
    <x v="0"/>
    <s v="No"/>
    <x v="1"/>
    <n v="1"/>
    <s v="Male"/>
    <x v="1"/>
    <x v="2"/>
    <x v="2"/>
    <n v="4420"/>
    <n v="22"/>
    <x v="0"/>
    <n v="1"/>
    <n v="8"/>
    <n v="2"/>
    <n v="3"/>
    <x v="7"/>
    <n v="7"/>
    <x v="0"/>
    <s v="Good"/>
    <x v="1"/>
    <x v="0"/>
    <x v="1"/>
    <x v="1"/>
    <x v="0"/>
  </r>
  <r>
    <x v="0"/>
    <s v="No"/>
    <x v="1"/>
    <n v="1"/>
    <s v="Male"/>
    <x v="0"/>
    <x v="4"/>
    <x v="0"/>
    <n v="7632"/>
    <n v="12"/>
    <x v="1"/>
    <n v="0"/>
    <n v="10"/>
    <n v="2"/>
    <n v="3"/>
    <x v="7"/>
    <n v="7"/>
    <x v="0"/>
    <s v="Good"/>
    <x v="1"/>
    <x v="0"/>
    <x v="1"/>
    <x v="1"/>
    <x v="1"/>
  </r>
  <r>
    <x v="0"/>
    <s v="No"/>
    <x v="1"/>
    <n v="1"/>
    <s v="Female"/>
    <x v="2"/>
    <x v="1"/>
    <x v="0"/>
    <n v="4998"/>
    <n v="14"/>
    <x v="1"/>
    <n v="0"/>
    <n v="10"/>
    <n v="2"/>
    <n v="3"/>
    <x v="7"/>
    <n v="7"/>
    <x v="0"/>
    <s v="Good"/>
    <x v="1"/>
    <x v="0"/>
    <x v="1"/>
    <x v="1"/>
    <x v="1"/>
  </r>
  <r>
    <x v="0"/>
    <s v="No"/>
    <x v="1"/>
    <n v="1"/>
    <s v="Female"/>
    <x v="0"/>
    <x v="7"/>
    <x v="1"/>
    <n v="11713"/>
    <n v="14"/>
    <x v="1"/>
    <n v="1"/>
    <n v="10"/>
    <n v="2"/>
    <n v="3"/>
    <x v="7"/>
    <n v="7"/>
    <x v="0"/>
    <s v="Good"/>
    <x v="1"/>
    <x v="0"/>
    <x v="1"/>
    <x v="1"/>
    <x v="1"/>
  </r>
  <r>
    <x v="0"/>
    <s v="Yes"/>
    <x v="0"/>
    <n v="1"/>
    <s v="Female"/>
    <x v="0"/>
    <x v="5"/>
    <x v="3"/>
    <n v="7314"/>
    <n v="21"/>
    <x v="0"/>
    <n v="3"/>
    <n v="14"/>
    <n v="2"/>
    <n v="3"/>
    <x v="7"/>
    <n v="7"/>
    <x v="0"/>
    <s v="Good"/>
    <x v="1"/>
    <x v="0"/>
    <x v="1"/>
    <x v="1"/>
    <x v="0"/>
  </r>
  <r>
    <x v="0"/>
    <s v="No"/>
    <x v="1"/>
    <n v="1"/>
    <s v="Male"/>
    <x v="4"/>
    <x v="0"/>
    <x v="0"/>
    <n v="15379"/>
    <n v="14"/>
    <x v="1"/>
    <n v="0"/>
    <n v="23"/>
    <n v="2"/>
    <n v="3"/>
    <x v="7"/>
    <n v="7"/>
    <x v="0"/>
    <s v="Good"/>
    <x v="1"/>
    <x v="0"/>
    <x v="1"/>
    <x v="1"/>
    <x v="1"/>
  </r>
  <r>
    <x v="0"/>
    <s v="No"/>
    <x v="1"/>
    <n v="1"/>
    <s v="Male"/>
    <x v="3"/>
    <x v="7"/>
    <x v="2"/>
    <n v="19740"/>
    <n v="14"/>
    <x v="1"/>
    <n v="1"/>
    <n v="25"/>
    <n v="2"/>
    <n v="3"/>
    <x v="7"/>
    <n v="7"/>
    <x v="0"/>
    <s v="Good"/>
    <x v="1"/>
    <x v="0"/>
    <x v="1"/>
    <x v="1"/>
    <x v="1"/>
  </r>
  <r>
    <x v="0"/>
    <s v="No"/>
    <x v="0"/>
    <n v="1"/>
    <s v="Female"/>
    <x v="2"/>
    <x v="5"/>
    <x v="3"/>
    <n v="6214"/>
    <n v="18"/>
    <x v="1"/>
    <n v="1"/>
    <n v="8"/>
    <n v="3"/>
    <n v="3"/>
    <x v="7"/>
    <n v="7"/>
    <x v="0"/>
    <s v="Good"/>
    <x v="1"/>
    <x v="0"/>
    <x v="1"/>
    <x v="1"/>
    <x v="1"/>
  </r>
  <r>
    <x v="0"/>
    <s v="No"/>
    <x v="0"/>
    <n v="1"/>
    <s v="Male"/>
    <x v="0"/>
    <x v="5"/>
    <x v="0"/>
    <n v="7880"/>
    <n v="18"/>
    <x v="1"/>
    <n v="0"/>
    <n v="9"/>
    <n v="3"/>
    <n v="3"/>
    <x v="7"/>
    <n v="7"/>
    <x v="0"/>
    <s v="Good"/>
    <x v="1"/>
    <x v="0"/>
    <x v="1"/>
    <x v="1"/>
    <x v="1"/>
  </r>
  <r>
    <x v="0"/>
    <s v="No"/>
    <x v="1"/>
    <n v="1"/>
    <s v="Female"/>
    <x v="2"/>
    <x v="4"/>
    <x v="0"/>
    <n v="6811"/>
    <n v="17"/>
    <x v="1"/>
    <n v="0"/>
    <n v="10"/>
    <n v="3"/>
    <n v="3"/>
    <x v="7"/>
    <n v="7"/>
    <x v="0"/>
    <s v="Good"/>
    <x v="1"/>
    <x v="0"/>
    <x v="1"/>
    <x v="1"/>
    <x v="1"/>
  </r>
  <r>
    <x v="0"/>
    <s v="No"/>
    <x v="1"/>
    <n v="1"/>
    <s v="Male"/>
    <x v="0"/>
    <x v="6"/>
    <x v="0"/>
    <n v="10845"/>
    <n v="13"/>
    <x v="1"/>
    <n v="1"/>
    <n v="13"/>
    <n v="3"/>
    <n v="3"/>
    <x v="7"/>
    <n v="7"/>
    <x v="0"/>
    <s v="Good"/>
    <x v="1"/>
    <x v="0"/>
    <x v="1"/>
    <x v="1"/>
    <x v="1"/>
  </r>
  <r>
    <x v="0"/>
    <s v="No"/>
    <x v="1"/>
    <n v="1"/>
    <s v="Male"/>
    <x v="0"/>
    <x v="4"/>
    <x v="3"/>
    <n v="10466"/>
    <n v="14"/>
    <x v="1"/>
    <n v="2"/>
    <n v="29"/>
    <n v="3"/>
    <n v="3"/>
    <x v="7"/>
    <n v="7"/>
    <x v="0"/>
    <s v="Good"/>
    <x v="1"/>
    <x v="0"/>
    <x v="1"/>
    <x v="1"/>
    <x v="1"/>
  </r>
  <r>
    <x v="0"/>
    <s v="No"/>
    <x v="0"/>
    <n v="1"/>
    <s v="Male"/>
    <x v="2"/>
    <x v="5"/>
    <x v="2"/>
    <n v="4668"/>
    <n v="17"/>
    <x v="1"/>
    <n v="3"/>
    <n v="9"/>
    <n v="2"/>
    <n v="4"/>
    <x v="7"/>
    <n v="7"/>
    <x v="0"/>
    <s v="Good"/>
    <x v="1"/>
    <x v="0"/>
    <x v="1"/>
    <x v="1"/>
    <x v="1"/>
  </r>
  <r>
    <x v="0"/>
    <s v="No"/>
    <x v="1"/>
    <n v="1"/>
    <s v="Male"/>
    <x v="2"/>
    <x v="2"/>
    <x v="0"/>
    <n v="3975"/>
    <n v="11"/>
    <x v="1"/>
    <n v="2"/>
    <n v="11"/>
    <n v="2"/>
    <n v="4"/>
    <x v="7"/>
    <n v="7"/>
    <x v="0"/>
    <s v="Good"/>
    <x v="1"/>
    <x v="0"/>
    <x v="1"/>
    <x v="1"/>
    <x v="1"/>
  </r>
  <r>
    <x v="0"/>
    <s v="Yes"/>
    <x v="1"/>
    <n v="1"/>
    <s v="Male"/>
    <x v="1"/>
    <x v="1"/>
    <x v="1"/>
    <n v="2362"/>
    <n v="13"/>
    <x v="1"/>
    <n v="0"/>
    <n v="11"/>
    <n v="2"/>
    <n v="1"/>
    <x v="8"/>
    <n v="7"/>
    <x v="0"/>
    <s v="Bad"/>
    <x v="1"/>
    <x v="0"/>
    <x v="1"/>
    <x v="1"/>
    <x v="1"/>
  </r>
  <r>
    <x v="0"/>
    <s v="No"/>
    <x v="1"/>
    <n v="1"/>
    <s v="Male"/>
    <x v="2"/>
    <x v="2"/>
    <x v="3"/>
    <n v="4447"/>
    <n v="12"/>
    <x v="1"/>
    <n v="0"/>
    <n v="9"/>
    <n v="5"/>
    <n v="2"/>
    <x v="8"/>
    <n v="7"/>
    <x v="0"/>
    <s v="Bad"/>
    <x v="1"/>
    <x v="0"/>
    <x v="1"/>
    <x v="1"/>
    <x v="1"/>
  </r>
  <r>
    <x v="0"/>
    <s v="No"/>
    <x v="1"/>
    <n v="1"/>
    <s v="Female"/>
    <x v="2"/>
    <x v="2"/>
    <x v="2"/>
    <n v="5363"/>
    <n v="12"/>
    <x v="1"/>
    <n v="1"/>
    <n v="10"/>
    <n v="0"/>
    <n v="3"/>
    <x v="8"/>
    <n v="7"/>
    <x v="0"/>
    <s v="Good"/>
    <x v="1"/>
    <x v="0"/>
    <x v="1"/>
    <x v="1"/>
    <x v="1"/>
  </r>
  <r>
    <x v="0"/>
    <s v="No"/>
    <x v="1"/>
    <n v="1"/>
    <s v="Female"/>
    <x v="1"/>
    <x v="1"/>
    <x v="1"/>
    <n v="4968"/>
    <n v="16"/>
    <x v="1"/>
    <n v="0"/>
    <n v="10"/>
    <n v="2"/>
    <n v="3"/>
    <x v="8"/>
    <n v="7"/>
    <x v="0"/>
    <s v="Good"/>
    <x v="1"/>
    <x v="0"/>
    <x v="1"/>
    <x v="1"/>
    <x v="1"/>
  </r>
  <r>
    <x v="0"/>
    <s v="No"/>
    <x v="1"/>
    <n v="1"/>
    <s v="Female"/>
    <x v="2"/>
    <x v="6"/>
    <x v="3"/>
    <n v="5228"/>
    <n v="15"/>
    <x v="1"/>
    <n v="1"/>
    <n v="10"/>
    <n v="2"/>
    <n v="3"/>
    <x v="8"/>
    <n v="7"/>
    <x v="0"/>
    <s v="Good"/>
    <x v="1"/>
    <x v="0"/>
    <x v="1"/>
    <x v="1"/>
    <x v="1"/>
  </r>
  <r>
    <x v="0"/>
    <s v="No"/>
    <x v="0"/>
    <n v="1"/>
    <s v="Male"/>
    <x v="0"/>
    <x v="5"/>
    <x v="0"/>
    <n v="8189"/>
    <n v="13"/>
    <x v="1"/>
    <n v="1"/>
    <n v="12"/>
    <n v="2"/>
    <n v="3"/>
    <x v="8"/>
    <n v="7"/>
    <x v="0"/>
    <s v="Good"/>
    <x v="1"/>
    <x v="0"/>
    <x v="1"/>
    <x v="1"/>
    <x v="1"/>
  </r>
  <r>
    <x v="0"/>
    <s v="No"/>
    <x v="1"/>
    <n v="1"/>
    <s v="Female"/>
    <x v="0"/>
    <x v="6"/>
    <x v="1"/>
    <n v="7412"/>
    <n v="11"/>
    <x v="1"/>
    <n v="0"/>
    <n v="9"/>
    <n v="3"/>
    <n v="3"/>
    <x v="8"/>
    <n v="7"/>
    <x v="0"/>
    <s v="Good"/>
    <x v="1"/>
    <x v="0"/>
    <x v="1"/>
    <x v="1"/>
    <x v="1"/>
  </r>
  <r>
    <x v="0"/>
    <s v="Yes"/>
    <x v="1"/>
    <n v="1"/>
    <s v="Male"/>
    <x v="2"/>
    <x v="2"/>
    <x v="0"/>
    <n v="6074"/>
    <n v="24"/>
    <x v="0"/>
    <n v="0"/>
    <n v="9"/>
    <n v="3"/>
    <n v="3"/>
    <x v="8"/>
    <n v="7"/>
    <x v="0"/>
    <s v="Good"/>
    <x v="1"/>
    <x v="0"/>
    <x v="1"/>
    <x v="1"/>
    <x v="0"/>
  </r>
  <r>
    <x v="0"/>
    <s v="No"/>
    <x v="1"/>
    <n v="1"/>
    <s v="Female"/>
    <x v="2"/>
    <x v="2"/>
    <x v="0"/>
    <n v="5257"/>
    <n v="11"/>
    <x v="1"/>
    <n v="1"/>
    <n v="9"/>
    <n v="3"/>
    <n v="4"/>
    <x v="8"/>
    <n v="7"/>
    <x v="0"/>
    <s v="Good"/>
    <x v="1"/>
    <x v="0"/>
    <x v="1"/>
    <x v="1"/>
    <x v="1"/>
  </r>
  <r>
    <x v="0"/>
    <s v="No"/>
    <x v="0"/>
    <n v="1"/>
    <s v="Male"/>
    <x v="2"/>
    <x v="5"/>
    <x v="2"/>
    <n v="5396"/>
    <n v="12"/>
    <x v="1"/>
    <n v="0"/>
    <n v="10"/>
    <n v="2"/>
    <n v="2"/>
    <x v="9"/>
    <n v="7"/>
    <x v="0"/>
    <s v="Bad"/>
    <x v="1"/>
    <x v="0"/>
    <x v="1"/>
    <x v="1"/>
    <x v="1"/>
  </r>
  <r>
    <x v="0"/>
    <s v="No"/>
    <x v="1"/>
    <n v="1"/>
    <s v="Male"/>
    <x v="1"/>
    <x v="1"/>
    <x v="0"/>
    <n v="2613"/>
    <n v="25"/>
    <x v="0"/>
    <n v="3"/>
    <n v="10"/>
    <n v="2"/>
    <n v="2"/>
    <x v="9"/>
    <n v="7"/>
    <x v="0"/>
    <s v="Bad"/>
    <x v="1"/>
    <x v="0"/>
    <x v="1"/>
    <x v="1"/>
    <x v="0"/>
  </r>
  <r>
    <x v="0"/>
    <s v="No"/>
    <x v="0"/>
    <n v="1"/>
    <s v="Male"/>
    <x v="2"/>
    <x v="5"/>
    <x v="2"/>
    <n v="4554"/>
    <n v="18"/>
    <x v="1"/>
    <n v="0"/>
    <n v="10"/>
    <n v="3"/>
    <n v="2"/>
    <x v="9"/>
    <n v="7"/>
    <x v="0"/>
    <s v="Bad"/>
    <x v="1"/>
    <x v="0"/>
    <x v="1"/>
    <x v="1"/>
    <x v="1"/>
  </r>
  <r>
    <x v="0"/>
    <s v="No"/>
    <x v="0"/>
    <n v="1"/>
    <s v="Female"/>
    <x v="2"/>
    <x v="5"/>
    <x v="0"/>
    <n v="4539"/>
    <n v="12"/>
    <x v="1"/>
    <n v="1"/>
    <n v="10"/>
    <n v="3"/>
    <n v="2"/>
    <x v="9"/>
    <n v="7"/>
    <x v="0"/>
    <s v="Bad"/>
    <x v="1"/>
    <x v="0"/>
    <x v="1"/>
    <x v="1"/>
    <x v="1"/>
  </r>
  <r>
    <x v="0"/>
    <s v="No"/>
    <x v="1"/>
    <n v="1"/>
    <s v="Female"/>
    <x v="2"/>
    <x v="6"/>
    <x v="0"/>
    <n v="4810"/>
    <n v="14"/>
    <x v="1"/>
    <n v="1"/>
    <n v="19"/>
    <n v="5"/>
    <n v="2"/>
    <x v="9"/>
    <n v="7"/>
    <x v="0"/>
    <s v="Bad"/>
    <x v="1"/>
    <x v="0"/>
    <x v="1"/>
    <x v="1"/>
    <x v="1"/>
  </r>
  <r>
    <x v="0"/>
    <s v="No"/>
    <x v="0"/>
    <n v="1"/>
    <s v="Male"/>
    <x v="0"/>
    <x v="5"/>
    <x v="1"/>
    <n v="7587"/>
    <n v="15"/>
    <x v="1"/>
    <n v="0"/>
    <n v="10"/>
    <n v="1"/>
    <n v="3"/>
    <x v="9"/>
    <n v="7"/>
    <x v="0"/>
    <s v="Good"/>
    <x v="1"/>
    <x v="0"/>
    <x v="1"/>
    <x v="1"/>
    <x v="1"/>
  </r>
  <r>
    <x v="0"/>
    <s v="No"/>
    <x v="1"/>
    <n v="1"/>
    <s v="Male"/>
    <x v="2"/>
    <x v="6"/>
    <x v="0"/>
    <n v="4319"/>
    <n v="13"/>
    <x v="1"/>
    <n v="1"/>
    <n v="10"/>
    <n v="1"/>
    <n v="3"/>
    <x v="9"/>
    <n v="7"/>
    <x v="0"/>
    <s v="Good"/>
    <x v="1"/>
    <x v="0"/>
    <x v="1"/>
    <x v="1"/>
    <x v="1"/>
  </r>
  <r>
    <x v="0"/>
    <s v="Yes"/>
    <x v="1"/>
    <n v="1"/>
    <s v="Female"/>
    <x v="0"/>
    <x v="4"/>
    <x v="2"/>
    <n v="7978"/>
    <n v="11"/>
    <x v="1"/>
    <n v="1"/>
    <n v="10"/>
    <n v="2"/>
    <n v="3"/>
    <x v="9"/>
    <n v="7"/>
    <x v="0"/>
    <s v="Good"/>
    <x v="1"/>
    <x v="0"/>
    <x v="1"/>
    <x v="1"/>
    <x v="1"/>
  </r>
  <r>
    <x v="0"/>
    <s v="No"/>
    <x v="0"/>
    <n v="1"/>
    <s v="Male"/>
    <x v="0"/>
    <x v="5"/>
    <x v="1"/>
    <n v="8392"/>
    <n v="16"/>
    <x v="1"/>
    <n v="1"/>
    <n v="10"/>
    <n v="2"/>
    <n v="3"/>
    <x v="9"/>
    <n v="7"/>
    <x v="0"/>
    <s v="Good"/>
    <x v="1"/>
    <x v="0"/>
    <x v="1"/>
    <x v="1"/>
    <x v="1"/>
  </r>
  <r>
    <x v="0"/>
    <s v="No"/>
    <x v="1"/>
    <n v="1"/>
    <s v="Female"/>
    <x v="0"/>
    <x v="6"/>
    <x v="0"/>
    <n v="10739"/>
    <n v="11"/>
    <x v="1"/>
    <n v="1"/>
    <n v="22"/>
    <n v="2"/>
    <n v="3"/>
    <x v="9"/>
    <n v="7"/>
    <x v="0"/>
    <s v="Good"/>
    <x v="1"/>
    <x v="0"/>
    <x v="1"/>
    <x v="1"/>
    <x v="1"/>
  </r>
  <r>
    <x v="0"/>
    <s v="No"/>
    <x v="1"/>
    <n v="1"/>
    <s v="Male"/>
    <x v="1"/>
    <x v="1"/>
    <x v="0"/>
    <n v="2700"/>
    <n v="24"/>
    <x v="0"/>
    <n v="1"/>
    <n v="10"/>
    <n v="3"/>
    <n v="3"/>
    <x v="9"/>
    <n v="7"/>
    <x v="0"/>
    <s v="Good"/>
    <x v="1"/>
    <x v="0"/>
    <x v="1"/>
    <x v="1"/>
    <x v="0"/>
  </r>
  <r>
    <x v="0"/>
    <s v="No"/>
    <x v="0"/>
    <n v="1"/>
    <s v="Male"/>
    <x v="2"/>
    <x v="5"/>
    <x v="0"/>
    <n v="8620"/>
    <n v="14"/>
    <x v="1"/>
    <n v="2"/>
    <n v="10"/>
    <n v="3"/>
    <n v="3"/>
    <x v="9"/>
    <n v="7"/>
    <x v="0"/>
    <s v="Good"/>
    <x v="1"/>
    <x v="0"/>
    <x v="1"/>
    <x v="1"/>
    <x v="1"/>
  </r>
  <r>
    <x v="0"/>
    <s v="No"/>
    <x v="2"/>
    <n v="1"/>
    <s v="Male"/>
    <x v="2"/>
    <x v="8"/>
    <x v="2"/>
    <n v="5743"/>
    <n v="11"/>
    <x v="1"/>
    <n v="0"/>
    <n v="14"/>
    <n v="3"/>
    <n v="3"/>
    <x v="9"/>
    <n v="7"/>
    <x v="0"/>
    <s v="Good"/>
    <x v="1"/>
    <x v="0"/>
    <x v="1"/>
    <x v="1"/>
    <x v="1"/>
  </r>
  <r>
    <x v="0"/>
    <s v="No"/>
    <x v="1"/>
    <n v="1"/>
    <s v="Male"/>
    <x v="2"/>
    <x v="4"/>
    <x v="3"/>
    <n v="5562"/>
    <n v="14"/>
    <x v="1"/>
    <n v="0"/>
    <n v="19"/>
    <n v="3"/>
    <n v="3"/>
    <x v="9"/>
    <n v="7"/>
    <x v="0"/>
    <s v="Good"/>
    <x v="1"/>
    <x v="0"/>
    <x v="1"/>
    <x v="1"/>
    <x v="1"/>
  </r>
  <r>
    <x v="0"/>
    <s v="Yes"/>
    <x v="0"/>
    <n v="1"/>
    <s v="Male"/>
    <x v="2"/>
    <x v="5"/>
    <x v="2"/>
    <n v="5617"/>
    <n v="11"/>
    <x v="1"/>
    <n v="0"/>
    <n v="10"/>
    <n v="4"/>
    <n v="3"/>
    <x v="9"/>
    <n v="7"/>
    <x v="0"/>
    <s v="Good"/>
    <x v="1"/>
    <x v="0"/>
    <x v="1"/>
    <x v="1"/>
    <x v="1"/>
  </r>
  <r>
    <x v="0"/>
    <s v="No"/>
    <x v="1"/>
    <n v="1"/>
    <s v="Male"/>
    <x v="2"/>
    <x v="2"/>
    <x v="2"/>
    <n v="5415"/>
    <n v="19"/>
    <x v="1"/>
    <n v="1"/>
    <n v="12"/>
    <n v="4"/>
    <n v="3"/>
    <x v="9"/>
    <n v="7"/>
    <x v="0"/>
    <s v="Good"/>
    <x v="1"/>
    <x v="0"/>
    <x v="1"/>
    <x v="1"/>
    <x v="1"/>
  </r>
  <r>
    <x v="0"/>
    <s v="No"/>
    <x v="1"/>
    <n v="1"/>
    <s v="Male"/>
    <x v="2"/>
    <x v="1"/>
    <x v="0"/>
    <n v="5098"/>
    <n v="19"/>
    <x v="1"/>
    <n v="0"/>
    <n v="10"/>
    <n v="5"/>
    <n v="3"/>
    <x v="9"/>
    <n v="7"/>
    <x v="0"/>
    <s v="Good"/>
    <x v="1"/>
    <x v="0"/>
    <x v="1"/>
    <x v="1"/>
    <x v="1"/>
  </r>
  <r>
    <x v="0"/>
    <s v="No"/>
    <x v="0"/>
    <n v="1"/>
    <s v="Female"/>
    <x v="0"/>
    <x v="5"/>
    <x v="0"/>
    <n v="8789"/>
    <n v="14"/>
    <x v="1"/>
    <n v="0"/>
    <n v="10"/>
    <n v="3"/>
    <n v="4"/>
    <x v="9"/>
    <n v="7"/>
    <x v="0"/>
    <s v="Good"/>
    <x v="1"/>
    <x v="0"/>
    <x v="1"/>
    <x v="1"/>
    <x v="1"/>
  </r>
  <r>
    <x v="0"/>
    <s v="No"/>
    <x v="0"/>
    <n v="1"/>
    <s v="Male"/>
    <x v="2"/>
    <x v="5"/>
    <x v="2"/>
    <n v="6209"/>
    <n v="15"/>
    <x v="1"/>
    <n v="2"/>
    <n v="10"/>
    <n v="4"/>
    <n v="4"/>
    <x v="9"/>
    <n v="7"/>
    <x v="0"/>
    <s v="Good"/>
    <x v="1"/>
    <x v="0"/>
    <x v="1"/>
    <x v="1"/>
    <x v="1"/>
  </r>
  <r>
    <x v="0"/>
    <s v="No"/>
    <x v="0"/>
    <n v="1"/>
    <s v="Female"/>
    <x v="2"/>
    <x v="5"/>
    <x v="0"/>
    <n v="6347"/>
    <n v="12"/>
    <x v="1"/>
    <n v="1"/>
    <n v="19"/>
    <n v="3"/>
    <n v="3"/>
    <x v="15"/>
    <n v="7"/>
    <x v="0"/>
    <s v="Good"/>
    <x v="1"/>
    <x v="0"/>
    <x v="1"/>
    <x v="1"/>
    <x v="1"/>
  </r>
  <r>
    <x v="0"/>
    <s v="No"/>
    <x v="1"/>
    <n v="1"/>
    <s v="Female"/>
    <x v="4"/>
    <x v="6"/>
    <x v="3"/>
    <n v="13570"/>
    <n v="23"/>
    <x v="0"/>
    <n v="1"/>
    <n v="21"/>
    <n v="3"/>
    <n v="3"/>
    <x v="16"/>
    <n v="7"/>
    <x v="0"/>
    <s v="Good"/>
    <x v="1"/>
    <x v="0"/>
    <x v="1"/>
    <x v="1"/>
    <x v="0"/>
  </r>
  <r>
    <x v="0"/>
    <s v="No"/>
    <x v="2"/>
    <n v="1"/>
    <s v="Female"/>
    <x v="4"/>
    <x v="0"/>
    <x v="1"/>
    <n v="16799"/>
    <n v="14"/>
    <x v="1"/>
    <n v="1"/>
    <n v="21"/>
    <n v="5"/>
    <n v="3"/>
    <x v="16"/>
    <n v="7"/>
    <x v="0"/>
    <s v="Good"/>
    <x v="1"/>
    <x v="0"/>
    <x v="1"/>
    <x v="1"/>
    <x v="1"/>
  </r>
  <r>
    <x v="0"/>
    <s v="No"/>
    <x v="0"/>
    <n v="1"/>
    <s v="Female"/>
    <x v="2"/>
    <x v="5"/>
    <x v="0"/>
    <n v="6932"/>
    <n v="13"/>
    <x v="1"/>
    <n v="1"/>
    <n v="9"/>
    <n v="2"/>
    <n v="2"/>
    <x v="8"/>
    <n v="8"/>
    <x v="0"/>
    <s v="Bad"/>
    <x v="1"/>
    <x v="0"/>
    <x v="1"/>
    <x v="1"/>
    <x v="1"/>
  </r>
  <r>
    <x v="0"/>
    <s v="No"/>
    <x v="0"/>
    <n v="1"/>
    <s v="Male"/>
    <x v="1"/>
    <x v="3"/>
    <x v="2"/>
    <n v="3482"/>
    <n v="15"/>
    <x v="1"/>
    <n v="2"/>
    <n v="16"/>
    <n v="3"/>
    <n v="2"/>
    <x v="8"/>
    <n v="8"/>
    <x v="0"/>
    <s v="Bad"/>
    <x v="1"/>
    <x v="0"/>
    <x v="1"/>
    <x v="1"/>
    <x v="1"/>
  </r>
  <r>
    <x v="0"/>
    <s v="No"/>
    <x v="1"/>
    <n v="1"/>
    <s v="Male"/>
    <x v="2"/>
    <x v="2"/>
    <x v="1"/>
    <n v="3633"/>
    <n v="15"/>
    <x v="1"/>
    <n v="1"/>
    <n v="9"/>
    <n v="2"/>
    <n v="3"/>
    <x v="8"/>
    <n v="8"/>
    <x v="0"/>
    <s v="Good"/>
    <x v="1"/>
    <x v="0"/>
    <x v="1"/>
    <x v="1"/>
    <x v="1"/>
  </r>
  <r>
    <x v="0"/>
    <s v="No"/>
    <x v="1"/>
    <n v="1"/>
    <s v="Male"/>
    <x v="0"/>
    <x v="7"/>
    <x v="2"/>
    <n v="12808"/>
    <n v="16"/>
    <x v="1"/>
    <n v="1"/>
    <n v="9"/>
    <n v="3"/>
    <n v="3"/>
    <x v="8"/>
    <n v="8"/>
    <x v="0"/>
    <s v="Good"/>
    <x v="1"/>
    <x v="0"/>
    <x v="1"/>
    <x v="1"/>
    <x v="1"/>
  </r>
  <r>
    <x v="0"/>
    <s v="No"/>
    <x v="0"/>
    <n v="1"/>
    <s v="Male"/>
    <x v="0"/>
    <x v="5"/>
    <x v="0"/>
    <n v="8380"/>
    <n v="14"/>
    <x v="1"/>
    <n v="2"/>
    <n v="10"/>
    <n v="3"/>
    <n v="3"/>
    <x v="8"/>
    <n v="8"/>
    <x v="0"/>
    <s v="Good"/>
    <x v="1"/>
    <x v="0"/>
    <x v="1"/>
    <x v="1"/>
    <x v="1"/>
  </r>
  <r>
    <x v="0"/>
    <s v="No"/>
    <x v="1"/>
    <n v="1"/>
    <s v="Female"/>
    <x v="2"/>
    <x v="2"/>
    <x v="3"/>
    <n v="5674"/>
    <n v="15"/>
    <x v="1"/>
    <n v="1"/>
    <n v="11"/>
    <n v="3"/>
    <n v="3"/>
    <x v="8"/>
    <n v="8"/>
    <x v="0"/>
    <s v="Good"/>
    <x v="1"/>
    <x v="0"/>
    <x v="1"/>
    <x v="1"/>
    <x v="1"/>
  </r>
  <r>
    <x v="0"/>
    <s v="No"/>
    <x v="1"/>
    <n v="1"/>
    <s v="Female"/>
    <x v="4"/>
    <x v="6"/>
    <x v="2"/>
    <n v="13826"/>
    <n v="22"/>
    <x v="0"/>
    <n v="0"/>
    <n v="31"/>
    <n v="3"/>
    <n v="3"/>
    <x v="8"/>
    <n v="8"/>
    <x v="0"/>
    <s v="Good"/>
    <x v="1"/>
    <x v="0"/>
    <x v="1"/>
    <x v="1"/>
    <x v="0"/>
  </r>
  <r>
    <x v="0"/>
    <s v="No"/>
    <x v="0"/>
    <n v="1"/>
    <s v="Male"/>
    <x v="2"/>
    <x v="5"/>
    <x v="1"/>
    <n v="4037"/>
    <n v="22"/>
    <x v="0"/>
    <n v="1"/>
    <n v="9"/>
    <n v="5"/>
    <n v="3"/>
    <x v="8"/>
    <n v="8"/>
    <x v="0"/>
    <s v="Good"/>
    <x v="1"/>
    <x v="0"/>
    <x v="1"/>
    <x v="1"/>
    <x v="0"/>
  </r>
  <r>
    <x v="0"/>
    <s v="No"/>
    <x v="1"/>
    <n v="1"/>
    <s v="Male"/>
    <x v="0"/>
    <x v="7"/>
    <x v="2"/>
    <n v="12185"/>
    <n v="14"/>
    <x v="1"/>
    <n v="3"/>
    <n v="10"/>
    <n v="1"/>
    <n v="3"/>
    <x v="9"/>
    <n v="8"/>
    <x v="0"/>
    <s v="Good"/>
    <x v="1"/>
    <x v="0"/>
    <x v="1"/>
    <x v="1"/>
    <x v="1"/>
  </r>
  <r>
    <x v="0"/>
    <s v="No"/>
    <x v="0"/>
    <n v="1"/>
    <s v="Female"/>
    <x v="2"/>
    <x v="5"/>
    <x v="2"/>
    <n v="5204"/>
    <n v="11"/>
    <x v="1"/>
    <n v="0"/>
    <n v="10"/>
    <n v="2"/>
    <n v="3"/>
    <x v="9"/>
    <n v="8"/>
    <x v="0"/>
    <s v="Good"/>
    <x v="1"/>
    <x v="0"/>
    <x v="1"/>
    <x v="1"/>
    <x v="1"/>
  </r>
  <r>
    <x v="0"/>
    <s v="No"/>
    <x v="1"/>
    <n v="1"/>
    <s v="Male"/>
    <x v="2"/>
    <x v="2"/>
    <x v="0"/>
    <n v="4197"/>
    <n v="11"/>
    <x v="1"/>
    <n v="1"/>
    <n v="10"/>
    <n v="2"/>
    <n v="3"/>
    <x v="9"/>
    <n v="8"/>
    <x v="0"/>
    <s v="Good"/>
    <x v="1"/>
    <x v="0"/>
    <x v="1"/>
    <x v="1"/>
    <x v="1"/>
  </r>
  <r>
    <x v="0"/>
    <s v="No"/>
    <x v="1"/>
    <n v="1"/>
    <s v="Female"/>
    <x v="0"/>
    <x v="7"/>
    <x v="3"/>
    <n v="12061"/>
    <n v="17"/>
    <x v="1"/>
    <n v="1"/>
    <n v="19"/>
    <n v="2"/>
    <n v="3"/>
    <x v="9"/>
    <n v="8"/>
    <x v="0"/>
    <s v="Good"/>
    <x v="1"/>
    <x v="0"/>
    <x v="1"/>
    <x v="1"/>
    <x v="1"/>
  </r>
  <r>
    <x v="0"/>
    <s v="No"/>
    <x v="0"/>
    <n v="1"/>
    <s v="Male"/>
    <x v="0"/>
    <x v="5"/>
    <x v="3"/>
    <n v="7295"/>
    <n v="13"/>
    <x v="1"/>
    <n v="2"/>
    <n v="10"/>
    <n v="3"/>
    <n v="3"/>
    <x v="9"/>
    <n v="8"/>
    <x v="0"/>
    <s v="Good"/>
    <x v="1"/>
    <x v="0"/>
    <x v="1"/>
    <x v="1"/>
    <x v="1"/>
  </r>
  <r>
    <x v="0"/>
    <s v="No"/>
    <x v="1"/>
    <n v="1"/>
    <s v="Male"/>
    <x v="2"/>
    <x v="2"/>
    <x v="0"/>
    <n v="3069"/>
    <n v="15"/>
    <x v="1"/>
    <n v="1"/>
    <n v="11"/>
    <n v="3"/>
    <n v="3"/>
    <x v="9"/>
    <n v="8"/>
    <x v="0"/>
    <s v="Good"/>
    <x v="1"/>
    <x v="0"/>
    <x v="1"/>
    <x v="1"/>
    <x v="1"/>
  </r>
  <r>
    <x v="0"/>
    <s v="No"/>
    <x v="1"/>
    <n v="1"/>
    <s v="Female"/>
    <x v="1"/>
    <x v="2"/>
    <x v="2"/>
    <n v="3131"/>
    <n v="13"/>
    <x v="1"/>
    <n v="1"/>
    <n v="10"/>
    <n v="5"/>
    <n v="3"/>
    <x v="9"/>
    <n v="8"/>
    <x v="0"/>
    <s v="Good"/>
    <x v="1"/>
    <x v="0"/>
    <x v="1"/>
    <x v="1"/>
    <x v="1"/>
  </r>
  <r>
    <x v="0"/>
    <s v="No"/>
    <x v="1"/>
    <n v="1"/>
    <s v="Male"/>
    <x v="0"/>
    <x v="6"/>
    <x v="3"/>
    <n v="10648"/>
    <n v="25"/>
    <x v="0"/>
    <n v="1"/>
    <n v="13"/>
    <n v="6"/>
    <n v="4"/>
    <x v="17"/>
    <n v="8"/>
    <x v="0"/>
    <s v="Good"/>
    <x v="1"/>
    <x v="0"/>
    <x v="1"/>
    <x v="1"/>
    <x v="0"/>
  </r>
  <r>
    <x v="0"/>
    <s v="No"/>
    <x v="2"/>
    <n v="1"/>
    <s v="Male"/>
    <x v="0"/>
    <x v="8"/>
    <x v="1"/>
    <n v="7988"/>
    <n v="13"/>
    <x v="1"/>
    <n v="0"/>
    <n v="10"/>
    <n v="3"/>
    <n v="2"/>
    <x v="9"/>
    <n v="9"/>
    <x v="0"/>
    <s v="Bad"/>
    <x v="1"/>
    <x v="0"/>
    <x v="1"/>
    <x v="1"/>
    <x v="1"/>
  </r>
  <r>
    <x v="0"/>
    <s v="No"/>
    <x v="1"/>
    <n v="1"/>
    <s v="Male"/>
    <x v="0"/>
    <x v="4"/>
    <x v="0"/>
    <n v="7510"/>
    <n v="17"/>
    <x v="1"/>
    <n v="1"/>
    <n v="10"/>
    <n v="1"/>
    <n v="3"/>
    <x v="9"/>
    <n v="9"/>
    <x v="0"/>
    <s v="Good"/>
    <x v="1"/>
    <x v="0"/>
    <x v="1"/>
    <x v="1"/>
    <x v="1"/>
  </r>
  <r>
    <x v="0"/>
    <s v="No"/>
    <x v="1"/>
    <n v="1"/>
    <s v="Male"/>
    <x v="0"/>
    <x v="6"/>
    <x v="2"/>
    <n v="7898"/>
    <n v="11"/>
    <x v="1"/>
    <n v="0"/>
    <n v="11"/>
    <n v="2"/>
    <n v="3"/>
    <x v="9"/>
    <n v="9"/>
    <x v="0"/>
    <s v="Good"/>
    <x v="1"/>
    <x v="0"/>
    <x v="1"/>
    <x v="1"/>
    <x v="1"/>
  </r>
  <r>
    <x v="0"/>
    <s v="No"/>
    <x v="0"/>
    <n v="1"/>
    <s v="Male"/>
    <x v="0"/>
    <x v="5"/>
    <x v="2"/>
    <n v="7823"/>
    <n v="13"/>
    <x v="1"/>
    <n v="1"/>
    <n v="12"/>
    <n v="2"/>
    <n v="3"/>
    <x v="9"/>
    <n v="9"/>
    <x v="0"/>
    <s v="Good"/>
    <x v="1"/>
    <x v="0"/>
    <x v="1"/>
    <x v="1"/>
    <x v="1"/>
  </r>
  <r>
    <x v="0"/>
    <s v="No"/>
    <x v="1"/>
    <n v="1"/>
    <s v="Male"/>
    <x v="4"/>
    <x v="7"/>
    <x v="2"/>
    <n v="17779"/>
    <n v="14"/>
    <x v="1"/>
    <n v="0"/>
    <n v="36"/>
    <n v="2"/>
    <n v="3"/>
    <x v="9"/>
    <n v="9"/>
    <x v="0"/>
    <s v="Good"/>
    <x v="1"/>
    <x v="0"/>
    <x v="1"/>
    <x v="1"/>
    <x v="1"/>
  </r>
  <r>
    <x v="0"/>
    <s v="No"/>
    <x v="1"/>
    <n v="1"/>
    <s v="Male"/>
    <x v="2"/>
    <x v="6"/>
    <x v="2"/>
    <n v="7779"/>
    <n v="20"/>
    <x v="0"/>
    <n v="0"/>
    <n v="18"/>
    <n v="0"/>
    <n v="3"/>
    <x v="13"/>
    <n v="9"/>
    <x v="0"/>
    <s v="Good"/>
    <x v="1"/>
    <x v="0"/>
    <x v="1"/>
    <x v="1"/>
    <x v="0"/>
  </r>
  <r>
    <x v="0"/>
    <s v="No"/>
    <x v="1"/>
    <n v="1"/>
    <s v="Male"/>
    <x v="2"/>
    <x v="2"/>
    <x v="3"/>
    <n v="2348"/>
    <n v="18"/>
    <x v="1"/>
    <n v="1"/>
    <n v="20"/>
    <n v="2"/>
    <n v="1"/>
    <x v="18"/>
    <n v="9"/>
    <x v="0"/>
    <s v="Bad"/>
    <x v="1"/>
    <x v="0"/>
    <x v="1"/>
    <x v="1"/>
    <x v="1"/>
  </r>
  <r>
    <x v="0"/>
    <s v="No"/>
    <x v="1"/>
    <n v="1"/>
    <s v="Male"/>
    <x v="3"/>
    <x v="7"/>
    <x v="0"/>
    <n v="19502"/>
    <n v="17"/>
    <x v="1"/>
    <n v="1"/>
    <n v="31"/>
    <n v="5"/>
    <n v="3"/>
    <x v="19"/>
    <n v="9"/>
    <x v="0"/>
    <s v="Good"/>
    <x v="1"/>
    <x v="0"/>
    <x v="1"/>
    <x v="1"/>
    <x v="1"/>
  </r>
  <r>
    <x v="0"/>
    <s v="No"/>
    <x v="2"/>
    <n v="1"/>
    <s v="Male"/>
    <x v="4"/>
    <x v="0"/>
    <x v="3"/>
    <n v="14026"/>
    <n v="11"/>
    <x v="1"/>
    <n v="1"/>
    <n v="33"/>
    <n v="2"/>
    <n v="3"/>
    <x v="20"/>
    <n v="9"/>
    <x v="0"/>
    <s v="Good"/>
    <x v="1"/>
    <x v="0"/>
    <x v="1"/>
    <x v="1"/>
    <x v="1"/>
  </r>
  <r>
    <x v="0"/>
    <s v="No"/>
    <x v="1"/>
    <n v="1"/>
    <s v="Male"/>
    <x v="1"/>
    <x v="1"/>
    <x v="3"/>
    <n v="3692"/>
    <n v="12"/>
    <x v="1"/>
    <n v="0"/>
    <n v="12"/>
    <n v="2"/>
    <n v="2"/>
    <x v="13"/>
    <n v="10"/>
    <x v="0"/>
    <s v="Bad"/>
    <x v="1"/>
    <x v="0"/>
    <x v="1"/>
    <x v="1"/>
    <x v="1"/>
  </r>
  <r>
    <x v="0"/>
    <s v="No"/>
    <x v="0"/>
    <n v="1"/>
    <s v="Male"/>
    <x v="4"/>
    <x v="0"/>
    <x v="3"/>
    <n v="16015"/>
    <n v="19"/>
    <x v="1"/>
    <n v="0"/>
    <n v="22"/>
    <n v="2"/>
    <n v="3"/>
    <x v="21"/>
    <n v="10"/>
    <x v="0"/>
    <s v="Good"/>
    <x v="1"/>
    <x v="0"/>
    <x v="1"/>
    <x v="1"/>
    <x v="1"/>
  </r>
  <r>
    <x v="0"/>
    <s v="No"/>
    <x v="1"/>
    <n v="1"/>
    <s v="Female"/>
    <x v="2"/>
    <x v="1"/>
    <x v="3"/>
    <n v="2133"/>
    <n v="16"/>
    <x v="1"/>
    <n v="1"/>
    <n v="20"/>
    <n v="3"/>
    <n v="3"/>
    <x v="16"/>
    <n v="11"/>
    <x v="0"/>
    <s v="Good"/>
    <x v="1"/>
    <x v="0"/>
    <x v="1"/>
    <x v="1"/>
    <x v="1"/>
  </r>
  <r>
    <x v="0"/>
    <s v="No"/>
    <x v="0"/>
    <n v="1"/>
    <s v="Male"/>
    <x v="2"/>
    <x v="5"/>
    <x v="0"/>
    <n v="4001"/>
    <n v="14"/>
    <x v="1"/>
    <n v="1"/>
    <n v="15"/>
    <n v="3"/>
    <n v="3"/>
    <x v="12"/>
    <n v="14"/>
    <x v="0"/>
    <s v="Good"/>
    <x v="1"/>
    <x v="0"/>
    <x v="1"/>
    <x v="1"/>
    <x v="1"/>
  </r>
  <r>
    <x v="0"/>
    <s v="No"/>
    <x v="1"/>
    <n v="1"/>
    <s v="Male"/>
    <x v="3"/>
    <x v="7"/>
    <x v="0"/>
    <n v="19419"/>
    <n v="17"/>
    <x v="1"/>
    <n v="1"/>
    <n v="21"/>
    <n v="2"/>
    <n v="4"/>
    <x v="15"/>
    <n v="16"/>
    <x v="0"/>
    <s v="Good"/>
    <x v="1"/>
    <x v="0"/>
    <x v="1"/>
    <x v="1"/>
    <x v="1"/>
  </r>
  <r>
    <x v="0"/>
    <s v="Yes"/>
    <x v="1"/>
    <n v="1"/>
    <s v="Male"/>
    <x v="1"/>
    <x v="2"/>
    <x v="2"/>
    <n v="1102"/>
    <n v="22"/>
    <x v="0"/>
    <n v="0"/>
    <n v="1"/>
    <n v="3"/>
    <n v="2"/>
    <x v="1"/>
    <n v="0"/>
    <x v="1"/>
    <s v="Bad"/>
    <x v="0"/>
    <x v="0"/>
    <x v="0"/>
    <x v="0"/>
    <x v="0"/>
  </r>
  <r>
    <x v="0"/>
    <s v="Yes"/>
    <x v="1"/>
    <n v="1"/>
    <s v="Male"/>
    <x v="1"/>
    <x v="1"/>
    <x v="2"/>
    <n v="2439"/>
    <n v="24"/>
    <x v="0"/>
    <n v="0"/>
    <n v="1"/>
    <n v="3"/>
    <n v="2"/>
    <x v="1"/>
    <n v="0"/>
    <x v="1"/>
    <s v="Bad"/>
    <x v="0"/>
    <x v="0"/>
    <x v="0"/>
    <x v="0"/>
    <x v="0"/>
  </r>
  <r>
    <x v="0"/>
    <s v="No"/>
    <x v="1"/>
    <n v="1"/>
    <s v="Female"/>
    <x v="1"/>
    <x v="1"/>
    <x v="0"/>
    <n v="2933"/>
    <n v="13"/>
    <x v="1"/>
    <n v="1"/>
    <n v="1"/>
    <n v="3"/>
    <n v="2"/>
    <x v="1"/>
    <n v="0"/>
    <x v="1"/>
    <s v="Bad"/>
    <x v="0"/>
    <x v="0"/>
    <x v="0"/>
    <x v="0"/>
    <x v="1"/>
  </r>
  <r>
    <x v="0"/>
    <s v="Yes"/>
    <x v="0"/>
    <n v="1"/>
    <s v="Male"/>
    <x v="1"/>
    <x v="3"/>
    <x v="1"/>
    <n v="1790"/>
    <n v="19"/>
    <x v="1"/>
    <n v="1"/>
    <n v="1"/>
    <n v="3"/>
    <n v="2"/>
    <x v="1"/>
    <n v="0"/>
    <x v="1"/>
    <s v="Bad"/>
    <x v="0"/>
    <x v="0"/>
    <x v="0"/>
    <x v="0"/>
    <x v="1"/>
  </r>
  <r>
    <x v="0"/>
    <s v="Yes"/>
    <x v="1"/>
    <n v="1"/>
    <s v="Female"/>
    <x v="1"/>
    <x v="2"/>
    <x v="1"/>
    <n v="1416"/>
    <n v="13"/>
    <x v="1"/>
    <n v="0"/>
    <n v="1"/>
    <n v="6"/>
    <n v="2"/>
    <x v="1"/>
    <n v="0"/>
    <x v="1"/>
    <s v="Bad"/>
    <x v="0"/>
    <x v="0"/>
    <x v="0"/>
    <x v="0"/>
    <x v="1"/>
  </r>
  <r>
    <x v="0"/>
    <s v="No"/>
    <x v="1"/>
    <n v="1"/>
    <s v="Male"/>
    <x v="2"/>
    <x v="4"/>
    <x v="2"/>
    <n v="5811"/>
    <n v="16"/>
    <x v="1"/>
    <n v="1"/>
    <n v="15"/>
    <n v="2"/>
    <n v="3"/>
    <x v="1"/>
    <n v="0"/>
    <x v="1"/>
    <s v="Good"/>
    <x v="0"/>
    <x v="0"/>
    <x v="0"/>
    <x v="0"/>
    <x v="1"/>
  </r>
  <r>
    <x v="0"/>
    <s v="Yes"/>
    <x v="0"/>
    <n v="1"/>
    <s v="Male"/>
    <x v="1"/>
    <x v="3"/>
    <x v="3"/>
    <n v="2679"/>
    <n v="13"/>
    <x v="1"/>
    <n v="0"/>
    <n v="1"/>
    <n v="3"/>
    <n v="3"/>
    <x v="1"/>
    <n v="0"/>
    <x v="1"/>
    <s v="Good"/>
    <x v="0"/>
    <x v="0"/>
    <x v="0"/>
    <x v="0"/>
    <x v="1"/>
  </r>
  <r>
    <x v="0"/>
    <s v="No"/>
    <x v="1"/>
    <n v="1"/>
    <s v="Male"/>
    <x v="1"/>
    <x v="2"/>
    <x v="3"/>
    <n v="2008"/>
    <n v="14"/>
    <x v="1"/>
    <n v="2"/>
    <n v="1"/>
    <n v="3"/>
    <n v="3"/>
    <x v="1"/>
    <n v="0"/>
    <x v="1"/>
    <s v="Good"/>
    <x v="0"/>
    <x v="0"/>
    <x v="0"/>
    <x v="0"/>
    <x v="1"/>
  </r>
  <r>
    <x v="0"/>
    <s v="Yes"/>
    <x v="0"/>
    <n v="1"/>
    <s v="Male"/>
    <x v="1"/>
    <x v="3"/>
    <x v="2"/>
    <n v="1118"/>
    <n v="14"/>
    <x v="1"/>
    <n v="0"/>
    <n v="1"/>
    <n v="4"/>
    <n v="3"/>
    <x v="1"/>
    <n v="0"/>
    <x v="1"/>
    <s v="Good"/>
    <x v="0"/>
    <x v="0"/>
    <x v="0"/>
    <x v="0"/>
    <x v="1"/>
  </r>
  <r>
    <x v="0"/>
    <s v="No"/>
    <x v="0"/>
    <n v="1"/>
    <s v="Male"/>
    <x v="0"/>
    <x v="5"/>
    <x v="2"/>
    <n v="10239"/>
    <n v="14"/>
    <x v="1"/>
    <n v="1"/>
    <n v="24"/>
    <n v="4"/>
    <n v="3"/>
    <x v="1"/>
    <n v="0"/>
    <x v="1"/>
    <s v="Good"/>
    <x v="0"/>
    <x v="0"/>
    <x v="0"/>
    <x v="0"/>
    <x v="1"/>
  </r>
  <r>
    <x v="0"/>
    <s v="Yes"/>
    <x v="1"/>
    <n v="1"/>
    <s v="Male"/>
    <x v="1"/>
    <x v="1"/>
    <x v="0"/>
    <n v="1009"/>
    <n v="11"/>
    <x v="1"/>
    <n v="0"/>
    <n v="1"/>
    <n v="5"/>
    <n v="3"/>
    <x v="1"/>
    <n v="0"/>
    <x v="1"/>
    <s v="Good"/>
    <x v="0"/>
    <x v="0"/>
    <x v="0"/>
    <x v="0"/>
    <x v="1"/>
  </r>
  <r>
    <x v="0"/>
    <s v="Yes"/>
    <x v="1"/>
    <n v="1"/>
    <s v="Female"/>
    <x v="1"/>
    <x v="2"/>
    <x v="2"/>
    <n v="2926"/>
    <n v="18"/>
    <x v="1"/>
    <n v="0"/>
    <n v="1"/>
    <n v="5"/>
    <n v="3"/>
    <x v="1"/>
    <n v="0"/>
    <x v="1"/>
    <s v="Good"/>
    <x v="0"/>
    <x v="0"/>
    <x v="0"/>
    <x v="0"/>
    <x v="1"/>
  </r>
  <r>
    <x v="0"/>
    <s v="No"/>
    <x v="2"/>
    <n v="1"/>
    <s v="Female"/>
    <x v="1"/>
    <x v="8"/>
    <x v="3"/>
    <n v="2187"/>
    <n v="14"/>
    <x v="1"/>
    <n v="0"/>
    <n v="6"/>
    <n v="3"/>
    <n v="3"/>
    <x v="2"/>
    <n v="0"/>
    <x v="1"/>
    <s v="Good"/>
    <x v="0"/>
    <x v="0"/>
    <x v="0"/>
    <x v="0"/>
    <x v="1"/>
  </r>
  <r>
    <x v="0"/>
    <s v="No"/>
    <x v="0"/>
    <n v="1"/>
    <s v="Male"/>
    <x v="2"/>
    <x v="5"/>
    <x v="0"/>
    <n v="9602"/>
    <n v="11"/>
    <x v="1"/>
    <n v="1"/>
    <n v="17"/>
    <n v="3"/>
    <n v="2"/>
    <x v="3"/>
    <n v="0"/>
    <x v="1"/>
    <s v="Bad"/>
    <x v="0"/>
    <x v="0"/>
    <x v="0"/>
    <x v="0"/>
    <x v="1"/>
  </r>
  <r>
    <x v="0"/>
    <s v="No"/>
    <x v="1"/>
    <n v="1"/>
    <s v="Male"/>
    <x v="1"/>
    <x v="2"/>
    <x v="1"/>
    <n v="2450"/>
    <n v="19"/>
    <x v="1"/>
    <n v="0"/>
    <n v="3"/>
    <n v="3"/>
    <n v="3"/>
    <x v="3"/>
    <n v="0"/>
    <x v="1"/>
    <s v="Good"/>
    <x v="0"/>
    <x v="0"/>
    <x v="0"/>
    <x v="0"/>
    <x v="1"/>
  </r>
  <r>
    <x v="0"/>
    <s v="No"/>
    <x v="1"/>
    <n v="1"/>
    <s v="Male"/>
    <x v="1"/>
    <x v="2"/>
    <x v="1"/>
    <n v="2238"/>
    <n v="21"/>
    <x v="0"/>
    <n v="1"/>
    <n v="7"/>
    <n v="2"/>
    <n v="3"/>
    <x v="4"/>
    <n v="0"/>
    <x v="1"/>
    <s v="Good"/>
    <x v="1"/>
    <x v="0"/>
    <x v="0"/>
    <x v="0"/>
    <x v="0"/>
  </r>
  <r>
    <x v="0"/>
    <s v="No"/>
    <x v="0"/>
    <n v="1"/>
    <s v="Male"/>
    <x v="2"/>
    <x v="5"/>
    <x v="0"/>
    <n v="7104"/>
    <n v="12"/>
    <x v="1"/>
    <n v="0"/>
    <n v="6"/>
    <n v="3"/>
    <n v="3"/>
    <x v="4"/>
    <n v="0"/>
    <x v="1"/>
    <s v="Good"/>
    <x v="1"/>
    <x v="0"/>
    <x v="0"/>
    <x v="0"/>
    <x v="1"/>
  </r>
  <r>
    <x v="0"/>
    <s v="No"/>
    <x v="1"/>
    <n v="1"/>
    <s v="Female"/>
    <x v="2"/>
    <x v="4"/>
    <x v="2"/>
    <n v="6949"/>
    <n v="14"/>
    <x v="1"/>
    <n v="0"/>
    <n v="6"/>
    <n v="3"/>
    <n v="3"/>
    <x v="4"/>
    <n v="0"/>
    <x v="1"/>
    <s v="Good"/>
    <x v="1"/>
    <x v="0"/>
    <x v="0"/>
    <x v="0"/>
    <x v="1"/>
  </r>
  <r>
    <x v="0"/>
    <s v="No"/>
    <x v="1"/>
    <n v="1"/>
    <s v="Male"/>
    <x v="1"/>
    <x v="1"/>
    <x v="2"/>
    <n v="2932"/>
    <n v="14"/>
    <x v="1"/>
    <n v="3"/>
    <n v="6"/>
    <n v="3"/>
    <n v="3"/>
    <x v="4"/>
    <n v="0"/>
    <x v="1"/>
    <s v="Good"/>
    <x v="1"/>
    <x v="0"/>
    <x v="0"/>
    <x v="0"/>
    <x v="1"/>
  </r>
  <r>
    <x v="0"/>
    <s v="No"/>
    <x v="1"/>
    <n v="1"/>
    <s v="Male"/>
    <x v="1"/>
    <x v="2"/>
    <x v="1"/>
    <n v="2099"/>
    <n v="14"/>
    <x v="1"/>
    <n v="0"/>
    <n v="6"/>
    <n v="3"/>
    <n v="4"/>
    <x v="4"/>
    <n v="0"/>
    <x v="1"/>
    <s v="Good"/>
    <x v="1"/>
    <x v="0"/>
    <x v="0"/>
    <x v="0"/>
    <x v="1"/>
  </r>
  <r>
    <x v="0"/>
    <s v="No"/>
    <x v="1"/>
    <n v="1"/>
    <s v="Male"/>
    <x v="3"/>
    <x v="0"/>
    <x v="2"/>
    <n v="19431"/>
    <n v="13"/>
    <x v="1"/>
    <n v="0"/>
    <n v="21"/>
    <n v="3"/>
    <n v="2"/>
    <x v="5"/>
    <n v="0"/>
    <x v="1"/>
    <s v="Bad"/>
    <x v="1"/>
    <x v="0"/>
    <x v="0"/>
    <x v="0"/>
    <x v="1"/>
  </r>
  <r>
    <x v="0"/>
    <s v="No"/>
    <x v="0"/>
    <n v="1"/>
    <s v="Female"/>
    <x v="2"/>
    <x v="5"/>
    <x v="0"/>
    <n v="5561"/>
    <n v="14"/>
    <x v="1"/>
    <n v="1"/>
    <n v="6"/>
    <n v="5"/>
    <n v="2"/>
    <x v="5"/>
    <n v="0"/>
    <x v="1"/>
    <s v="Bad"/>
    <x v="1"/>
    <x v="0"/>
    <x v="0"/>
    <x v="0"/>
    <x v="1"/>
  </r>
  <r>
    <x v="0"/>
    <s v="No"/>
    <x v="1"/>
    <n v="1"/>
    <s v="Male"/>
    <x v="2"/>
    <x v="4"/>
    <x v="2"/>
    <n v="6623"/>
    <n v="11"/>
    <x v="1"/>
    <n v="2"/>
    <n v="6"/>
    <n v="2"/>
    <n v="3"/>
    <x v="5"/>
    <n v="0"/>
    <x v="1"/>
    <s v="Good"/>
    <x v="1"/>
    <x v="0"/>
    <x v="0"/>
    <x v="0"/>
    <x v="1"/>
  </r>
  <r>
    <x v="0"/>
    <s v="No"/>
    <x v="1"/>
    <n v="1"/>
    <s v="Male"/>
    <x v="2"/>
    <x v="4"/>
    <x v="0"/>
    <n v="5294"/>
    <n v="16"/>
    <x v="1"/>
    <n v="1"/>
    <n v="10"/>
    <n v="3"/>
    <n v="3"/>
    <x v="6"/>
    <n v="0"/>
    <x v="1"/>
    <s v="Good"/>
    <x v="1"/>
    <x v="0"/>
    <x v="0"/>
    <x v="0"/>
    <x v="1"/>
  </r>
  <r>
    <x v="0"/>
    <s v="No"/>
    <x v="1"/>
    <n v="1"/>
    <s v="Male"/>
    <x v="2"/>
    <x v="4"/>
    <x v="0"/>
    <n v="6384"/>
    <n v="17"/>
    <x v="1"/>
    <n v="2"/>
    <n v="11"/>
    <n v="3"/>
    <n v="3"/>
    <x v="6"/>
    <n v="0"/>
    <x v="1"/>
    <s v="Good"/>
    <x v="1"/>
    <x v="0"/>
    <x v="0"/>
    <x v="0"/>
    <x v="1"/>
  </r>
  <r>
    <x v="0"/>
    <s v="No"/>
    <x v="1"/>
    <n v="1"/>
    <s v="Male"/>
    <x v="1"/>
    <x v="2"/>
    <x v="0"/>
    <n v="2258"/>
    <n v="12"/>
    <x v="1"/>
    <n v="1"/>
    <n v="10"/>
    <n v="2"/>
    <n v="3"/>
    <x v="7"/>
    <n v="0"/>
    <x v="1"/>
    <s v="Good"/>
    <x v="1"/>
    <x v="0"/>
    <x v="0"/>
    <x v="0"/>
    <x v="1"/>
  </r>
  <r>
    <x v="0"/>
    <s v="No"/>
    <x v="2"/>
    <n v="1"/>
    <s v="Female"/>
    <x v="0"/>
    <x v="8"/>
    <x v="2"/>
    <n v="8837"/>
    <n v="16"/>
    <x v="1"/>
    <n v="0"/>
    <n v="9"/>
    <n v="2"/>
    <n v="3"/>
    <x v="8"/>
    <n v="0"/>
    <x v="1"/>
    <s v="Good"/>
    <x v="1"/>
    <x v="0"/>
    <x v="0"/>
    <x v="0"/>
    <x v="1"/>
  </r>
  <r>
    <x v="0"/>
    <s v="No"/>
    <x v="1"/>
    <n v="1"/>
    <s v="Male"/>
    <x v="2"/>
    <x v="2"/>
    <x v="1"/>
    <n v="4558"/>
    <n v="12"/>
    <x v="1"/>
    <n v="1"/>
    <n v="10"/>
    <n v="2"/>
    <n v="3"/>
    <x v="9"/>
    <n v="0"/>
    <x v="1"/>
    <s v="Good"/>
    <x v="1"/>
    <x v="0"/>
    <x v="0"/>
    <x v="0"/>
    <x v="1"/>
  </r>
  <r>
    <x v="0"/>
    <s v="No"/>
    <x v="1"/>
    <n v="1"/>
    <s v="Male"/>
    <x v="1"/>
    <x v="2"/>
    <x v="0"/>
    <n v="2206"/>
    <n v="13"/>
    <x v="1"/>
    <n v="0"/>
    <n v="10"/>
    <n v="5"/>
    <n v="3"/>
    <x v="9"/>
    <n v="0"/>
    <x v="1"/>
    <s v="Good"/>
    <x v="1"/>
    <x v="0"/>
    <x v="0"/>
    <x v="0"/>
    <x v="1"/>
  </r>
  <r>
    <x v="0"/>
    <s v="No"/>
    <x v="1"/>
    <n v="1"/>
    <s v="Male"/>
    <x v="3"/>
    <x v="0"/>
    <x v="2"/>
    <n v="19202"/>
    <n v="11"/>
    <x v="1"/>
    <n v="1"/>
    <n v="25"/>
    <n v="2"/>
    <n v="3"/>
    <x v="22"/>
    <n v="0"/>
    <x v="1"/>
    <s v="Good"/>
    <x v="1"/>
    <x v="0"/>
    <x v="0"/>
    <x v="0"/>
    <x v="1"/>
  </r>
  <r>
    <x v="0"/>
    <s v="No"/>
    <x v="1"/>
    <n v="1"/>
    <s v="Male"/>
    <x v="1"/>
    <x v="1"/>
    <x v="3"/>
    <n v="2501"/>
    <n v="17"/>
    <x v="1"/>
    <n v="0"/>
    <n v="1"/>
    <n v="4"/>
    <n v="3"/>
    <x v="1"/>
    <n v="1"/>
    <x v="1"/>
    <s v="Good"/>
    <x v="0"/>
    <x v="0"/>
    <x v="0"/>
    <x v="0"/>
    <x v="1"/>
  </r>
  <r>
    <x v="0"/>
    <s v="No"/>
    <x v="1"/>
    <n v="1"/>
    <s v="Female"/>
    <x v="1"/>
    <x v="1"/>
    <x v="3"/>
    <n v="2244"/>
    <n v="13"/>
    <x v="1"/>
    <n v="1"/>
    <n v="2"/>
    <n v="1"/>
    <n v="3"/>
    <x v="2"/>
    <n v="1"/>
    <x v="1"/>
    <s v="Good"/>
    <x v="0"/>
    <x v="0"/>
    <x v="0"/>
    <x v="0"/>
    <x v="1"/>
  </r>
  <r>
    <x v="0"/>
    <s v="Yes"/>
    <x v="0"/>
    <n v="1"/>
    <s v="Male"/>
    <x v="2"/>
    <x v="5"/>
    <x v="1"/>
    <n v="4233"/>
    <n v="17"/>
    <x v="1"/>
    <n v="0"/>
    <n v="9"/>
    <n v="2"/>
    <n v="1"/>
    <x v="3"/>
    <n v="1"/>
    <x v="1"/>
    <s v="Bad"/>
    <x v="0"/>
    <x v="0"/>
    <x v="0"/>
    <x v="0"/>
    <x v="1"/>
  </r>
  <r>
    <x v="0"/>
    <s v="No"/>
    <x v="1"/>
    <n v="1"/>
    <s v="Male"/>
    <x v="1"/>
    <x v="1"/>
    <x v="0"/>
    <n v="2345"/>
    <n v="14"/>
    <x v="1"/>
    <n v="1"/>
    <n v="8"/>
    <n v="3"/>
    <n v="4"/>
    <x v="3"/>
    <n v="1"/>
    <x v="1"/>
    <s v="Good"/>
    <x v="0"/>
    <x v="0"/>
    <x v="0"/>
    <x v="0"/>
    <x v="1"/>
  </r>
  <r>
    <x v="0"/>
    <s v="No"/>
    <x v="1"/>
    <n v="1"/>
    <s v="Male"/>
    <x v="0"/>
    <x v="6"/>
    <x v="2"/>
    <n v="9380"/>
    <n v="18"/>
    <x v="1"/>
    <n v="2"/>
    <n v="10"/>
    <n v="4"/>
    <n v="4"/>
    <x v="3"/>
    <n v="1"/>
    <x v="1"/>
    <s v="Good"/>
    <x v="0"/>
    <x v="0"/>
    <x v="0"/>
    <x v="0"/>
    <x v="1"/>
  </r>
  <r>
    <x v="0"/>
    <s v="No"/>
    <x v="1"/>
    <n v="1"/>
    <s v="Male"/>
    <x v="2"/>
    <x v="6"/>
    <x v="3"/>
    <n v="5482"/>
    <n v="18"/>
    <x v="1"/>
    <n v="1"/>
    <n v="13"/>
    <n v="3"/>
    <n v="3"/>
    <x v="11"/>
    <n v="1"/>
    <x v="1"/>
    <s v="Good"/>
    <x v="2"/>
    <x v="0"/>
    <x v="0"/>
    <x v="0"/>
    <x v="1"/>
  </r>
  <r>
    <x v="0"/>
    <s v="No"/>
    <x v="1"/>
    <n v="1"/>
    <s v="Male"/>
    <x v="4"/>
    <x v="7"/>
    <x v="1"/>
    <n v="17159"/>
    <n v="24"/>
    <x v="0"/>
    <n v="1"/>
    <n v="22"/>
    <n v="3"/>
    <n v="3"/>
    <x v="11"/>
    <n v="1"/>
    <x v="1"/>
    <s v="Good"/>
    <x v="2"/>
    <x v="0"/>
    <x v="0"/>
    <x v="0"/>
    <x v="0"/>
  </r>
  <r>
    <x v="0"/>
    <s v="Yes"/>
    <x v="2"/>
    <n v="1"/>
    <s v="Female"/>
    <x v="1"/>
    <x v="8"/>
    <x v="3"/>
    <n v="2148"/>
    <n v="11"/>
    <x v="1"/>
    <n v="0"/>
    <n v="6"/>
    <n v="3"/>
    <n v="3"/>
    <x v="4"/>
    <n v="1"/>
    <x v="1"/>
    <s v="Good"/>
    <x v="1"/>
    <x v="0"/>
    <x v="0"/>
    <x v="0"/>
    <x v="1"/>
  </r>
  <r>
    <x v="0"/>
    <s v="No"/>
    <x v="1"/>
    <n v="1"/>
    <s v="Male"/>
    <x v="4"/>
    <x v="7"/>
    <x v="0"/>
    <n v="14814"/>
    <n v="19"/>
    <x v="1"/>
    <n v="0"/>
    <n v="32"/>
    <n v="3"/>
    <n v="3"/>
    <x v="4"/>
    <n v="1"/>
    <x v="1"/>
    <s v="Good"/>
    <x v="1"/>
    <x v="0"/>
    <x v="0"/>
    <x v="0"/>
    <x v="1"/>
  </r>
  <r>
    <x v="0"/>
    <s v="No"/>
    <x v="1"/>
    <n v="1"/>
    <s v="Female"/>
    <x v="2"/>
    <x v="4"/>
    <x v="2"/>
    <n v="6667"/>
    <n v="18"/>
    <x v="1"/>
    <n v="1"/>
    <n v="9"/>
    <n v="6"/>
    <n v="3"/>
    <x v="4"/>
    <n v="1"/>
    <x v="1"/>
    <s v="Good"/>
    <x v="1"/>
    <x v="0"/>
    <x v="0"/>
    <x v="0"/>
    <x v="1"/>
  </r>
  <r>
    <x v="0"/>
    <s v="No"/>
    <x v="0"/>
    <n v="1"/>
    <s v="Female"/>
    <x v="2"/>
    <x v="5"/>
    <x v="3"/>
    <n v="6852"/>
    <n v="12"/>
    <x v="1"/>
    <n v="1"/>
    <n v="7"/>
    <n v="2"/>
    <n v="4"/>
    <x v="4"/>
    <n v="1"/>
    <x v="1"/>
    <s v="Good"/>
    <x v="1"/>
    <x v="0"/>
    <x v="0"/>
    <x v="0"/>
    <x v="1"/>
  </r>
  <r>
    <x v="0"/>
    <s v="No"/>
    <x v="1"/>
    <n v="1"/>
    <s v="Female"/>
    <x v="2"/>
    <x v="1"/>
    <x v="2"/>
    <n v="6854"/>
    <n v="15"/>
    <x v="1"/>
    <n v="1"/>
    <n v="14"/>
    <n v="2"/>
    <n v="2"/>
    <x v="6"/>
    <n v="1"/>
    <x v="1"/>
    <s v="Bad"/>
    <x v="1"/>
    <x v="0"/>
    <x v="0"/>
    <x v="0"/>
    <x v="1"/>
  </r>
  <r>
    <x v="0"/>
    <s v="No"/>
    <x v="1"/>
    <n v="1"/>
    <s v="Female"/>
    <x v="1"/>
    <x v="2"/>
    <x v="2"/>
    <n v="2153"/>
    <n v="13"/>
    <x v="1"/>
    <n v="0"/>
    <n v="8"/>
    <n v="2"/>
    <n v="3"/>
    <x v="7"/>
    <n v="1"/>
    <x v="1"/>
    <s v="Good"/>
    <x v="1"/>
    <x v="0"/>
    <x v="0"/>
    <x v="0"/>
    <x v="1"/>
  </r>
  <r>
    <x v="0"/>
    <s v="No"/>
    <x v="1"/>
    <n v="1"/>
    <s v="Male"/>
    <x v="1"/>
    <x v="2"/>
    <x v="0"/>
    <n v="3033"/>
    <n v="12"/>
    <x v="1"/>
    <n v="0"/>
    <n v="2"/>
    <n v="2"/>
    <n v="2"/>
    <x v="2"/>
    <n v="2"/>
    <x v="1"/>
    <s v="Bad"/>
    <x v="0"/>
    <x v="0"/>
    <x v="0"/>
    <x v="0"/>
    <x v="1"/>
  </r>
  <r>
    <x v="0"/>
    <s v="Yes"/>
    <x v="0"/>
    <n v="1"/>
    <s v="Female"/>
    <x v="1"/>
    <x v="3"/>
    <x v="0"/>
    <n v="2351"/>
    <n v="16"/>
    <x v="1"/>
    <n v="1"/>
    <n v="3"/>
    <n v="3"/>
    <n v="2"/>
    <x v="2"/>
    <n v="2"/>
    <x v="1"/>
    <s v="Bad"/>
    <x v="0"/>
    <x v="0"/>
    <x v="0"/>
    <x v="0"/>
    <x v="1"/>
  </r>
  <r>
    <x v="0"/>
    <s v="No"/>
    <x v="1"/>
    <n v="1"/>
    <s v="Female"/>
    <x v="0"/>
    <x v="4"/>
    <x v="0"/>
    <n v="10527"/>
    <n v="11"/>
    <x v="1"/>
    <n v="0"/>
    <n v="28"/>
    <n v="3"/>
    <n v="2"/>
    <x v="2"/>
    <n v="2"/>
    <x v="1"/>
    <s v="Bad"/>
    <x v="0"/>
    <x v="0"/>
    <x v="0"/>
    <x v="0"/>
    <x v="1"/>
  </r>
  <r>
    <x v="0"/>
    <s v="No"/>
    <x v="0"/>
    <n v="1"/>
    <s v="Male"/>
    <x v="1"/>
    <x v="3"/>
    <x v="0"/>
    <n v="3067"/>
    <n v="19"/>
    <x v="1"/>
    <n v="1"/>
    <n v="3"/>
    <n v="1"/>
    <n v="3"/>
    <x v="2"/>
    <n v="2"/>
    <x v="1"/>
    <s v="Good"/>
    <x v="0"/>
    <x v="0"/>
    <x v="0"/>
    <x v="0"/>
    <x v="1"/>
  </r>
  <r>
    <x v="0"/>
    <s v="No"/>
    <x v="2"/>
    <n v="1"/>
    <s v="Male"/>
    <x v="2"/>
    <x v="8"/>
    <x v="1"/>
    <n v="6410"/>
    <n v="12"/>
    <x v="1"/>
    <n v="0"/>
    <n v="9"/>
    <n v="1"/>
    <n v="3"/>
    <x v="2"/>
    <n v="2"/>
    <x v="1"/>
    <s v="Good"/>
    <x v="0"/>
    <x v="0"/>
    <x v="0"/>
    <x v="0"/>
    <x v="1"/>
  </r>
  <r>
    <x v="0"/>
    <s v="No"/>
    <x v="1"/>
    <n v="1"/>
    <s v="Male"/>
    <x v="1"/>
    <x v="2"/>
    <x v="2"/>
    <n v="2661"/>
    <n v="11"/>
    <x v="1"/>
    <n v="1"/>
    <n v="3"/>
    <n v="2"/>
    <n v="3"/>
    <x v="2"/>
    <n v="2"/>
    <x v="1"/>
    <s v="Good"/>
    <x v="0"/>
    <x v="0"/>
    <x v="0"/>
    <x v="0"/>
    <x v="1"/>
  </r>
  <r>
    <x v="0"/>
    <s v="No"/>
    <x v="1"/>
    <n v="1"/>
    <s v="Male"/>
    <x v="2"/>
    <x v="4"/>
    <x v="2"/>
    <n v="5745"/>
    <n v="14"/>
    <x v="1"/>
    <n v="1"/>
    <n v="10"/>
    <n v="2"/>
    <n v="3"/>
    <x v="2"/>
    <n v="2"/>
    <x v="1"/>
    <s v="Good"/>
    <x v="0"/>
    <x v="0"/>
    <x v="0"/>
    <x v="0"/>
    <x v="1"/>
  </r>
  <r>
    <x v="0"/>
    <s v="No"/>
    <x v="0"/>
    <n v="1"/>
    <s v="Male"/>
    <x v="1"/>
    <x v="3"/>
    <x v="3"/>
    <n v="2899"/>
    <n v="19"/>
    <x v="1"/>
    <n v="1"/>
    <n v="3"/>
    <n v="3"/>
    <n v="3"/>
    <x v="2"/>
    <n v="2"/>
    <x v="1"/>
    <s v="Good"/>
    <x v="0"/>
    <x v="0"/>
    <x v="0"/>
    <x v="0"/>
    <x v="1"/>
  </r>
  <r>
    <x v="0"/>
    <s v="Yes"/>
    <x v="1"/>
    <n v="1"/>
    <s v="Male"/>
    <x v="1"/>
    <x v="2"/>
    <x v="0"/>
    <n v="3894"/>
    <n v="16"/>
    <x v="1"/>
    <n v="0"/>
    <n v="4"/>
    <n v="3"/>
    <n v="3"/>
    <x v="2"/>
    <n v="2"/>
    <x v="1"/>
    <s v="Good"/>
    <x v="0"/>
    <x v="0"/>
    <x v="0"/>
    <x v="0"/>
    <x v="1"/>
  </r>
  <r>
    <x v="0"/>
    <s v="No"/>
    <x v="0"/>
    <n v="1"/>
    <s v="Male"/>
    <x v="1"/>
    <x v="3"/>
    <x v="1"/>
    <n v="2380"/>
    <n v="11"/>
    <x v="1"/>
    <n v="0"/>
    <n v="2"/>
    <n v="6"/>
    <n v="3"/>
    <x v="2"/>
    <n v="2"/>
    <x v="1"/>
    <s v="Good"/>
    <x v="0"/>
    <x v="0"/>
    <x v="0"/>
    <x v="0"/>
    <x v="1"/>
  </r>
  <r>
    <x v="0"/>
    <s v="Yes"/>
    <x v="1"/>
    <n v="1"/>
    <s v="Female"/>
    <x v="1"/>
    <x v="1"/>
    <x v="3"/>
    <n v="2546"/>
    <n v="16"/>
    <x v="1"/>
    <n v="0"/>
    <n v="6"/>
    <n v="2"/>
    <n v="4"/>
    <x v="2"/>
    <n v="2"/>
    <x v="1"/>
    <s v="Good"/>
    <x v="0"/>
    <x v="0"/>
    <x v="0"/>
    <x v="0"/>
    <x v="1"/>
  </r>
  <r>
    <x v="0"/>
    <s v="Yes"/>
    <x v="1"/>
    <n v="1"/>
    <s v="Male"/>
    <x v="1"/>
    <x v="2"/>
    <x v="0"/>
    <n v="3730"/>
    <n v="14"/>
    <x v="1"/>
    <n v="0"/>
    <n v="4"/>
    <n v="2"/>
    <n v="1"/>
    <x v="3"/>
    <n v="2"/>
    <x v="1"/>
    <s v="Bad"/>
    <x v="0"/>
    <x v="0"/>
    <x v="0"/>
    <x v="0"/>
    <x v="1"/>
  </r>
  <r>
    <x v="0"/>
    <s v="No"/>
    <x v="1"/>
    <n v="1"/>
    <s v="Female"/>
    <x v="1"/>
    <x v="2"/>
    <x v="3"/>
    <n v="3295"/>
    <n v="13"/>
    <x v="1"/>
    <n v="0"/>
    <n v="3"/>
    <n v="3"/>
    <n v="1"/>
    <x v="3"/>
    <n v="2"/>
    <x v="1"/>
    <s v="Bad"/>
    <x v="0"/>
    <x v="0"/>
    <x v="0"/>
    <x v="0"/>
    <x v="1"/>
  </r>
  <r>
    <x v="0"/>
    <s v="No"/>
    <x v="1"/>
    <n v="1"/>
    <s v="Male"/>
    <x v="2"/>
    <x v="4"/>
    <x v="3"/>
    <n v="6870"/>
    <n v="12"/>
    <x v="1"/>
    <n v="0"/>
    <n v="11"/>
    <n v="3"/>
    <n v="1"/>
    <x v="3"/>
    <n v="2"/>
    <x v="1"/>
    <s v="Bad"/>
    <x v="0"/>
    <x v="0"/>
    <x v="0"/>
    <x v="0"/>
    <x v="1"/>
  </r>
  <r>
    <x v="0"/>
    <s v="No"/>
    <x v="1"/>
    <n v="1"/>
    <s v="Male"/>
    <x v="2"/>
    <x v="4"/>
    <x v="0"/>
    <n v="6651"/>
    <n v="14"/>
    <x v="1"/>
    <n v="1"/>
    <n v="20"/>
    <n v="0"/>
    <n v="2"/>
    <x v="3"/>
    <n v="2"/>
    <x v="1"/>
    <s v="Bad"/>
    <x v="0"/>
    <x v="0"/>
    <x v="0"/>
    <x v="0"/>
    <x v="1"/>
  </r>
  <r>
    <x v="0"/>
    <s v="No"/>
    <x v="1"/>
    <n v="1"/>
    <s v="Male"/>
    <x v="1"/>
    <x v="1"/>
    <x v="1"/>
    <n v="2080"/>
    <n v="11"/>
    <x v="1"/>
    <n v="0"/>
    <n v="5"/>
    <n v="2"/>
    <n v="2"/>
    <x v="3"/>
    <n v="2"/>
    <x v="1"/>
    <s v="Bad"/>
    <x v="0"/>
    <x v="0"/>
    <x v="0"/>
    <x v="0"/>
    <x v="1"/>
  </r>
  <r>
    <x v="0"/>
    <s v="No"/>
    <x v="1"/>
    <n v="1"/>
    <s v="Male"/>
    <x v="1"/>
    <x v="1"/>
    <x v="1"/>
    <n v="2194"/>
    <n v="13"/>
    <x v="1"/>
    <n v="1"/>
    <n v="5"/>
    <n v="2"/>
    <n v="2"/>
    <x v="3"/>
    <n v="2"/>
    <x v="1"/>
    <s v="Bad"/>
    <x v="0"/>
    <x v="0"/>
    <x v="0"/>
    <x v="0"/>
    <x v="1"/>
  </r>
  <r>
    <x v="0"/>
    <s v="No"/>
    <x v="1"/>
    <n v="1"/>
    <s v="Male"/>
    <x v="1"/>
    <x v="1"/>
    <x v="0"/>
    <n v="2438"/>
    <n v="13"/>
    <x v="1"/>
    <n v="0"/>
    <n v="7"/>
    <n v="2"/>
    <n v="2"/>
    <x v="3"/>
    <n v="2"/>
    <x v="1"/>
    <s v="Bad"/>
    <x v="0"/>
    <x v="0"/>
    <x v="0"/>
    <x v="0"/>
    <x v="1"/>
  </r>
  <r>
    <x v="0"/>
    <s v="No"/>
    <x v="0"/>
    <n v="1"/>
    <s v="Female"/>
    <x v="1"/>
    <x v="3"/>
    <x v="2"/>
    <n v="3294"/>
    <n v="18"/>
    <x v="1"/>
    <n v="0"/>
    <n v="3"/>
    <n v="3"/>
    <n v="2"/>
    <x v="3"/>
    <n v="2"/>
    <x v="1"/>
    <s v="Bad"/>
    <x v="0"/>
    <x v="0"/>
    <x v="0"/>
    <x v="0"/>
    <x v="1"/>
  </r>
  <r>
    <x v="0"/>
    <s v="No"/>
    <x v="0"/>
    <n v="1"/>
    <s v="Male"/>
    <x v="2"/>
    <x v="5"/>
    <x v="3"/>
    <n v="4078"/>
    <n v="13"/>
    <x v="1"/>
    <n v="3"/>
    <n v="4"/>
    <n v="3"/>
    <n v="2"/>
    <x v="3"/>
    <n v="2"/>
    <x v="1"/>
    <s v="Bad"/>
    <x v="0"/>
    <x v="0"/>
    <x v="0"/>
    <x v="0"/>
    <x v="1"/>
  </r>
  <r>
    <x v="0"/>
    <s v="No"/>
    <x v="0"/>
    <n v="1"/>
    <s v="Male"/>
    <x v="2"/>
    <x v="5"/>
    <x v="0"/>
    <n v="6232"/>
    <n v="11"/>
    <x v="1"/>
    <n v="0"/>
    <n v="6"/>
    <n v="3"/>
    <n v="2"/>
    <x v="3"/>
    <n v="2"/>
    <x v="1"/>
    <s v="Bad"/>
    <x v="0"/>
    <x v="0"/>
    <x v="0"/>
    <x v="0"/>
    <x v="1"/>
  </r>
  <r>
    <x v="0"/>
    <s v="No"/>
    <x v="0"/>
    <n v="1"/>
    <s v="Male"/>
    <x v="1"/>
    <x v="3"/>
    <x v="2"/>
    <n v="2644"/>
    <n v="21"/>
    <x v="0"/>
    <n v="0"/>
    <n v="7"/>
    <n v="3"/>
    <n v="2"/>
    <x v="3"/>
    <n v="2"/>
    <x v="1"/>
    <s v="Bad"/>
    <x v="0"/>
    <x v="0"/>
    <x v="0"/>
    <x v="0"/>
    <x v="0"/>
  </r>
  <r>
    <x v="0"/>
    <s v="No"/>
    <x v="1"/>
    <n v="1"/>
    <s v="Male"/>
    <x v="1"/>
    <x v="2"/>
    <x v="2"/>
    <n v="3917"/>
    <n v="20"/>
    <x v="0"/>
    <n v="1"/>
    <n v="3"/>
    <n v="4"/>
    <n v="2"/>
    <x v="3"/>
    <n v="2"/>
    <x v="1"/>
    <s v="Bad"/>
    <x v="0"/>
    <x v="0"/>
    <x v="0"/>
    <x v="0"/>
    <x v="0"/>
  </r>
  <r>
    <x v="0"/>
    <s v="No"/>
    <x v="1"/>
    <n v="1"/>
    <s v="Male"/>
    <x v="1"/>
    <x v="2"/>
    <x v="2"/>
    <n v="3669"/>
    <n v="11"/>
    <x v="1"/>
    <n v="3"/>
    <n v="7"/>
    <n v="6"/>
    <n v="2"/>
    <x v="3"/>
    <n v="2"/>
    <x v="1"/>
    <s v="Bad"/>
    <x v="0"/>
    <x v="0"/>
    <x v="0"/>
    <x v="0"/>
    <x v="1"/>
  </r>
  <r>
    <x v="0"/>
    <s v="Yes"/>
    <x v="1"/>
    <n v="1"/>
    <s v="Male"/>
    <x v="1"/>
    <x v="1"/>
    <x v="1"/>
    <n v="2321"/>
    <n v="22"/>
    <x v="0"/>
    <n v="0"/>
    <n v="4"/>
    <n v="0"/>
    <n v="3"/>
    <x v="3"/>
    <n v="2"/>
    <x v="1"/>
    <s v="Good"/>
    <x v="0"/>
    <x v="0"/>
    <x v="0"/>
    <x v="0"/>
    <x v="0"/>
  </r>
  <r>
    <x v="0"/>
    <s v="No"/>
    <x v="0"/>
    <n v="1"/>
    <s v="Female"/>
    <x v="2"/>
    <x v="5"/>
    <x v="1"/>
    <n v="6500"/>
    <n v="17"/>
    <x v="1"/>
    <n v="1"/>
    <n v="6"/>
    <n v="1"/>
    <n v="3"/>
    <x v="3"/>
    <n v="2"/>
    <x v="1"/>
    <s v="Good"/>
    <x v="0"/>
    <x v="0"/>
    <x v="0"/>
    <x v="0"/>
    <x v="1"/>
  </r>
  <r>
    <x v="0"/>
    <s v="No"/>
    <x v="1"/>
    <n v="1"/>
    <s v="Female"/>
    <x v="1"/>
    <x v="2"/>
    <x v="0"/>
    <n v="2232"/>
    <n v="14"/>
    <x v="1"/>
    <n v="3"/>
    <n v="7"/>
    <n v="1"/>
    <n v="3"/>
    <x v="3"/>
    <n v="2"/>
    <x v="1"/>
    <s v="Good"/>
    <x v="0"/>
    <x v="0"/>
    <x v="0"/>
    <x v="0"/>
    <x v="1"/>
  </r>
  <r>
    <x v="0"/>
    <s v="No"/>
    <x v="1"/>
    <n v="1"/>
    <s v="Male"/>
    <x v="1"/>
    <x v="2"/>
    <x v="2"/>
    <n v="2258"/>
    <n v="20"/>
    <x v="0"/>
    <n v="1"/>
    <n v="8"/>
    <n v="1"/>
    <n v="3"/>
    <x v="3"/>
    <n v="2"/>
    <x v="1"/>
    <s v="Good"/>
    <x v="0"/>
    <x v="0"/>
    <x v="0"/>
    <x v="0"/>
    <x v="0"/>
  </r>
  <r>
    <x v="0"/>
    <s v="No"/>
    <x v="0"/>
    <n v="1"/>
    <s v="Female"/>
    <x v="2"/>
    <x v="5"/>
    <x v="0"/>
    <n v="5736"/>
    <n v="19"/>
    <x v="1"/>
    <n v="1"/>
    <n v="10"/>
    <n v="1"/>
    <n v="3"/>
    <x v="3"/>
    <n v="2"/>
    <x v="1"/>
    <s v="Good"/>
    <x v="0"/>
    <x v="0"/>
    <x v="0"/>
    <x v="0"/>
    <x v="1"/>
  </r>
  <r>
    <x v="0"/>
    <s v="No"/>
    <x v="0"/>
    <n v="1"/>
    <s v="Male"/>
    <x v="1"/>
    <x v="3"/>
    <x v="0"/>
    <n v="3447"/>
    <n v="11"/>
    <x v="1"/>
    <n v="0"/>
    <n v="3"/>
    <n v="2"/>
    <n v="3"/>
    <x v="3"/>
    <n v="2"/>
    <x v="1"/>
    <s v="Good"/>
    <x v="0"/>
    <x v="0"/>
    <x v="0"/>
    <x v="0"/>
    <x v="1"/>
  </r>
  <r>
    <x v="0"/>
    <s v="No"/>
    <x v="1"/>
    <n v="1"/>
    <s v="Male"/>
    <x v="2"/>
    <x v="4"/>
    <x v="0"/>
    <n v="4035"/>
    <n v="16"/>
    <x v="1"/>
    <n v="0"/>
    <n v="4"/>
    <n v="2"/>
    <n v="3"/>
    <x v="3"/>
    <n v="2"/>
    <x v="1"/>
    <s v="Good"/>
    <x v="0"/>
    <x v="0"/>
    <x v="0"/>
    <x v="0"/>
    <x v="1"/>
  </r>
  <r>
    <x v="0"/>
    <s v="Yes"/>
    <x v="1"/>
    <n v="1"/>
    <s v="Male"/>
    <x v="1"/>
    <x v="1"/>
    <x v="1"/>
    <n v="2042"/>
    <n v="14"/>
    <x v="1"/>
    <n v="1"/>
    <n v="6"/>
    <n v="2"/>
    <n v="3"/>
    <x v="3"/>
    <n v="2"/>
    <x v="1"/>
    <s v="Good"/>
    <x v="0"/>
    <x v="0"/>
    <x v="0"/>
    <x v="0"/>
    <x v="1"/>
  </r>
  <r>
    <x v="0"/>
    <s v="No"/>
    <x v="1"/>
    <n v="1"/>
    <s v="Female"/>
    <x v="2"/>
    <x v="6"/>
    <x v="0"/>
    <n v="4663"/>
    <n v="12"/>
    <x v="1"/>
    <n v="2"/>
    <n v="7"/>
    <n v="2"/>
    <n v="3"/>
    <x v="3"/>
    <n v="2"/>
    <x v="1"/>
    <s v="Good"/>
    <x v="0"/>
    <x v="0"/>
    <x v="0"/>
    <x v="0"/>
    <x v="1"/>
  </r>
  <r>
    <x v="0"/>
    <s v="No"/>
    <x v="1"/>
    <n v="1"/>
    <s v="Male"/>
    <x v="0"/>
    <x v="4"/>
    <x v="2"/>
    <n v="7119"/>
    <n v="15"/>
    <x v="1"/>
    <n v="1"/>
    <n v="9"/>
    <n v="2"/>
    <n v="3"/>
    <x v="3"/>
    <n v="2"/>
    <x v="1"/>
    <s v="Good"/>
    <x v="0"/>
    <x v="0"/>
    <x v="0"/>
    <x v="0"/>
    <x v="1"/>
  </r>
  <r>
    <x v="0"/>
    <s v="No"/>
    <x v="1"/>
    <n v="1"/>
    <s v="Male"/>
    <x v="1"/>
    <x v="2"/>
    <x v="1"/>
    <n v="2062"/>
    <n v="14"/>
    <x v="1"/>
    <n v="0"/>
    <n v="11"/>
    <n v="2"/>
    <n v="3"/>
    <x v="3"/>
    <n v="2"/>
    <x v="1"/>
    <s v="Good"/>
    <x v="0"/>
    <x v="0"/>
    <x v="0"/>
    <x v="0"/>
    <x v="1"/>
  </r>
  <r>
    <x v="0"/>
    <s v="No"/>
    <x v="1"/>
    <n v="1"/>
    <s v="Male"/>
    <x v="2"/>
    <x v="4"/>
    <x v="0"/>
    <n v="6755"/>
    <n v="11"/>
    <x v="1"/>
    <n v="0"/>
    <n v="15"/>
    <n v="2"/>
    <n v="3"/>
    <x v="3"/>
    <n v="2"/>
    <x v="1"/>
    <s v="Good"/>
    <x v="0"/>
    <x v="0"/>
    <x v="0"/>
    <x v="0"/>
    <x v="1"/>
  </r>
  <r>
    <x v="0"/>
    <s v="No"/>
    <x v="1"/>
    <n v="1"/>
    <s v="Female"/>
    <x v="1"/>
    <x v="1"/>
    <x v="0"/>
    <n v="4739"/>
    <n v="12"/>
    <x v="1"/>
    <n v="0"/>
    <n v="18"/>
    <n v="2"/>
    <n v="3"/>
    <x v="3"/>
    <n v="2"/>
    <x v="1"/>
    <s v="Good"/>
    <x v="0"/>
    <x v="0"/>
    <x v="0"/>
    <x v="0"/>
    <x v="1"/>
  </r>
  <r>
    <x v="0"/>
    <s v="No"/>
    <x v="1"/>
    <n v="1"/>
    <s v="Male"/>
    <x v="3"/>
    <x v="7"/>
    <x v="0"/>
    <n v="18300"/>
    <n v="11"/>
    <x v="1"/>
    <n v="1"/>
    <n v="21"/>
    <n v="2"/>
    <n v="3"/>
    <x v="3"/>
    <n v="2"/>
    <x v="1"/>
    <s v="Good"/>
    <x v="0"/>
    <x v="0"/>
    <x v="0"/>
    <x v="0"/>
    <x v="1"/>
  </r>
  <r>
    <x v="0"/>
    <s v="No"/>
    <x v="1"/>
    <n v="1"/>
    <s v="Female"/>
    <x v="4"/>
    <x v="7"/>
    <x v="1"/>
    <n v="16880"/>
    <n v="11"/>
    <x v="1"/>
    <n v="0"/>
    <n v="25"/>
    <n v="2"/>
    <n v="3"/>
    <x v="3"/>
    <n v="2"/>
    <x v="1"/>
    <s v="Good"/>
    <x v="0"/>
    <x v="0"/>
    <x v="0"/>
    <x v="0"/>
    <x v="1"/>
  </r>
  <r>
    <x v="0"/>
    <s v="No"/>
    <x v="0"/>
    <n v="1"/>
    <s v="Female"/>
    <x v="4"/>
    <x v="0"/>
    <x v="3"/>
    <n v="15972"/>
    <n v="14"/>
    <x v="1"/>
    <n v="3"/>
    <n v="29"/>
    <n v="2"/>
    <n v="3"/>
    <x v="3"/>
    <n v="2"/>
    <x v="1"/>
    <s v="Good"/>
    <x v="0"/>
    <x v="0"/>
    <x v="0"/>
    <x v="0"/>
    <x v="1"/>
  </r>
  <r>
    <x v="0"/>
    <s v="Yes"/>
    <x v="0"/>
    <n v="1"/>
    <s v="Female"/>
    <x v="1"/>
    <x v="3"/>
    <x v="3"/>
    <n v="2174"/>
    <n v="11"/>
    <x v="1"/>
    <n v="0"/>
    <n v="3"/>
    <n v="3"/>
    <n v="3"/>
    <x v="3"/>
    <n v="2"/>
    <x v="1"/>
    <s v="Good"/>
    <x v="0"/>
    <x v="0"/>
    <x v="0"/>
    <x v="0"/>
    <x v="1"/>
  </r>
  <r>
    <x v="0"/>
    <s v="No"/>
    <x v="1"/>
    <n v="1"/>
    <s v="Female"/>
    <x v="1"/>
    <x v="1"/>
    <x v="1"/>
    <n v="3591"/>
    <n v="25"/>
    <x v="0"/>
    <n v="1"/>
    <n v="3"/>
    <n v="3"/>
    <n v="3"/>
    <x v="3"/>
    <n v="2"/>
    <x v="1"/>
    <s v="Good"/>
    <x v="0"/>
    <x v="0"/>
    <x v="0"/>
    <x v="0"/>
    <x v="0"/>
  </r>
  <r>
    <x v="0"/>
    <s v="No"/>
    <x v="0"/>
    <n v="1"/>
    <s v="Male"/>
    <x v="1"/>
    <x v="3"/>
    <x v="3"/>
    <n v="2983"/>
    <n v="14"/>
    <x v="1"/>
    <n v="0"/>
    <n v="4"/>
    <n v="3"/>
    <n v="3"/>
    <x v="3"/>
    <n v="2"/>
    <x v="1"/>
    <s v="Good"/>
    <x v="0"/>
    <x v="0"/>
    <x v="0"/>
    <x v="0"/>
    <x v="1"/>
  </r>
  <r>
    <x v="0"/>
    <s v="Yes"/>
    <x v="1"/>
    <n v="1"/>
    <s v="Female"/>
    <x v="1"/>
    <x v="2"/>
    <x v="3"/>
    <n v="2422"/>
    <n v="17"/>
    <x v="1"/>
    <n v="0"/>
    <n v="4"/>
    <n v="3"/>
    <n v="3"/>
    <x v="3"/>
    <n v="2"/>
    <x v="1"/>
    <s v="Good"/>
    <x v="0"/>
    <x v="0"/>
    <x v="0"/>
    <x v="0"/>
    <x v="1"/>
  </r>
  <r>
    <x v="0"/>
    <s v="No"/>
    <x v="1"/>
    <n v="1"/>
    <s v="Male"/>
    <x v="1"/>
    <x v="1"/>
    <x v="2"/>
    <n v="3944"/>
    <n v="11"/>
    <x v="1"/>
    <n v="0"/>
    <n v="6"/>
    <n v="3"/>
    <n v="3"/>
    <x v="3"/>
    <n v="2"/>
    <x v="1"/>
    <s v="Good"/>
    <x v="0"/>
    <x v="0"/>
    <x v="0"/>
    <x v="0"/>
    <x v="1"/>
  </r>
  <r>
    <x v="0"/>
    <s v="No"/>
    <x v="0"/>
    <n v="1"/>
    <s v="Female"/>
    <x v="2"/>
    <x v="5"/>
    <x v="0"/>
    <n v="6538"/>
    <n v="15"/>
    <x v="1"/>
    <n v="1"/>
    <n v="6"/>
    <n v="3"/>
    <n v="3"/>
    <x v="3"/>
    <n v="2"/>
    <x v="1"/>
    <s v="Good"/>
    <x v="0"/>
    <x v="0"/>
    <x v="0"/>
    <x v="0"/>
    <x v="1"/>
  </r>
  <r>
    <x v="0"/>
    <s v="No"/>
    <x v="1"/>
    <n v="1"/>
    <s v="Female"/>
    <x v="1"/>
    <x v="1"/>
    <x v="3"/>
    <n v="2622"/>
    <n v="21"/>
    <x v="0"/>
    <n v="0"/>
    <n v="7"/>
    <n v="3"/>
    <n v="3"/>
    <x v="3"/>
    <n v="2"/>
    <x v="1"/>
    <s v="Good"/>
    <x v="0"/>
    <x v="0"/>
    <x v="0"/>
    <x v="0"/>
    <x v="0"/>
  </r>
  <r>
    <x v="0"/>
    <s v="No"/>
    <x v="1"/>
    <n v="1"/>
    <s v="Female"/>
    <x v="1"/>
    <x v="1"/>
    <x v="3"/>
    <n v="2311"/>
    <n v="15"/>
    <x v="1"/>
    <n v="0"/>
    <n v="9"/>
    <n v="3"/>
    <n v="3"/>
    <x v="3"/>
    <n v="2"/>
    <x v="1"/>
    <s v="Good"/>
    <x v="0"/>
    <x v="0"/>
    <x v="0"/>
    <x v="0"/>
    <x v="1"/>
  </r>
  <r>
    <x v="0"/>
    <s v="No"/>
    <x v="1"/>
    <n v="1"/>
    <s v="Female"/>
    <x v="2"/>
    <x v="2"/>
    <x v="1"/>
    <n v="4789"/>
    <n v="25"/>
    <x v="0"/>
    <n v="1"/>
    <n v="10"/>
    <n v="3"/>
    <n v="3"/>
    <x v="3"/>
    <n v="2"/>
    <x v="1"/>
    <s v="Good"/>
    <x v="0"/>
    <x v="0"/>
    <x v="0"/>
    <x v="0"/>
    <x v="0"/>
  </r>
  <r>
    <x v="0"/>
    <s v="No"/>
    <x v="0"/>
    <n v="1"/>
    <s v="Female"/>
    <x v="0"/>
    <x v="5"/>
    <x v="2"/>
    <n v="9071"/>
    <n v="19"/>
    <x v="1"/>
    <n v="1"/>
    <n v="15"/>
    <n v="3"/>
    <n v="3"/>
    <x v="3"/>
    <n v="2"/>
    <x v="1"/>
    <s v="Good"/>
    <x v="0"/>
    <x v="0"/>
    <x v="0"/>
    <x v="0"/>
    <x v="1"/>
  </r>
  <r>
    <x v="0"/>
    <s v="No"/>
    <x v="1"/>
    <n v="1"/>
    <s v="Male"/>
    <x v="1"/>
    <x v="2"/>
    <x v="0"/>
    <n v="4621"/>
    <n v="19"/>
    <x v="1"/>
    <n v="3"/>
    <n v="3"/>
    <n v="4"/>
    <n v="3"/>
    <x v="3"/>
    <n v="2"/>
    <x v="1"/>
    <s v="Good"/>
    <x v="0"/>
    <x v="0"/>
    <x v="0"/>
    <x v="0"/>
    <x v="1"/>
  </r>
  <r>
    <x v="0"/>
    <s v="No"/>
    <x v="0"/>
    <n v="1"/>
    <s v="Male"/>
    <x v="2"/>
    <x v="5"/>
    <x v="3"/>
    <n v="4851"/>
    <n v="22"/>
    <x v="0"/>
    <n v="1"/>
    <n v="4"/>
    <n v="4"/>
    <n v="3"/>
    <x v="3"/>
    <n v="2"/>
    <x v="1"/>
    <s v="Good"/>
    <x v="0"/>
    <x v="0"/>
    <x v="0"/>
    <x v="0"/>
    <x v="0"/>
  </r>
  <r>
    <x v="0"/>
    <s v="No"/>
    <x v="1"/>
    <n v="1"/>
    <s v="Male"/>
    <x v="1"/>
    <x v="1"/>
    <x v="2"/>
    <n v="2201"/>
    <n v="16"/>
    <x v="1"/>
    <n v="0"/>
    <n v="6"/>
    <n v="4"/>
    <n v="3"/>
    <x v="3"/>
    <n v="2"/>
    <x v="1"/>
    <s v="Good"/>
    <x v="0"/>
    <x v="0"/>
    <x v="0"/>
    <x v="0"/>
    <x v="1"/>
  </r>
  <r>
    <x v="0"/>
    <s v="No"/>
    <x v="2"/>
    <n v="1"/>
    <s v="Male"/>
    <x v="2"/>
    <x v="8"/>
    <x v="3"/>
    <n v="6430"/>
    <n v="19"/>
    <x v="1"/>
    <n v="1"/>
    <n v="10"/>
    <n v="4"/>
    <n v="3"/>
    <x v="3"/>
    <n v="2"/>
    <x v="1"/>
    <s v="Good"/>
    <x v="0"/>
    <x v="0"/>
    <x v="0"/>
    <x v="0"/>
    <x v="1"/>
  </r>
  <r>
    <x v="0"/>
    <s v="No"/>
    <x v="1"/>
    <n v="1"/>
    <s v="Female"/>
    <x v="3"/>
    <x v="7"/>
    <x v="1"/>
    <n v="18665"/>
    <n v="11"/>
    <x v="1"/>
    <n v="0"/>
    <n v="22"/>
    <n v="4"/>
    <n v="3"/>
    <x v="3"/>
    <n v="2"/>
    <x v="1"/>
    <s v="Good"/>
    <x v="0"/>
    <x v="0"/>
    <x v="0"/>
    <x v="0"/>
    <x v="1"/>
  </r>
  <r>
    <x v="0"/>
    <s v="No"/>
    <x v="1"/>
    <n v="1"/>
    <s v="Male"/>
    <x v="0"/>
    <x v="6"/>
    <x v="3"/>
    <n v="10976"/>
    <n v="18"/>
    <x v="1"/>
    <n v="1"/>
    <n v="23"/>
    <n v="4"/>
    <n v="3"/>
    <x v="3"/>
    <n v="2"/>
    <x v="1"/>
    <s v="Good"/>
    <x v="0"/>
    <x v="0"/>
    <x v="0"/>
    <x v="0"/>
    <x v="1"/>
  </r>
  <r>
    <x v="0"/>
    <s v="No"/>
    <x v="1"/>
    <n v="1"/>
    <s v="Female"/>
    <x v="1"/>
    <x v="1"/>
    <x v="2"/>
    <n v="3760"/>
    <n v="15"/>
    <x v="1"/>
    <n v="3"/>
    <n v="3"/>
    <n v="5"/>
    <n v="3"/>
    <x v="3"/>
    <n v="2"/>
    <x v="1"/>
    <s v="Good"/>
    <x v="0"/>
    <x v="0"/>
    <x v="0"/>
    <x v="0"/>
    <x v="1"/>
  </r>
  <r>
    <x v="0"/>
    <s v="No"/>
    <x v="2"/>
    <n v="1"/>
    <s v="Male"/>
    <x v="1"/>
    <x v="8"/>
    <x v="0"/>
    <n v="2696"/>
    <n v="11"/>
    <x v="1"/>
    <n v="1"/>
    <n v="4"/>
    <n v="5"/>
    <n v="3"/>
    <x v="3"/>
    <n v="2"/>
    <x v="1"/>
    <s v="Good"/>
    <x v="0"/>
    <x v="0"/>
    <x v="0"/>
    <x v="0"/>
    <x v="1"/>
  </r>
  <r>
    <x v="0"/>
    <s v="No"/>
    <x v="1"/>
    <n v="1"/>
    <s v="Female"/>
    <x v="2"/>
    <x v="6"/>
    <x v="0"/>
    <n v="4374"/>
    <n v="15"/>
    <x v="1"/>
    <n v="0"/>
    <n v="4"/>
    <n v="6"/>
    <n v="3"/>
    <x v="3"/>
    <n v="2"/>
    <x v="1"/>
    <s v="Good"/>
    <x v="0"/>
    <x v="0"/>
    <x v="0"/>
    <x v="0"/>
    <x v="1"/>
  </r>
  <r>
    <x v="0"/>
    <s v="No"/>
    <x v="1"/>
    <n v="1"/>
    <s v="Male"/>
    <x v="1"/>
    <x v="1"/>
    <x v="0"/>
    <n v="3375"/>
    <n v="12"/>
    <x v="1"/>
    <n v="0"/>
    <n v="4"/>
    <n v="2"/>
    <n v="4"/>
    <x v="3"/>
    <n v="2"/>
    <x v="1"/>
    <s v="Good"/>
    <x v="0"/>
    <x v="0"/>
    <x v="0"/>
    <x v="0"/>
    <x v="1"/>
  </r>
  <r>
    <x v="0"/>
    <s v="No"/>
    <x v="1"/>
    <n v="1"/>
    <s v="Male"/>
    <x v="2"/>
    <x v="6"/>
    <x v="2"/>
    <n v="4262"/>
    <n v="12"/>
    <x v="1"/>
    <n v="2"/>
    <n v="8"/>
    <n v="2"/>
    <n v="4"/>
    <x v="3"/>
    <n v="2"/>
    <x v="1"/>
    <s v="Good"/>
    <x v="0"/>
    <x v="0"/>
    <x v="0"/>
    <x v="0"/>
    <x v="1"/>
  </r>
  <r>
    <x v="0"/>
    <s v="Yes"/>
    <x v="0"/>
    <n v="1"/>
    <s v="Male"/>
    <x v="1"/>
    <x v="3"/>
    <x v="0"/>
    <n v="2909"/>
    <n v="15"/>
    <x v="1"/>
    <n v="1"/>
    <n v="5"/>
    <n v="3"/>
    <n v="4"/>
    <x v="3"/>
    <n v="2"/>
    <x v="1"/>
    <s v="Good"/>
    <x v="0"/>
    <x v="0"/>
    <x v="0"/>
    <x v="0"/>
    <x v="1"/>
  </r>
  <r>
    <x v="0"/>
    <s v="No"/>
    <x v="1"/>
    <n v="1"/>
    <s v="Female"/>
    <x v="1"/>
    <x v="1"/>
    <x v="1"/>
    <n v="2066"/>
    <n v="22"/>
    <x v="0"/>
    <n v="1"/>
    <n v="5"/>
    <n v="3"/>
    <n v="4"/>
    <x v="3"/>
    <n v="2"/>
    <x v="1"/>
    <s v="Good"/>
    <x v="0"/>
    <x v="0"/>
    <x v="0"/>
    <x v="0"/>
    <x v="0"/>
  </r>
  <r>
    <x v="0"/>
    <s v="No"/>
    <x v="1"/>
    <n v="1"/>
    <s v="Female"/>
    <x v="4"/>
    <x v="7"/>
    <x v="3"/>
    <n v="16422"/>
    <n v="11"/>
    <x v="1"/>
    <n v="0"/>
    <n v="9"/>
    <n v="3"/>
    <n v="4"/>
    <x v="3"/>
    <n v="2"/>
    <x v="1"/>
    <s v="Good"/>
    <x v="0"/>
    <x v="0"/>
    <x v="0"/>
    <x v="0"/>
    <x v="1"/>
  </r>
  <r>
    <x v="0"/>
    <s v="No"/>
    <x v="1"/>
    <n v="1"/>
    <s v="Male"/>
    <x v="2"/>
    <x v="2"/>
    <x v="3"/>
    <n v="2042"/>
    <n v="12"/>
    <x v="1"/>
    <n v="1"/>
    <n v="17"/>
    <n v="3"/>
    <n v="4"/>
    <x v="3"/>
    <n v="2"/>
    <x v="1"/>
    <s v="Good"/>
    <x v="0"/>
    <x v="0"/>
    <x v="0"/>
    <x v="0"/>
    <x v="1"/>
  </r>
  <r>
    <x v="0"/>
    <s v="No"/>
    <x v="1"/>
    <n v="1"/>
    <s v="Male"/>
    <x v="1"/>
    <x v="1"/>
    <x v="0"/>
    <n v="3230"/>
    <n v="17"/>
    <x v="1"/>
    <n v="0"/>
    <n v="3"/>
    <n v="4"/>
    <n v="4"/>
    <x v="3"/>
    <n v="2"/>
    <x v="1"/>
    <s v="Good"/>
    <x v="0"/>
    <x v="0"/>
    <x v="0"/>
    <x v="0"/>
    <x v="1"/>
  </r>
  <r>
    <x v="0"/>
    <s v="Yes"/>
    <x v="1"/>
    <n v="1"/>
    <s v="Male"/>
    <x v="1"/>
    <x v="2"/>
    <x v="1"/>
    <n v="2362"/>
    <n v="12"/>
    <x v="1"/>
    <n v="0"/>
    <n v="10"/>
    <n v="4"/>
    <n v="4"/>
    <x v="3"/>
    <n v="2"/>
    <x v="1"/>
    <s v="Good"/>
    <x v="0"/>
    <x v="0"/>
    <x v="0"/>
    <x v="0"/>
    <x v="1"/>
  </r>
  <r>
    <x v="0"/>
    <s v="No"/>
    <x v="0"/>
    <n v="1"/>
    <s v="Female"/>
    <x v="2"/>
    <x v="5"/>
    <x v="3"/>
    <n v="4198"/>
    <n v="12"/>
    <x v="1"/>
    <n v="0"/>
    <n v="8"/>
    <n v="5"/>
    <n v="4"/>
    <x v="3"/>
    <n v="2"/>
    <x v="1"/>
    <s v="Good"/>
    <x v="0"/>
    <x v="0"/>
    <x v="0"/>
    <x v="0"/>
    <x v="1"/>
  </r>
  <r>
    <x v="0"/>
    <s v="No"/>
    <x v="0"/>
    <n v="1"/>
    <s v="Male"/>
    <x v="2"/>
    <x v="5"/>
    <x v="3"/>
    <n v="5507"/>
    <n v="16"/>
    <x v="1"/>
    <n v="2"/>
    <n v="12"/>
    <n v="1"/>
    <n v="1"/>
    <x v="11"/>
    <n v="2"/>
    <x v="1"/>
    <s v="Bad"/>
    <x v="2"/>
    <x v="0"/>
    <x v="0"/>
    <x v="0"/>
    <x v="1"/>
  </r>
  <r>
    <x v="0"/>
    <s v="No"/>
    <x v="1"/>
    <n v="1"/>
    <s v="Male"/>
    <x v="1"/>
    <x v="1"/>
    <x v="2"/>
    <n v="2580"/>
    <n v="13"/>
    <x v="1"/>
    <n v="0"/>
    <n v="6"/>
    <n v="0"/>
    <n v="2"/>
    <x v="11"/>
    <n v="2"/>
    <x v="1"/>
    <s v="Bad"/>
    <x v="2"/>
    <x v="0"/>
    <x v="0"/>
    <x v="0"/>
    <x v="1"/>
  </r>
  <r>
    <x v="0"/>
    <s v="Yes"/>
    <x v="2"/>
    <n v="1"/>
    <s v="Female"/>
    <x v="1"/>
    <x v="8"/>
    <x v="2"/>
    <n v="2180"/>
    <n v="11"/>
    <x v="1"/>
    <n v="1"/>
    <n v="6"/>
    <n v="0"/>
    <n v="2"/>
    <x v="11"/>
    <n v="2"/>
    <x v="1"/>
    <s v="Bad"/>
    <x v="2"/>
    <x v="0"/>
    <x v="0"/>
    <x v="0"/>
    <x v="1"/>
  </r>
  <r>
    <x v="0"/>
    <s v="No"/>
    <x v="1"/>
    <n v="1"/>
    <s v="Female"/>
    <x v="1"/>
    <x v="1"/>
    <x v="0"/>
    <n v="2814"/>
    <n v="14"/>
    <x v="1"/>
    <n v="0"/>
    <n v="4"/>
    <n v="2"/>
    <n v="2"/>
    <x v="11"/>
    <n v="2"/>
    <x v="1"/>
    <s v="Bad"/>
    <x v="2"/>
    <x v="0"/>
    <x v="0"/>
    <x v="0"/>
    <x v="1"/>
  </r>
  <r>
    <x v="0"/>
    <s v="No"/>
    <x v="1"/>
    <n v="1"/>
    <s v="Male"/>
    <x v="1"/>
    <x v="1"/>
    <x v="2"/>
    <n v="2326"/>
    <n v="12"/>
    <x v="1"/>
    <n v="3"/>
    <n v="4"/>
    <n v="3"/>
    <n v="2"/>
    <x v="11"/>
    <n v="2"/>
    <x v="1"/>
    <s v="Bad"/>
    <x v="2"/>
    <x v="0"/>
    <x v="0"/>
    <x v="0"/>
    <x v="1"/>
  </r>
  <r>
    <x v="0"/>
    <s v="No"/>
    <x v="1"/>
    <n v="1"/>
    <s v="Male"/>
    <x v="3"/>
    <x v="7"/>
    <x v="1"/>
    <n v="19406"/>
    <n v="11"/>
    <x v="1"/>
    <n v="1"/>
    <n v="24"/>
    <n v="4"/>
    <n v="2"/>
    <x v="11"/>
    <n v="2"/>
    <x v="1"/>
    <s v="Bad"/>
    <x v="2"/>
    <x v="0"/>
    <x v="0"/>
    <x v="0"/>
    <x v="1"/>
  </r>
  <r>
    <x v="0"/>
    <s v="No"/>
    <x v="1"/>
    <n v="1"/>
    <s v="Female"/>
    <x v="2"/>
    <x v="6"/>
    <x v="0"/>
    <n v="4011"/>
    <n v="18"/>
    <x v="1"/>
    <n v="1"/>
    <n v="5"/>
    <n v="5"/>
    <n v="2"/>
    <x v="11"/>
    <n v="2"/>
    <x v="1"/>
    <s v="Bad"/>
    <x v="2"/>
    <x v="0"/>
    <x v="0"/>
    <x v="0"/>
    <x v="1"/>
  </r>
  <r>
    <x v="0"/>
    <s v="No"/>
    <x v="1"/>
    <n v="1"/>
    <s v="Male"/>
    <x v="1"/>
    <x v="1"/>
    <x v="2"/>
    <n v="2045"/>
    <n v="13"/>
    <x v="1"/>
    <n v="0"/>
    <n v="5"/>
    <n v="0"/>
    <n v="3"/>
    <x v="11"/>
    <n v="2"/>
    <x v="1"/>
    <s v="Good"/>
    <x v="2"/>
    <x v="0"/>
    <x v="0"/>
    <x v="0"/>
    <x v="1"/>
  </r>
  <r>
    <x v="0"/>
    <s v="No"/>
    <x v="1"/>
    <n v="1"/>
    <s v="Male"/>
    <x v="1"/>
    <x v="1"/>
    <x v="3"/>
    <n v="3537"/>
    <n v="12"/>
    <x v="1"/>
    <n v="1"/>
    <n v="8"/>
    <n v="1"/>
    <n v="3"/>
    <x v="11"/>
    <n v="2"/>
    <x v="1"/>
    <s v="Good"/>
    <x v="2"/>
    <x v="0"/>
    <x v="0"/>
    <x v="0"/>
    <x v="1"/>
  </r>
  <r>
    <x v="0"/>
    <s v="Yes"/>
    <x v="0"/>
    <n v="1"/>
    <s v="Male"/>
    <x v="2"/>
    <x v="5"/>
    <x v="0"/>
    <n v="4707"/>
    <n v="12"/>
    <x v="1"/>
    <n v="0"/>
    <n v="6"/>
    <n v="2"/>
    <n v="3"/>
    <x v="11"/>
    <n v="2"/>
    <x v="1"/>
    <s v="Good"/>
    <x v="2"/>
    <x v="0"/>
    <x v="0"/>
    <x v="0"/>
    <x v="1"/>
  </r>
  <r>
    <x v="0"/>
    <s v="Yes"/>
    <x v="1"/>
    <n v="1"/>
    <s v="Male"/>
    <x v="1"/>
    <x v="1"/>
    <x v="1"/>
    <n v="2960"/>
    <n v="11"/>
    <x v="1"/>
    <n v="0"/>
    <n v="8"/>
    <n v="2"/>
    <n v="3"/>
    <x v="11"/>
    <n v="2"/>
    <x v="1"/>
    <s v="Good"/>
    <x v="2"/>
    <x v="0"/>
    <x v="0"/>
    <x v="0"/>
    <x v="1"/>
  </r>
  <r>
    <x v="0"/>
    <s v="No"/>
    <x v="1"/>
    <n v="1"/>
    <s v="Female"/>
    <x v="1"/>
    <x v="1"/>
    <x v="2"/>
    <n v="3280"/>
    <n v="16"/>
    <x v="1"/>
    <n v="0"/>
    <n v="10"/>
    <n v="2"/>
    <n v="3"/>
    <x v="11"/>
    <n v="2"/>
    <x v="1"/>
    <s v="Good"/>
    <x v="2"/>
    <x v="0"/>
    <x v="0"/>
    <x v="0"/>
    <x v="1"/>
  </r>
  <r>
    <x v="0"/>
    <s v="No"/>
    <x v="1"/>
    <n v="1"/>
    <s v="Female"/>
    <x v="4"/>
    <x v="7"/>
    <x v="3"/>
    <n v="16413"/>
    <n v="16"/>
    <x v="1"/>
    <n v="2"/>
    <n v="27"/>
    <n v="2"/>
    <n v="3"/>
    <x v="11"/>
    <n v="2"/>
    <x v="1"/>
    <s v="Good"/>
    <x v="2"/>
    <x v="0"/>
    <x v="0"/>
    <x v="0"/>
    <x v="1"/>
  </r>
  <r>
    <x v="0"/>
    <s v="Yes"/>
    <x v="1"/>
    <n v="1"/>
    <s v="Male"/>
    <x v="1"/>
    <x v="2"/>
    <x v="2"/>
    <n v="2587"/>
    <n v="16"/>
    <x v="1"/>
    <n v="0"/>
    <n v="5"/>
    <n v="3"/>
    <n v="3"/>
    <x v="11"/>
    <n v="2"/>
    <x v="1"/>
    <s v="Good"/>
    <x v="2"/>
    <x v="0"/>
    <x v="0"/>
    <x v="0"/>
    <x v="1"/>
  </r>
  <r>
    <x v="0"/>
    <s v="No"/>
    <x v="0"/>
    <n v="1"/>
    <s v="Male"/>
    <x v="2"/>
    <x v="5"/>
    <x v="2"/>
    <n v="4342"/>
    <n v="19"/>
    <x v="1"/>
    <n v="1"/>
    <n v="5"/>
    <n v="3"/>
    <n v="3"/>
    <x v="11"/>
    <n v="2"/>
    <x v="1"/>
    <s v="Good"/>
    <x v="2"/>
    <x v="0"/>
    <x v="0"/>
    <x v="0"/>
    <x v="1"/>
  </r>
  <r>
    <x v="0"/>
    <s v="No"/>
    <x v="1"/>
    <n v="1"/>
    <s v="Female"/>
    <x v="2"/>
    <x v="6"/>
    <x v="1"/>
    <n v="4450"/>
    <n v="11"/>
    <x v="1"/>
    <n v="2"/>
    <n v="5"/>
    <n v="3"/>
    <n v="3"/>
    <x v="11"/>
    <n v="2"/>
    <x v="1"/>
    <s v="Good"/>
    <x v="2"/>
    <x v="0"/>
    <x v="0"/>
    <x v="0"/>
    <x v="1"/>
  </r>
  <r>
    <x v="0"/>
    <s v="No"/>
    <x v="1"/>
    <n v="1"/>
    <s v="Female"/>
    <x v="2"/>
    <x v="6"/>
    <x v="0"/>
    <n v="4898"/>
    <n v="12"/>
    <x v="1"/>
    <n v="2"/>
    <n v="5"/>
    <n v="3"/>
    <n v="3"/>
    <x v="11"/>
    <n v="2"/>
    <x v="1"/>
    <s v="Good"/>
    <x v="2"/>
    <x v="0"/>
    <x v="0"/>
    <x v="0"/>
    <x v="1"/>
  </r>
  <r>
    <x v="0"/>
    <s v="No"/>
    <x v="0"/>
    <n v="1"/>
    <s v="Male"/>
    <x v="0"/>
    <x v="5"/>
    <x v="3"/>
    <n v="9250"/>
    <n v="12"/>
    <x v="1"/>
    <n v="1"/>
    <n v="9"/>
    <n v="3"/>
    <n v="3"/>
    <x v="11"/>
    <n v="2"/>
    <x v="1"/>
    <s v="Good"/>
    <x v="2"/>
    <x v="0"/>
    <x v="0"/>
    <x v="0"/>
    <x v="1"/>
  </r>
  <r>
    <x v="0"/>
    <s v="No"/>
    <x v="1"/>
    <n v="1"/>
    <s v="Male"/>
    <x v="1"/>
    <x v="1"/>
    <x v="1"/>
    <n v="2439"/>
    <n v="14"/>
    <x v="1"/>
    <n v="0"/>
    <n v="4"/>
    <n v="4"/>
    <n v="3"/>
    <x v="11"/>
    <n v="2"/>
    <x v="1"/>
    <s v="Good"/>
    <x v="2"/>
    <x v="0"/>
    <x v="0"/>
    <x v="0"/>
    <x v="1"/>
  </r>
  <r>
    <x v="0"/>
    <s v="No"/>
    <x v="0"/>
    <n v="1"/>
    <s v="Male"/>
    <x v="2"/>
    <x v="5"/>
    <x v="1"/>
    <n v="4898"/>
    <n v="14"/>
    <x v="1"/>
    <n v="0"/>
    <n v="5"/>
    <n v="5"/>
    <n v="3"/>
    <x v="11"/>
    <n v="2"/>
    <x v="1"/>
    <s v="Good"/>
    <x v="2"/>
    <x v="0"/>
    <x v="0"/>
    <x v="0"/>
    <x v="1"/>
  </r>
  <r>
    <x v="0"/>
    <s v="No"/>
    <x v="1"/>
    <n v="1"/>
    <s v="Male"/>
    <x v="2"/>
    <x v="4"/>
    <x v="2"/>
    <n v="6465"/>
    <n v="13"/>
    <x v="1"/>
    <n v="0"/>
    <n v="9"/>
    <n v="5"/>
    <n v="4"/>
    <x v="11"/>
    <n v="2"/>
    <x v="1"/>
    <s v="Good"/>
    <x v="2"/>
    <x v="0"/>
    <x v="0"/>
    <x v="0"/>
    <x v="1"/>
  </r>
  <r>
    <x v="0"/>
    <s v="No"/>
    <x v="1"/>
    <n v="1"/>
    <s v="Female"/>
    <x v="4"/>
    <x v="0"/>
    <x v="2"/>
    <n v="16555"/>
    <n v="13"/>
    <x v="1"/>
    <n v="0"/>
    <n v="31"/>
    <n v="2"/>
    <n v="1"/>
    <x v="4"/>
    <n v="2"/>
    <x v="1"/>
    <s v="Bad"/>
    <x v="1"/>
    <x v="0"/>
    <x v="0"/>
    <x v="0"/>
    <x v="1"/>
  </r>
  <r>
    <x v="0"/>
    <s v="No"/>
    <x v="1"/>
    <n v="1"/>
    <s v="Male"/>
    <x v="1"/>
    <x v="1"/>
    <x v="3"/>
    <n v="3420"/>
    <n v="13"/>
    <x v="1"/>
    <n v="0"/>
    <n v="6"/>
    <n v="3"/>
    <n v="2"/>
    <x v="4"/>
    <n v="2"/>
    <x v="1"/>
    <s v="Bad"/>
    <x v="1"/>
    <x v="0"/>
    <x v="0"/>
    <x v="0"/>
    <x v="1"/>
  </r>
  <r>
    <x v="0"/>
    <s v="No"/>
    <x v="1"/>
    <n v="1"/>
    <s v="Male"/>
    <x v="1"/>
    <x v="1"/>
    <x v="3"/>
    <n v="3058"/>
    <n v="16"/>
    <x v="1"/>
    <n v="1"/>
    <n v="6"/>
    <n v="3"/>
    <n v="2"/>
    <x v="4"/>
    <n v="2"/>
    <x v="1"/>
    <s v="Bad"/>
    <x v="1"/>
    <x v="0"/>
    <x v="0"/>
    <x v="0"/>
    <x v="1"/>
  </r>
  <r>
    <x v="0"/>
    <s v="No"/>
    <x v="1"/>
    <n v="1"/>
    <s v="Male"/>
    <x v="1"/>
    <x v="1"/>
    <x v="0"/>
    <n v="3433"/>
    <n v="13"/>
    <x v="1"/>
    <n v="1"/>
    <n v="10"/>
    <n v="3"/>
    <n v="2"/>
    <x v="4"/>
    <n v="2"/>
    <x v="1"/>
    <s v="Bad"/>
    <x v="1"/>
    <x v="0"/>
    <x v="0"/>
    <x v="0"/>
    <x v="1"/>
  </r>
  <r>
    <x v="0"/>
    <s v="No"/>
    <x v="1"/>
    <n v="1"/>
    <s v="Male"/>
    <x v="2"/>
    <x v="6"/>
    <x v="3"/>
    <n v="4325"/>
    <n v="15"/>
    <x v="1"/>
    <n v="0"/>
    <n v="5"/>
    <n v="2"/>
    <n v="3"/>
    <x v="4"/>
    <n v="2"/>
    <x v="1"/>
    <s v="Good"/>
    <x v="1"/>
    <x v="0"/>
    <x v="0"/>
    <x v="0"/>
    <x v="1"/>
  </r>
  <r>
    <x v="0"/>
    <s v="Yes"/>
    <x v="1"/>
    <n v="1"/>
    <s v="Male"/>
    <x v="2"/>
    <x v="6"/>
    <x v="3"/>
    <n v="4855"/>
    <n v="11"/>
    <x v="1"/>
    <n v="2"/>
    <n v="7"/>
    <n v="2"/>
    <n v="3"/>
    <x v="4"/>
    <n v="2"/>
    <x v="1"/>
    <s v="Good"/>
    <x v="1"/>
    <x v="0"/>
    <x v="0"/>
    <x v="0"/>
    <x v="1"/>
  </r>
  <r>
    <x v="0"/>
    <s v="No"/>
    <x v="0"/>
    <n v="1"/>
    <s v="Male"/>
    <x v="2"/>
    <x v="5"/>
    <x v="0"/>
    <n v="5869"/>
    <n v="11"/>
    <x v="1"/>
    <n v="0"/>
    <n v="8"/>
    <n v="2"/>
    <n v="3"/>
    <x v="4"/>
    <n v="2"/>
    <x v="1"/>
    <s v="Good"/>
    <x v="1"/>
    <x v="0"/>
    <x v="0"/>
    <x v="0"/>
    <x v="1"/>
  </r>
  <r>
    <x v="0"/>
    <s v="No"/>
    <x v="0"/>
    <n v="1"/>
    <s v="Female"/>
    <x v="2"/>
    <x v="5"/>
    <x v="2"/>
    <n v="6583"/>
    <n v="11"/>
    <x v="1"/>
    <n v="1"/>
    <n v="8"/>
    <n v="2"/>
    <n v="3"/>
    <x v="4"/>
    <n v="2"/>
    <x v="1"/>
    <s v="Good"/>
    <x v="1"/>
    <x v="0"/>
    <x v="0"/>
    <x v="0"/>
    <x v="1"/>
  </r>
  <r>
    <x v="0"/>
    <s v="Yes"/>
    <x v="1"/>
    <n v="1"/>
    <s v="Male"/>
    <x v="3"/>
    <x v="0"/>
    <x v="1"/>
    <n v="19859"/>
    <n v="13"/>
    <x v="1"/>
    <n v="1"/>
    <n v="24"/>
    <n v="2"/>
    <n v="3"/>
    <x v="4"/>
    <n v="2"/>
    <x v="1"/>
    <s v="Good"/>
    <x v="1"/>
    <x v="0"/>
    <x v="0"/>
    <x v="0"/>
    <x v="1"/>
  </r>
  <r>
    <x v="0"/>
    <s v="No"/>
    <x v="2"/>
    <n v="1"/>
    <s v="Female"/>
    <x v="3"/>
    <x v="0"/>
    <x v="0"/>
    <n v="19658"/>
    <n v="11"/>
    <x v="1"/>
    <n v="1"/>
    <n v="27"/>
    <n v="2"/>
    <n v="3"/>
    <x v="4"/>
    <n v="2"/>
    <x v="1"/>
    <s v="Good"/>
    <x v="1"/>
    <x v="0"/>
    <x v="0"/>
    <x v="0"/>
    <x v="1"/>
  </r>
  <r>
    <x v="0"/>
    <s v="No"/>
    <x v="0"/>
    <n v="1"/>
    <s v="Female"/>
    <x v="2"/>
    <x v="5"/>
    <x v="0"/>
    <n v="4601"/>
    <n v="16"/>
    <x v="1"/>
    <n v="0"/>
    <n v="5"/>
    <n v="3"/>
    <n v="3"/>
    <x v="4"/>
    <n v="2"/>
    <x v="1"/>
    <s v="Good"/>
    <x v="1"/>
    <x v="0"/>
    <x v="0"/>
    <x v="0"/>
    <x v="1"/>
  </r>
  <r>
    <x v="0"/>
    <s v="No"/>
    <x v="1"/>
    <n v="1"/>
    <s v="Female"/>
    <x v="1"/>
    <x v="1"/>
    <x v="2"/>
    <n v="2553"/>
    <n v="16"/>
    <x v="1"/>
    <n v="0"/>
    <n v="6"/>
    <n v="3"/>
    <n v="3"/>
    <x v="4"/>
    <n v="2"/>
    <x v="1"/>
    <s v="Good"/>
    <x v="1"/>
    <x v="0"/>
    <x v="0"/>
    <x v="0"/>
    <x v="1"/>
  </r>
  <r>
    <x v="0"/>
    <s v="No"/>
    <x v="1"/>
    <n v="1"/>
    <s v="Female"/>
    <x v="2"/>
    <x v="6"/>
    <x v="1"/>
    <n v="4440"/>
    <n v="19"/>
    <x v="1"/>
    <n v="0"/>
    <n v="9"/>
    <n v="3"/>
    <n v="3"/>
    <x v="4"/>
    <n v="2"/>
    <x v="1"/>
    <s v="Good"/>
    <x v="1"/>
    <x v="0"/>
    <x v="0"/>
    <x v="0"/>
    <x v="1"/>
  </r>
  <r>
    <x v="0"/>
    <s v="No"/>
    <x v="1"/>
    <n v="1"/>
    <s v="Female"/>
    <x v="2"/>
    <x v="2"/>
    <x v="0"/>
    <n v="3149"/>
    <n v="20"/>
    <x v="0"/>
    <n v="1"/>
    <n v="9"/>
    <n v="3"/>
    <n v="3"/>
    <x v="4"/>
    <n v="2"/>
    <x v="1"/>
    <s v="Good"/>
    <x v="1"/>
    <x v="0"/>
    <x v="0"/>
    <x v="0"/>
    <x v="0"/>
  </r>
  <r>
    <x v="0"/>
    <s v="No"/>
    <x v="1"/>
    <n v="1"/>
    <s v="Female"/>
    <x v="1"/>
    <x v="2"/>
    <x v="1"/>
    <n v="2576"/>
    <n v="16"/>
    <x v="1"/>
    <n v="1"/>
    <n v="8"/>
    <n v="5"/>
    <n v="3"/>
    <x v="4"/>
    <n v="2"/>
    <x v="1"/>
    <s v="Good"/>
    <x v="1"/>
    <x v="0"/>
    <x v="0"/>
    <x v="0"/>
    <x v="1"/>
  </r>
  <r>
    <x v="0"/>
    <s v="No"/>
    <x v="1"/>
    <n v="1"/>
    <s v="Male"/>
    <x v="1"/>
    <x v="2"/>
    <x v="0"/>
    <n v="3708"/>
    <n v="14"/>
    <x v="1"/>
    <n v="0"/>
    <n v="9"/>
    <n v="5"/>
    <n v="3"/>
    <x v="4"/>
    <n v="2"/>
    <x v="1"/>
    <s v="Good"/>
    <x v="1"/>
    <x v="0"/>
    <x v="0"/>
    <x v="0"/>
    <x v="1"/>
  </r>
  <r>
    <x v="0"/>
    <s v="No"/>
    <x v="1"/>
    <n v="1"/>
    <s v="Male"/>
    <x v="1"/>
    <x v="2"/>
    <x v="2"/>
    <n v="2647"/>
    <n v="13"/>
    <x v="1"/>
    <n v="0"/>
    <n v="5"/>
    <n v="6"/>
    <n v="4"/>
    <x v="4"/>
    <n v="2"/>
    <x v="1"/>
    <s v="Good"/>
    <x v="1"/>
    <x v="0"/>
    <x v="0"/>
    <x v="0"/>
    <x v="1"/>
  </r>
  <r>
    <x v="0"/>
    <s v="Yes"/>
    <x v="1"/>
    <n v="1"/>
    <s v="Male"/>
    <x v="1"/>
    <x v="1"/>
    <x v="0"/>
    <n v="2058"/>
    <n v="14"/>
    <x v="1"/>
    <n v="0"/>
    <n v="7"/>
    <n v="1"/>
    <n v="2"/>
    <x v="5"/>
    <n v="2"/>
    <x v="1"/>
    <s v="Bad"/>
    <x v="1"/>
    <x v="0"/>
    <x v="0"/>
    <x v="0"/>
    <x v="1"/>
  </r>
  <r>
    <x v="0"/>
    <s v="No"/>
    <x v="1"/>
    <n v="1"/>
    <s v="Female"/>
    <x v="1"/>
    <x v="1"/>
    <x v="2"/>
    <n v="3445"/>
    <n v="11"/>
    <x v="1"/>
    <n v="0"/>
    <n v="6"/>
    <n v="5"/>
    <n v="2"/>
    <x v="5"/>
    <n v="2"/>
    <x v="1"/>
    <s v="Bad"/>
    <x v="1"/>
    <x v="0"/>
    <x v="0"/>
    <x v="0"/>
    <x v="1"/>
  </r>
  <r>
    <x v="0"/>
    <s v="No"/>
    <x v="2"/>
    <n v="1"/>
    <s v="Male"/>
    <x v="1"/>
    <x v="8"/>
    <x v="3"/>
    <n v="2991"/>
    <n v="11"/>
    <x v="1"/>
    <n v="1"/>
    <n v="7"/>
    <n v="2"/>
    <n v="3"/>
    <x v="5"/>
    <n v="2"/>
    <x v="1"/>
    <s v="Good"/>
    <x v="1"/>
    <x v="0"/>
    <x v="0"/>
    <x v="0"/>
    <x v="1"/>
  </r>
  <r>
    <x v="0"/>
    <s v="No"/>
    <x v="1"/>
    <n v="1"/>
    <s v="Female"/>
    <x v="2"/>
    <x v="4"/>
    <x v="2"/>
    <n v="5731"/>
    <n v="13"/>
    <x v="1"/>
    <n v="2"/>
    <n v="9"/>
    <n v="2"/>
    <n v="3"/>
    <x v="5"/>
    <n v="2"/>
    <x v="1"/>
    <s v="Good"/>
    <x v="1"/>
    <x v="0"/>
    <x v="0"/>
    <x v="0"/>
    <x v="1"/>
  </r>
  <r>
    <x v="0"/>
    <s v="No"/>
    <x v="1"/>
    <n v="1"/>
    <s v="Female"/>
    <x v="2"/>
    <x v="2"/>
    <x v="3"/>
    <n v="4425"/>
    <n v="11"/>
    <x v="1"/>
    <n v="0"/>
    <n v="10"/>
    <n v="5"/>
    <n v="3"/>
    <x v="5"/>
    <n v="2"/>
    <x v="1"/>
    <s v="Good"/>
    <x v="1"/>
    <x v="0"/>
    <x v="0"/>
    <x v="0"/>
    <x v="1"/>
  </r>
  <r>
    <x v="0"/>
    <s v="No"/>
    <x v="1"/>
    <n v="1"/>
    <s v="Male"/>
    <x v="1"/>
    <x v="2"/>
    <x v="1"/>
    <n v="3907"/>
    <n v="13"/>
    <x v="1"/>
    <n v="3"/>
    <n v="6"/>
    <n v="2"/>
    <n v="4"/>
    <x v="5"/>
    <n v="2"/>
    <x v="1"/>
    <s v="Good"/>
    <x v="1"/>
    <x v="0"/>
    <x v="0"/>
    <x v="0"/>
    <x v="1"/>
  </r>
  <r>
    <x v="0"/>
    <s v="No"/>
    <x v="1"/>
    <n v="1"/>
    <s v="Female"/>
    <x v="1"/>
    <x v="1"/>
    <x v="3"/>
    <n v="2478"/>
    <n v="12"/>
    <x v="1"/>
    <n v="0"/>
    <n v="4"/>
    <n v="2"/>
    <n v="2"/>
    <x v="11"/>
    <n v="3"/>
    <x v="1"/>
    <s v="Bad"/>
    <x v="2"/>
    <x v="0"/>
    <x v="0"/>
    <x v="0"/>
    <x v="1"/>
  </r>
  <r>
    <x v="0"/>
    <s v="No"/>
    <x v="1"/>
    <n v="1"/>
    <s v="Male"/>
    <x v="2"/>
    <x v="4"/>
    <x v="0"/>
    <n v="4617"/>
    <n v="12"/>
    <x v="1"/>
    <n v="0"/>
    <n v="4"/>
    <n v="2"/>
    <n v="2"/>
    <x v="11"/>
    <n v="3"/>
    <x v="1"/>
    <s v="Bad"/>
    <x v="2"/>
    <x v="0"/>
    <x v="0"/>
    <x v="0"/>
    <x v="1"/>
  </r>
  <r>
    <x v="0"/>
    <s v="Yes"/>
    <x v="0"/>
    <n v="1"/>
    <s v="Male"/>
    <x v="2"/>
    <x v="5"/>
    <x v="1"/>
    <n v="5326"/>
    <n v="17"/>
    <x v="1"/>
    <n v="0"/>
    <n v="6"/>
    <n v="2"/>
    <n v="2"/>
    <x v="11"/>
    <n v="3"/>
    <x v="1"/>
    <s v="Bad"/>
    <x v="2"/>
    <x v="0"/>
    <x v="0"/>
    <x v="0"/>
    <x v="1"/>
  </r>
  <r>
    <x v="0"/>
    <s v="Yes"/>
    <x v="0"/>
    <n v="1"/>
    <s v="Female"/>
    <x v="2"/>
    <x v="5"/>
    <x v="0"/>
    <n v="5346"/>
    <n v="13"/>
    <x v="1"/>
    <n v="0"/>
    <n v="7"/>
    <n v="2"/>
    <n v="2"/>
    <x v="11"/>
    <n v="3"/>
    <x v="1"/>
    <s v="Bad"/>
    <x v="2"/>
    <x v="0"/>
    <x v="0"/>
    <x v="0"/>
    <x v="1"/>
  </r>
  <r>
    <x v="0"/>
    <s v="No"/>
    <x v="0"/>
    <n v="1"/>
    <s v="Female"/>
    <x v="2"/>
    <x v="5"/>
    <x v="1"/>
    <n v="5454"/>
    <n v="21"/>
    <x v="0"/>
    <n v="1"/>
    <n v="9"/>
    <n v="2"/>
    <n v="2"/>
    <x v="11"/>
    <n v="3"/>
    <x v="1"/>
    <s v="Bad"/>
    <x v="2"/>
    <x v="0"/>
    <x v="0"/>
    <x v="0"/>
    <x v="0"/>
  </r>
  <r>
    <x v="0"/>
    <s v="No"/>
    <x v="0"/>
    <n v="1"/>
    <s v="Female"/>
    <x v="2"/>
    <x v="5"/>
    <x v="0"/>
    <n v="5473"/>
    <n v="11"/>
    <x v="1"/>
    <n v="0"/>
    <n v="20"/>
    <n v="2"/>
    <n v="2"/>
    <x v="11"/>
    <n v="3"/>
    <x v="1"/>
    <s v="Bad"/>
    <x v="2"/>
    <x v="0"/>
    <x v="0"/>
    <x v="0"/>
    <x v="1"/>
  </r>
  <r>
    <x v="0"/>
    <s v="No"/>
    <x v="1"/>
    <n v="1"/>
    <s v="Male"/>
    <x v="1"/>
    <x v="2"/>
    <x v="1"/>
    <n v="2451"/>
    <n v="15"/>
    <x v="1"/>
    <n v="1"/>
    <n v="4"/>
    <n v="3"/>
    <n v="2"/>
    <x v="11"/>
    <n v="3"/>
    <x v="1"/>
    <s v="Bad"/>
    <x v="2"/>
    <x v="0"/>
    <x v="0"/>
    <x v="0"/>
    <x v="1"/>
  </r>
  <r>
    <x v="0"/>
    <s v="No"/>
    <x v="1"/>
    <n v="1"/>
    <s v="Male"/>
    <x v="2"/>
    <x v="1"/>
    <x v="1"/>
    <n v="5410"/>
    <n v="17"/>
    <x v="1"/>
    <n v="1"/>
    <n v="9"/>
    <n v="3"/>
    <n v="2"/>
    <x v="11"/>
    <n v="3"/>
    <x v="1"/>
    <s v="Bad"/>
    <x v="2"/>
    <x v="0"/>
    <x v="0"/>
    <x v="0"/>
    <x v="1"/>
  </r>
  <r>
    <x v="0"/>
    <s v="No"/>
    <x v="1"/>
    <n v="1"/>
    <s v="Male"/>
    <x v="2"/>
    <x v="4"/>
    <x v="1"/>
    <n v="6288"/>
    <n v="15"/>
    <x v="1"/>
    <n v="1"/>
    <n v="13"/>
    <n v="3"/>
    <n v="2"/>
    <x v="11"/>
    <n v="3"/>
    <x v="1"/>
    <s v="Bad"/>
    <x v="2"/>
    <x v="0"/>
    <x v="0"/>
    <x v="0"/>
    <x v="1"/>
  </r>
  <r>
    <x v="0"/>
    <s v="No"/>
    <x v="1"/>
    <n v="1"/>
    <s v="Male"/>
    <x v="1"/>
    <x v="1"/>
    <x v="2"/>
    <n v="3904"/>
    <n v="12"/>
    <x v="1"/>
    <n v="0"/>
    <n v="5"/>
    <n v="2"/>
    <n v="3"/>
    <x v="11"/>
    <n v="3"/>
    <x v="1"/>
    <s v="Good"/>
    <x v="2"/>
    <x v="0"/>
    <x v="0"/>
    <x v="0"/>
    <x v="1"/>
  </r>
  <r>
    <x v="0"/>
    <s v="No"/>
    <x v="1"/>
    <n v="1"/>
    <s v="Male"/>
    <x v="2"/>
    <x v="2"/>
    <x v="0"/>
    <n v="2272"/>
    <n v="14"/>
    <x v="1"/>
    <n v="0"/>
    <n v="5"/>
    <n v="2"/>
    <n v="3"/>
    <x v="11"/>
    <n v="3"/>
    <x v="1"/>
    <s v="Good"/>
    <x v="2"/>
    <x v="0"/>
    <x v="0"/>
    <x v="0"/>
    <x v="1"/>
  </r>
  <r>
    <x v="0"/>
    <s v="No"/>
    <x v="1"/>
    <n v="1"/>
    <s v="Male"/>
    <x v="1"/>
    <x v="1"/>
    <x v="2"/>
    <n v="2436"/>
    <n v="12"/>
    <x v="1"/>
    <n v="0"/>
    <n v="6"/>
    <n v="2"/>
    <n v="3"/>
    <x v="11"/>
    <n v="3"/>
    <x v="1"/>
    <s v="Good"/>
    <x v="2"/>
    <x v="0"/>
    <x v="0"/>
    <x v="0"/>
    <x v="1"/>
  </r>
  <r>
    <x v="0"/>
    <s v="No"/>
    <x v="1"/>
    <n v="1"/>
    <s v="Male"/>
    <x v="1"/>
    <x v="2"/>
    <x v="3"/>
    <n v="3597"/>
    <n v="22"/>
    <x v="0"/>
    <n v="0"/>
    <n v="6"/>
    <n v="2"/>
    <n v="3"/>
    <x v="11"/>
    <n v="3"/>
    <x v="1"/>
    <s v="Good"/>
    <x v="2"/>
    <x v="0"/>
    <x v="0"/>
    <x v="0"/>
    <x v="0"/>
  </r>
  <r>
    <x v="0"/>
    <s v="Yes"/>
    <x v="1"/>
    <n v="1"/>
    <s v="Male"/>
    <x v="1"/>
    <x v="2"/>
    <x v="2"/>
    <n v="3408"/>
    <n v="13"/>
    <x v="1"/>
    <n v="3"/>
    <n v="8"/>
    <n v="2"/>
    <n v="3"/>
    <x v="11"/>
    <n v="3"/>
    <x v="1"/>
    <s v="Good"/>
    <x v="2"/>
    <x v="0"/>
    <x v="0"/>
    <x v="0"/>
    <x v="1"/>
  </r>
  <r>
    <x v="0"/>
    <s v="No"/>
    <x v="1"/>
    <n v="1"/>
    <s v="Male"/>
    <x v="1"/>
    <x v="1"/>
    <x v="1"/>
    <n v="2996"/>
    <n v="14"/>
    <x v="1"/>
    <n v="2"/>
    <n v="10"/>
    <n v="2"/>
    <n v="3"/>
    <x v="11"/>
    <n v="3"/>
    <x v="1"/>
    <s v="Good"/>
    <x v="2"/>
    <x v="0"/>
    <x v="0"/>
    <x v="0"/>
    <x v="1"/>
  </r>
  <r>
    <x v="0"/>
    <s v="No"/>
    <x v="1"/>
    <n v="1"/>
    <s v="Male"/>
    <x v="0"/>
    <x v="4"/>
    <x v="2"/>
    <n v="7005"/>
    <n v="15"/>
    <x v="1"/>
    <n v="0"/>
    <n v="11"/>
    <n v="2"/>
    <n v="3"/>
    <x v="11"/>
    <n v="3"/>
    <x v="1"/>
    <s v="Good"/>
    <x v="2"/>
    <x v="0"/>
    <x v="0"/>
    <x v="0"/>
    <x v="1"/>
  </r>
  <r>
    <x v="0"/>
    <s v="No"/>
    <x v="1"/>
    <n v="1"/>
    <s v="Male"/>
    <x v="0"/>
    <x v="4"/>
    <x v="2"/>
    <n v="10496"/>
    <n v="15"/>
    <x v="1"/>
    <n v="0"/>
    <n v="20"/>
    <n v="2"/>
    <n v="3"/>
    <x v="11"/>
    <n v="3"/>
    <x v="1"/>
    <s v="Good"/>
    <x v="2"/>
    <x v="0"/>
    <x v="0"/>
    <x v="0"/>
    <x v="1"/>
  </r>
  <r>
    <x v="0"/>
    <s v="Yes"/>
    <x v="1"/>
    <n v="1"/>
    <s v="Male"/>
    <x v="2"/>
    <x v="2"/>
    <x v="1"/>
    <n v="4284"/>
    <n v="20"/>
    <x v="0"/>
    <n v="0"/>
    <n v="20"/>
    <n v="2"/>
    <n v="3"/>
    <x v="11"/>
    <n v="3"/>
    <x v="1"/>
    <s v="Good"/>
    <x v="2"/>
    <x v="0"/>
    <x v="0"/>
    <x v="0"/>
    <x v="0"/>
  </r>
  <r>
    <x v="0"/>
    <s v="No"/>
    <x v="1"/>
    <n v="1"/>
    <s v="Male"/>
    <x v="1"/>
    <x v="1"/>
    <x v="2"/>
    <n v="4258"/>
    <n v="18"/>
    <x v="1"/>
    <n v="1"/>
    <n v="5"/>
    <n v="3"/>
    <n v="3"/>
    <x v="11"/>
    <n v="3"/>
    <x v="1"/>
    <s v="Good"/>
    <x v="2"/>
    <x v="0"/>
    <x v="0"/>
    <x v="0"/>
    <x v="1"/>
  </r>
  <r>
    <x v="0"/>
    <s v="No"/>
    <x v="0"/>
    <n v="1"/>
    <s v="Female"/>
    <x v="1"/>
    <x v="3"/>
    <x v="0"/>
    <n v="2231"/>
    <n v="18"/>
    <x v="1"/>
    <n v="1"/>
    <n v="6"/>
    <n v="3"/>
    <n v="3"/>
    <x v="11"/>
    <n v="3"/>
    <x v="1"/>
    <s v="Good"/>
    <x v="2"/>
    <x v="0"/>
    <x v="0"/>
    <x v="0"/>
    <x v="1"/>
  </r>
  <r>
    <x v="0"/>
    <s v="No"/>
    <x v="0"/>
    <n v="1"/>
    <s v="Male"/>
    <x v="2"/>
    <x v="5"/>
    <x v="2"/>
    <n v="4950"/>
    <n v="14"/>
    <x v="1"/>
    <n v="0"/>
    <n v="5"/>
    <n v="4"/>
    <n v="3"/>
    <x v="11"/>
    <n v="3"/>
    <x v="1"/>
    <s v="Good"/>
    <x v="2"/>
    <x v="0"/>
    <x v="0"/>
    <x v="0"/>
    <x v="1"/>
  </r>
  <r>
    <x v="0"/>
    <s v="No"/>
    <x v="1"/>
    <n v="1"/>
    <s v="Male"/>
    <x v="1"/>
    <x v="2"/>
    <x v="3"/>
    <n v="2013"/>
    <n v="11"/>
    <x v="1"/>
    <n v="0"/>
    <n v="15"/>
    <n v="4"/>
    <n v="3"/>
    <x v="11"/>
    <n v="3"/>
    <x v="1"/>
    <s v="Good"/>
    <x v="2"/>
    <x v="0"/>
    <x v="0"/>
    <x v="0"/>
    <x v="1"/>
  </r>
  <r>
    <x v="0"/>
    <s v="Yes"/>
    <x v="0"/>
    <n v="1"/>
    <s v="Male"/>
    <x v="2"/>
    <x v="5"/>
    <x v="0"/>
    <n v="6796"/>
    <n v="14"/>
    <x v="1"/>
    <n v="1"/>
    <n v="18"/>
    <n v="4"/>
    <n v="3"/>
    <x v="11"/>
    <n v="3"/>
    <x v="1"/>
    <s v="Good"/>
    <x v="2"/>
    <x v="0"/>
    <x v="0"/>
    <x v="0"/>
    <x v="1"/>
  </r>
  <r>
    <x v="0"/>
    <s v="No"/>
    <x v="1"/>
    <n v="1"/>
    <s v="Female"/>
    <x v="1"/>
    <x v="1"/>
    <x v="2"/>
    <n v="2977"/>
    <n v="12"/>
    <x v="1"/>
    <n v="1"/>
    <n v="4"/>
    <n v="5"/>
    <n v="3"/>
    <x v="11"/>
    <n v="3"/>
    <x v="1"/>
    <s v="Good"/>
    <x v="2"/>
    <x v="0"/>
    <x v="0"/>
    <x v="0"/>
    <x v="1"/>
  </r>
  <r>
    <x v="0"/>
    <s v="No"/>
    <x v="0"/>
    <n v="1"/>
    <s v="Female"/>
    <x v="1"/>
    <x v="3"/>
    <x v="3"/>
    <n v="3931"/>
    <n v="11"/>
    <x v="1"/>
    <n v="1"/>
    <n v="6"/>
    <n v="5"/>
    <n v="3"/>
    <x v="11"/>
    <n v="3"/>
    <x v="1"/>
    <s v="Good"/>
    <x v="2"/>
    <x v="0"/>
    <x v="0"/>
    <x v="0"/>
    <x v="1"/>
  </r>
  <r>
    <x v="0"/>
    <s v="No"/>
    <x v="1"/>
    <n v="1"/>
    <s v="Male"/>
    <x v="2"/>
    <x v="2"/>
    <x v="0"/>
    <n v="4404"/>
    <n v="12"/>
    <x v="1"/>
    <n v="0"/>
    <n v="6"/>
    <n v="3"/>
    <n v="4"/>
    <x v="11"/>
    <n v="3"/>
    <x v="1"/>
    <s v="Good"/>
    <x v="2"/>
    <x v="0"/>
    <x v="0"/>
    <x v="0"/>
    <x v="1"/>
  </r>
  <r>
    <x v="0"/>
    <s v="No"/>
    <x v="1"/>
    <n v="1"/>
    <s v="Male"/>
    <x v="0"/>
    <x v="4"/>
    <x v="2"/>
    <n v="9439"/>
    <n v="16"/>
    <x v="1"/>
    <n v="1"/>
    <n v="12"/>
    <n v="2"/>
    <n v="1"/>
    <x v="4"/>
    <n v="3"/>
    <x v="1"/>
    <s v="Bad"/>
    <x v="1"/>
    <x v="0"/>
    <x v="0"/>
    <x v="0"/>
    <x v="1"/>
  </r>
  <r>
    <x v="0"/>
    <s v="No"/>
    <x v="1"/>
    <n v="1"/>
    <s v="Male"/>
    <x v="1"/>
    <x v="2"/>
    <x v="2"/>
    <n v="2097"/>
    <n v="15"/>
    <x v="1"/>
    <n v="1"/>
    <n v="9"/>
    <n v="3"/>
    <n v="1"/>
    <x v="4"/>
    <n v="3"/>
    <x v="1"/>
    <s v="Bad"/>
    <x v="1"/>
    <x v="0"/>
    <x v="0"/>
    <x v="0"/>
    <x v="1"/>
  </r>
  <r>
    <x v="0"/>
    <s v="No"/>
    <x v="1"/>
    <n v="1"/>
    <s v="Female"/>
    <x v="2"/>
    <x v="2"/>
    <x v="2"/>
    <n v="5231"/>
    <n v="13"/>
    <x v="1"/>
    <n v="1"/>
    <n v="17"/>
    <n v="1"/>
    <n v="2"/>
    <x v="4"/>
    <n v="3"/>
    <x v="1"/>
    <s v="Bad"/>
    <x v="1"/>
    <x v="0"/>
    <x v="0"/>
    <x v="0"/>
    <x v="1"/>
  </r>
  <r>
    <x v="0"/>
    <s v="No"/>
    <x v="1"/>
    <n v="1"/>
    <s v="Male"/>
    <x v="1"/>
    <x v="1"/>
    <x v="0"/>
    <n v="2144"/>
    <n v="14"/>
    <x v="1"/>
    <n v="0"/>
    <n v="5"/>
    <n v="3"/>
    <n v="2"/>
    <x v="4"/>
    <n v="3"/>
    <x v="1"/>
    <s v="Bad"/>
    <x v="1"/>
    <x v="0"/>
    <x v="0"/>
    <x v="0"/>
    <x v="1"/>
  </r>
  <r>
    <x v="0"/>
    <s v="No"/>
    <x v="1"/>
    <n v="1"/>
    <s v="Male"/>
    <x v="1"/>
    <x v="1"/>
    <x v="3"/>
    <n v="2226"/>
    <n v="11"/>
    <x v="1"/>
    <n v="1"/>
    <n v="6"/>
    <n v="3"/>
    <n v="2"/>
    <x v="4"/>
    <n v="3"/>
    <x v="1"/>
    <s v="Bad"/>
    <x v="1"/>
    <x v="0"/>
    <x v="0"/>
    <x v="0"/>
    <x v="1"/>
  </r>
  <r>
    <x v="0"/>
    <s v="No"/>
    <x v="1"/>
    <n v="1"/>
    <s v="Female"/>
    <x v="1"/>
    <x v="1"/>
    <x v="0"/>
    <n v="2645"/>
    <n v="12"/>
    <x v="1"/>
    <n v="2"/>
    <n v="6"/>
    <n v="3"/>
    <n v="2"/>
    <x v="4"/>
    <n v="3"/>
    <x v="1"/>
    <s v="Bad"/>
    <x v="1"/>
    <x v="0"/>
    <x v="0"/>
    <x v="0"/>
    <x v="1"/>
  </r>
  <r>
    <x v="0"/>
    <s v="No"/>
    <x v="1"/>
    <n v="1"/>
    <s v="Female"/>
    <x v="2"/>
    <x v="1"/>
    <x v="0"/>
    <n v="5175"/>
    <n v="12"/>
    <x v="1"/>
    <n v="1"/>
    <n v="9"/>
    <n v="3"/>
    <n v="2"/>
    <x v="4"/>
    <n v="3"/>
    <x v="1"/>
    <s v="Bad"/>
    <x v="1"/>
    <x v="0"/>
    <x v="0"/>
    <x v="0"/>
    <x v="1"/>
  </r>
  <r>
    <x v="0"/>
    <s v="No"/>
    <x v="1"/>
    <n v="1"/>
    <s v="Male"/>
    <x v="4"/>
    <x v="7"/>
    <x v="0"/>
    <n v="17584"/>
    <n v="16"/>
    <x v="1"/>
    <n v="3"/>
    <n v="21"/>
    <n v="5"/>
    <n v="2"/>
    <x v="4"/>
    <n v="3"/>
    <x v="1"/>
    <s v="Bad"/>
    <x v="1"/>
    <x v="0"/>
    <x v="0"/>
    <x v="0"/>
    <x v="1"/>
  </r>
  <r>
    <x v="0"/>
    <s v="No"/>
    <x v="0"/>
    <n v="1"/>
    <s v="Female"/>
    <x v="2"/>
    <x v="5"/>
    <x v="2"/>
    <n v="5666"/>
    <n v="13"/>
    <x v="1"/>
    <n v="0"/>
    <n v="6"/>
    <n v="1"/>
    <n v="3"/>
    <x v="4"/>
    <n v="3"/>
    <x v="1"/>
    <s v="Good"/>
    <x v="1"/>
    <x v="0"/>
    <x v="0"/>
    <x v="0"/>
    <x v="1"/>
  </r>
  <r>
    <x v="0"/>
    <s v="No"/>
    <x v="1"/>
    <n v="1"/>
    <s v="Male"/>
    <x v="1"/>
    <x v="2"/>
    <x v="0"/>
    <n v="2774"/>
    <n v="12"/>
    <x v="1"/>
    <n v="1"/>
    <n v="6"/>
    <n v="2"/>
    <n v="3"/>
    <x v="4"/>
    <n v="3"/>
    <x v="1"/>
    <s v="Good"/>
    <x v="1"/>
    <x v="0"/>
    <x v="0"/>
    <x v="0"/>
    <x v="1"/>
  </r>
  <r>
    <x v="0"/>
    <s v="No"/>
    <x v="1"/>
    <n v="1"/>
    <s v="Male"/>
    <x v="1"/>
    <x v="2"/>
    <x v="1"/>
    <n v="3955"/>
    <n v="16"/>
    <x v="1"/>
    <n v="2"/>
    <n v="6"/>
    <n v="2"/>
    <n v="3"/>
    <x v="4"/>
    <n v="3"/>
    <x v="1"/>
    <s v="Good"/>
    <x v="1"/>
    <x v="0"/>
    <x v="0"/>
    <x v="0"/>
    <x v="1"/>
  </r>
  <r>
    <x v="0"/>
    <s v="No"/>
    <x v="1"/>
    <n v="1"/>
    <s v="Female"/>
    <x v="1"/>
    <x v="2"/>
    <x v="0"/>
    <n v="2974"/>
    <n v="17"/>
    <x v="1"/>
    <n v="1"/>
    <n v="9"/>
    <n v="2"/>
    <n v="3"/>
    <x v="4"/>
    <n v="3"/>
    <x v="1"/>
    <s v="Good"/>
    <x v="1"/>
    <x v="0"/>
    <x v="0"/>
    <x v="0"/>
    <x v="1"/>
  </r>
  <r>
    <x v="0"/>
    <s v="No"/>
    <x v="1"/>
    <n v="1"/>
    <s v="Male"/>
    <x v="2"/>
    <x v="4"/>
    <x v="0"/>
    <n v="5660"/>
    <n v="13"/>
    <x v="1"/>
    <n v="1"/>
    <n v="12"/>
    <n v="2"/>
    <n v="3"/>
    <x v="4"/>
    <n v="3"/>
    <x v="1"/>
    <s v="Good"/>
    <x v="1"/>
    <x v="0"/>
    <x v="0"/>
    <x v="0"/>
    <x v="1"/>
  </r>
  <r>
    <x v="0"/>
    <s v="No"/>
    <x v="1"/>
    <n v="1"/>
    <s v="Male"/>
    <x v="1"/>
    <x v="2"/>
    <x v="2"/>
    <n v="2720"/>
    <n v="13"/>
    <x v="1"/>
    <n v="0"/>
    <n v="6"/>
    <n v="3"/>
    <n v="3"/>
    <x v="4"/>
    <n v="3"/>
    <x v="1"/>
    <s v="Good"/>
    <x v="1"/>
    <x v="0"/>
    <x v="0"/>
    <x v="0"/>
    <x v="1"/>
  </r>
  <r>
    <x v="0"/>
    <s v="No"/>
    <x v="0"/>
    <n v="1"/>
    <s v="Male"/>
    <x v="0"/>
    <x v="5"/>
    <x v="2"/>
    <n v="9713"/>
    <n v="13"/>
    <x v="1"/>
    <n v="3"/>
    <n v="9"/>
    <n v="3"/>
    <n v="3"/>
    <x v="4"/>
    <n v="3"/>
    <x v="1"/>
    <s v="Good"/>
    <x v="1"/>
    <x v="0"/>
    <x v="0"/>
    <x v="0"/>
    <x v="1"/>
  </r>
  <r>
    <x v="0"/>
    <s v="No"/>
    <x v="0"/>
    <n v="1"/>
    <s v="Female"/>
    <x v="2"/>
    <x v="5"/>
    <x v="1"/>
    <n v="5376"/>
    <n v="19"/>
    <x v="1"/>
    <n v="2"/>
    <n v="10"/>
    <n v="3"/>
    <n v="3"/>
    <x v="4"/>
    <n v="3"/>
    <x v="1"/>
    <s v="Good"/>
    <x v="1"/>
    <x v="0"/>
    <x v="0"/>
    <x v="0"/>
    <x v="1"/>
  </r>
  <r>
    <x v="0"/>
    <s v="No"/>
    <x v="0"/>
    <n v="1"/>
    <s v="Male"/>
    <x v="0"/>
    <x v="5"/>
    <x v="2"/>
    <n v="7428"/>
    <n v="12"/>
    <x v="1"/>
    <n v="0"/>
    <n v="12"/>
    <n v="3"/>
    <n v="3"/>
    <x v="4"/>
    <n v="3"/>
    <x v="1"/>
    <s v="Good"/>
    <x v="1"/>
    <x v="0"/>
    <x v="0"/>
    <x v="0"/>
    <x v="1"/>
  </r>
  <r>
    <x v="0"/>
    <s v="No"/>
    <x v="1"/>
    <n v="1"/>
    <s v="Male"/>
    <x v="1"/>
    <x v="1"/>
    <x v="2"/>
    <n v="2782"/>
    <n v="22"/>
    <x v="0"/>
    <n v="1"/>
    <n v="12"/>
    <n v="3"/>
    <n v="3"/>
    <x v="4"/>
    <n v="3"/>
    <x v="1"/>
    <s v="Good"/>
    <x v="1"/>
    <x v="0"/>
    <x v="0"/>
    <x v="0"/>
    <x v="0"/>
  </r>
  <r>
    <x v="0"/>
    <s v="No"/>
    <x v="0"/>
    <n v="1"/>
    <s v="Male"/>
    <x v="2"/>
    <x v="5"/>
    <x v="2"/>
    <n v="4684"/>
    <n v="13"/>
    <x v="1"/>
    <n v="0"/>
    <n v="5"/>
    <n v="4"/>
    <n v="3"/>
    <x v="4"/>
    <n v="3"/>
    <x v="1"/>
    <s v="Good"/>
    <x v="1"/>
    <x v="0"/>
    <x v="0"/>
    <x v="0"/>
    <x v="1"/>
  </r>
  <r>
    <x v="0"/>
    <s v="Yes"/>
    <x v="0"/>
    <n v="1"/>
    <s v="Female"/>
    <x v="1"/>
    <x v="3"/>
    <x v="3"/>
    <n v="3202"/>
    <n v="16"/>
    <x v="1"/>
    <n v="0"/>
    <n v="6"/>
    <n v="4"/>
    <n v="3"/>
    <x v="4"/>
    <n v="3"/>
    <x v="1"/>
    <s v="Good"/>
    <x v="1"/>
    <x v="0"/>
    <x v="0"/>
    <x v="0"/>
    <x v="1"/>
  </r>
  <r>
    <x v="0"/>
    <s v="No"/>
    <x v="1"/>
    <n v="1"/>
    <s v="Female"/>
    <x v="2"/>
    <x v="6"/>
    <x v="1"/>
    <n v="5485"/>
    <n v="11"/>
    <x v="1"/>
    <n v="2"/>
    <n v="9"/>
    <n v="4"/>
    <n v="3"/>
    <x v="4"/>
    <n v="3"/>
    <x v="1"/>
    <s v="Good"/>
    <x v="1"/>
    <x v="0"/>
    <x v="0"/>
    <x v="0"/>
    <x v="1"/>
  </r>
  <r>
    <x v="0"/>
    <s v="No"/>
    <x v="1"/>
    <n v="1"/>
    <s v="Female"/>
    <x v="1"/>
    <x v="1"/>
    <x v="0"/>
    <n v="2007"/>
    <n v="13"/>
    <x v="1"/>
    <n v="2"/>
    <n v="5"/>
    <n v="5"/>
    <n v="3"/>
    <x v="4"/>
    <n v="3"/>
    <x v="1"/>
    <s v="Good"/>
    <x v="1"/>
    <x v="0"/>
    <x v="0"/>
    <x v="0"/>
    <x v="1"/>
  </r>
  <r>
    <x v="0"/>
    <s v="No"/>
    <x v="2"/>
    <n v="1"/>
    <s v="Male"/>
    <x v="1"/>
    <x v="8"/>
    <x v="0"/>
    <n v="2064"/>
    <n v="21"/>
    <x v="0"/>
    <n v="1"/>
    <n v="6"/>
    <n v="3"/>
    <n v="4"/>
    <x v="4"/>
    <n v="3"/>
    <x v="1"/>
    <s v="Good"/>
    <x v="1"/>
    <x v="0"/>
    <x v="0"/>
    <x v="0"/>
    <x v="0"/>
  </r>
  <r>
    <x v="0"/>
    <s v="No"/>
    <x v="0"/>
    <n v="1"/>
    <s v="Male"/>
    <x v="2"/>
    <x v="5"/>
    <x v="3"/>
    <n v="6272"/>
    <n v="20"/>
    <x v="0"/>
    <n v="2"/>
    <n v="6"/>
    <n v="5"/>
    <n v="4"/>
    <x v="4"/>
    <n v="3"/>
    <x v="1"/>
    <s v="Good"/>
    <x v="1"/>
    <x v="0"/>
    <x v="0"/>
    <x v="0"/>
    <x v="0"/>
  </r>
  <r>
    <x v="0"/>
    <s v="No"/>
    <x v="0"/>
    <n v="1"/>
    <s v="Male"/>
    <x v="2"/>
    <x v="5"/>
    <x v="2"/>
    <n v="9525"/>
    <n v="14"/>
    <x v="1"/>
    <n v="2"/>
    <n v="6"/>
    <n v="2"/>
    <n v="2"/>
    <x v="5"/>
    <n v="3"/>
    <x v="1"/>
    <s v="Bad"/>
    <x v="1"/>
    <x v="0"/>
    <x v="0"/>
    <x v="0"/>
    <x v="1"/>
  </r>
  <r>
    <x v="0"/>
    <s v="No"/>
    <x v="1"/>
    <n v="1"/>
    <s v="Male"/>
    <x v="2"/>
    <x v="6"/>
    <x v="2"/>
    <n v="7379"/>
    <n v="11"/>
    <x v="1"/>
    <n v="1"/>
    <n v="12"/>
    <n v="3"/>
    <n v="2"/>
    <x v="5"/>
    <n v="3"/>
    <x v="1"/>
    <s v="Bad"/>
    <x v="1"/>
    <x v="0"/>
    <x v="0"/>
    <x v="0"/>
    <x v="1"/>
  </r>
  <r>
    <x v="0"/>
    <s v="No"/>
    <x v="1"/>
    <n v="1"/>
    <s v="Female"/>
    <x v="1"/>
    <x v="1"/>
    <x v="2"/>
    <n v="3760"/>
    <n v="13"/>
    <x v="1"/>
    <n v="0"/>
    <n v="6"/>
    <n v="2"/>
    <n v="3"/>
    <x v="5"/>
    <n v="3"/>
    <x v="1"/>
    <s v="Good"/>
    <x v="1"/>
    <x v="0"/>
    <x v="0"/>
    <x v="0"/>
    <x v="1"/>
  </r>
  <r>
    <x v="0"/>
    <s v="No"/>
    <x v="1"/>
    <n v="1"/>
    <s v="Male"/>
    <x v="2"/>
    <x v="4"/>
    <x v="1"/>
    <n v="4000"/>
    <n v="12"/>
    <x v="1"/>
    <n v="2"/>
    <n v="6"/>
    <n v="2"/>
    <n v="3"/>
    <x v="5"/>
    <n v="3"/>
    <x v="1"/>
    <s v="Good"/>
    <x v="1"/>
    <x v="0"/>
    <x v="0"/>
    <x v="0"/>
    <x v="1"/>
  </r>
  <r>
    <x v="0"/>
    <s v="No"/>
    <x v="2"/>
    <n v="1"/>
    <s v="Male"/>
    <x v="2"/>
    <x v="8"/>
    <x v="0"/>
    <n v="6077"/>
    <n v="11"/>
    <x v="1"/>
    <n v="0"/>
    <n v="10"/>
    <n v="2"/>
    <n v="3"/>
    <x v="5"/>
    <n v="3"/>
    <x v="1"/>
    <s v="Good"/>
    <x v="1"/>
    <x v="0"/>
    <x v="0"/>
    <x v="0"/>
    <x v="1"/>
  </r>
  <r>
    <x v="0"/>
    <s v="Yes"/>
    <x v="1"/>
    <n v="1"/>
    <s v="Female"/>
    <x v="1"/>
    <x v="2"/>
    <x v="0"/>
    <n v="2886"/>
    <n v="16"/>
    <x v="1"/>
    <n v="1"/>
    <n v="6"/>
    <n v="4"/>
    <n v="3"/>
    <x v="5"/>
    <n v="3"/>
    <x v="1"/>
    <s v="Good"/>
    <x v="1"/>
    <x v="0"/>
    <x v="0"/>
    <x v="0"/>
    <x v="1"/>
  </r>
  <r>
    <x v="0"/>
    <s v="No"/>
    <x v="0"/>
    <n v="1"/>
    <s v="Female"/>
    <x v="2"/>
    <x v="5"/>
    <x v="1"/>
    <n v="4103"/>
    <n v="17"/>
    <x v="1"/>
    <n v="1"/>
    <n v="10"/>
    <n v="2"/>
    <n v="3"/>
    <x v="8"/>
    <n v="3"/>
    <x v="1"/>
    <s v="Good"/>
    <x v="1"/>
    <x v="0"/>
    <x v="0"/>
    <x v="0"/>
    <x v="1"/>
  </r>
  <r>
    <x v="0"/>
    <s v="No"/>
    <x v="0"/>
    <n v="1"/>
    <s v="Female"/>
    <x v="4"/>
    <x v="0"/>
    <x v="2"/>
    <n v="17650"/>
    <n v="13"/>
    <x v="1"/>
    <n v="1"/>
    <n v="26"/>
    <n v="4"/>
    <n v="4"/>
    <x v="8"/>
    <n v="3"/>
    <x v="1"/>
    <s v="Good"/>
    <x v="1"/>
    <x v="0"/>
    <x v="0"/>
    <x v="0"/>
    <x v="1"/>
  </r>
  <r>
    <x v="0"/>
    <s v="No"/>
    <x v="0"/>
    <n v="1"/>
    <s v="Male"/>
    <x v="2"/>
    <x v="5"/>
    <x v="0"/>
    <n v="6578"/>
    <n v="18"/>
    <x v="1"/>
    <n v="1"/>
    <n v="10"/>
    <n v="3"/>
    <n v="3"/>
    <x v="9"/>
    <n v="3"/>
    <x v="1"/>
    <s v="Good"/>
    <x v="1"/>
    <x v="0"/>
    <x v="0"/>
    <x v="0"/>
    <x v="1"/>
  </r>
  <r>
    <x v="0"/>
    <s v="No"/>
    <x v="0"/>
    <n v="1"/>
    <s v="Male"/>
    <x v="2"/>
    <x v="5"/>
    <x v="2"/>
    <n v="6230"/>
    <n v="14"/>
    <x v="1"/>
    <n v="0"/>
    <n v="16"/>
    <n v="3"/>
    <n v="3"/>
    <x v="23"/>
    <n v="3"/>
    <x v="1"/>
    <s v="Good"/>
    <x v="1"/>
    <x v="0"/>
    <x v="0"/>
    <x v="0"/>
    <x v="1"/>
  </r>
  <r>
    <x v="0"/>
    <s v="No"/>
    <x v="2"/>
    <n v="1"/>
    <s v="Male"/>
    <x v="1"/>
    <x v="8"/>
    <x v="0"/>
    <n v="4323"/>
    <n v="17"/>
    <x v="1"/>
    <n v="0"/>
    <n v="6"/>
    <n v="2"/>
    <n v="1"/>
    <x v="4"/>
    <n v="4"/>
    <x v="1"/>
    <s v="Bad"/>
    <x v="1"/>
    <x v="0"/>
    <x v="0"/>
    <x v="0"/>
    <x v="1"/>
  </r>
  <r>
    <x v="0"/>
    <s v="No"/>
    <x v="1"/>
    <n v="1"/>
    <s v="Female"/>
    <x v="0"/>
    <x v="6"/>
    <x v="0"/>
    <n v="10502"/>
    <n v="17"/>
    <x v="1"/>
    <n v="1"/>
    <n v="33"/>
    <n v="2"/>
    <n v="1"/>
    <x v="4"/>
    <n v="4"/>
    <x v="1"/>
    <s v="Bad"/>
    <x v="1"/>
    <x v="0"/>
    <x v="0"/>
    <x v="0"/>
    <x v="1"/>
  </r>
  <r>
    <x v="0"/>
    <s v="Yes"/>
    <x v="1"/>
    <n v="1"/>
    <s v="Male"/>
    <x v="1"/>
    <x v="2"/>
    <x v="1"/>
    <n v="2018"/>
    <n v="14"/>
    <x v="1"/>
    <n v="0"/>
    <n v="15"/>
    <n v="3"/>
    <n v="1"/>
    <x v="4"/>
    <n v="4"/>
    <x v="1"/>
    <s v="Bad"/>
    <x v="1"/>
    <x v="0"/>
    <x v="0"/>
    <x v="0"/>
    <x v="1"/>
  </r>
  <r>
    <x v="0"/>
    <s v="No"/>
    <x v="1"/>
    <n v="1"/>
    <s v="Male"/>
    <x v="4"/>
    <x v="7"/>
    <x v="2"/>
    <n v="17399"/>
    <n v="22"/>
    <x v="0"/>
    <n v="1"/>
    <n v="32"/>
    <n v="1"/>
    <n v="2"/>
    <x v="4"/>
    <n v="4"/>
    <x v="1"/>
    <s v="Bad"/>
    <x v="1"/>
    <x v="0"/>
    <x v="0"/>
    <x v="0"/>
    <x v="0"/>
  </r>
  <r>
    <x v="0"/>
    <s v="No"/>
    <x v="1"/>
    <n v="1"/>
    <s v="Female"/>
    <x v="1"/>
    <x v="1"/>
    <x v="2"/>
    <n v="2168"/>
    <n v="18"/>
    <x v="1"/>
    <n v="1"/>
    <n v="6"/>
    <n v="2"/>
    <n v="2"/>
    <x v="4"/>
    <n v="4"/>
    <x v="1"/>
    <s v="Bad"/>
    <x v="1"/>
    <x v="0"/>
    <x v="0"/>
    <x v="0"/>
    <x v="1"/>
  </r>
  <r>
    <x v="0"/>
    <s v="No"/>
    <x v="1"/>
    <n v="1"/>
    <s v="Female"/>
    <x v="2"/>
    <x v="6"/>
    <x v="2"/>
    <n v="5238"/>
    <n v="20"/>
    <x v="0"/>
    <n v="0"/>
    <n v="9"/>
    <n v="3"/>
    <n v="2"/>
    <x v="4"/>
    <n v="4"/>
    <x v="1"/>
    <s v="Bad"/>
    <x v="1"/>
    <x v="0"/>
    <x v="0"/>
    <x v="0"/>
    <x v="0"/>
  </r>
  <r>
    <x v="0"/>
    <s v="No"/>
    <x v="0"/>
    <n v="1"/>
    <s v="Female"/>
    <x v="2"/>
    <x v="5"/>
    <x v="0"/>
    <n v="4591"/>
    <n v="17"/>
    <x v="1"/>
    <n v="1"/>
    <n v="11"/>
    <n v="4"/>
    <n v="2"/>
    <x v="4"/>
    <n v="4"/>
    <x v="1"/>
    <s v="Bad"/>
    <x v="1"/>
    <x v="0"/>
    <x v="0"/>
    <x v="0"/>
    <x v="1"/>
  </r>
  <r>
    <x v="0"/>
    <s v="No"/>
    <x v="0"/>
    <n v="1"/>
    <s v="Male"/>
    <x v="2"/>
    <x v="5"/>
    <x v="3"/>
    <n v="6349"/>
    <n v="13"/>
    <x v="1"/>
    <n v="1"/>
    <n v="6"/>
    <n v="0"/>
    <n v="3"/>
    <x v="4"/>
    <n v="4"/>
    <x v="1"/>
    <s v="Good"/>
    <x v="1"/>
    <x v="0"/>
    <x v="0"/>
    <x v="0"/>
    <x v="1"/>
  </r>
  <r>
    <x v="0"/>
    <s v="Yes"/>
    <x v="1"/>
    <n v="1"/>
    <s v="Male"/>
    <x v="1"/>
    <x v="2"/>
    <x v="0"/>
    <n v="3989"/>
    <n v="11"/>
    <x v="1"/>
    <n v="0"/>
    <n v="5"/>
    <n v="2"/>
    <n v="3"/>
    <x v="4"/>
    <n v="4"/>
    <x v="1"/>
    <s v="Good"/>
    <x v="1"/>
    <x v="0"/>
    <x v="0"/>
    <x v="0"/>
    <x v="1"/>
  </r>
  <r>
    <x v="0"/>
    <s v="No"/>
    <x v="2"/>
    <n v="1"/>
    <s v="Male"/>
    <x v="1"/>
    <x v="8"/>
    <x v="0"/>
    <n v="3600"/>
    <n v="13"/>
    <x v="1"/>
    <n v="1"/>
    <n v="5"/>
    <n v="2"/>
    <n v="3"/>
    <x v="4"/>
    <n v="4"/>
    <x v="1"/>
    <s v="Good"/>
    <x v="1"/>
    <x v="0"/>
    <x v="0"/>
    <x v="0"/>
    <x v="1"/>
  </r>
  <r>
    <x v="0"/>
    <s v="No"/>
    <x v="0"/>
    <n v="1"/>
    <s v="Female"/>
    <x v="2"/>
    <x v="5"/>
    <x v="1"/>
    <n v="4639"/>
    <n v="15"/>
    <x v="1"/>
    <n v="1"/>
    <n v="5"/>
    <n v="2"/>
    <n v="3"/>
    <x v="4"/>
    <n v="4"/>
    <x v="1"/>
    <s v="Good"/>
    <x v="1"/>
    <x v="0"/>
    <x v="0"/>
    <x v="0"/>
    <x v="1"/>
  </r>
  <r>
    <x v="0"/>
    <s v="No"/>
    <x v="1"/>
    <n v="1"/>
    <s v="Male"/>
    <x v="2"/>
    <x v="6"/>
    <x v="0"/>
    <n v="4345"/>
    <n v="12"/>
    <x v="1"/>
    <n v="1"/>
    <n v="6"/>
    <n v="2"/>
    <n v="3"/>
    <x v="4"/>
    <n v="4"/>
    <x v="1"/>
    <s v="Good"/>
    <x v="1"/>
    <x v="0"/>
    <x v="0"/>
    <x v="0"/>
    <x v="1"/>
  </r>
  <r>
    <x v="0"/>
    <s v="Yes"/>
    <x v="0"/>
    <n v="1"/>
    <s v="Female"/>
    <x v="2"/>
    <x v="5"/>
    <x v="0"/>
    <n v="6397"/>
    <n v="12"/>
    <x v="1"/>
    <n v="0"/>
    <n v="8"/>
    <n v="2"/>
    <n v="3"/>
    <x v="4"/>
    <n v="4"/>
    <x v="1"/>
    <s v="Good"/>
    <x v="1"/>
    <x v="0"/>
    <x v="0"/>
    <x v="0"/>
    <x v="1"/>
  </r>
  <r>
    <x v="0"/>
    <s v="No"/>
    <x v="1"/>
    <n v="1"/>
    <s v="Male"/>
    <x v="1"/>
    <x v="1"/>
    <x v="0"/>
    <n v="3038"/>
    <n v="20"/>
    <x v="0"/>
    <n v="0"/>
    <n v="8"/>
    <n v="2"/>
    <n v="3"/>
    <x v="4"/>
    <n v="4"/>
    <x v="1"/>
    <s v="Good"/>
    <x v="1"/>
    <x v="0"/>
    <x v="0"/>
    <x v="0"/>
    <x v="0"/>
  </r>
  <r>
    <x v="0"/>
    <s v="Yes"/>
    <x v="0"/>
    <n v="1"/>
    <s v="Male"/>
    <x v="0"/>
    <x v="5"/>
    <x v="3"/>
    <n v="9094"/>
    <n v="12"/>
    <x v="1"/>
    <n v="0"/>
    <n v="9"/>
    <n v="2"/>
    <n v="3"/>
    <x v="4"/>
    <n v="4"/>
    <x v="1"/>
    <s v="Good"/>
    <x v="1"/>
    <x v="0"/>
    <x v="0"/>
    <x v="0"/>
    <x v="1"/>
  </r>
  <r>
    <x v="0"/>
    <s v="No"/>
    <x v="1"/>
    <n v="1"/>
    <s v="Female"/>
    <x v="4"/>
    <x v="0"/>
    <x v="2"/>
    <n v="16659"/>
    <n v="13"/>
    <x v="1"/>
    <n v="0"/>
    <n v="30"/>
    <n v="2"/>
    <n v="3"/>
    <x v="4"/>
    <n v="4"/>
    <x v="1"/>
    <s v="Good"/>
    <x v="1"/>
    <x v="0"/>
    <x v="0"/>
    <x v="0"/>
    <x v="1"/>
  </r>
  <r>
    <x v="0"/>
    <s v="No"/>
    <x v="0"/>
    <n v="1"/>
    <s v="Female"/>
    <x v="2"/>
    <x v="5"/>
    <x v="2"/>
    <n v="4487"/>
    <n v="11"/>
    <x v="1"/>
    <n v="0"/>
    <n v="5"/>
    <n v="3"/>
    <n v="3"/>
    <x v="4"/>
    <n v="4"/>
    <x v="1"/>
    <s v="Good"/>
    <x v="1"/>
    <x v="0"/>
    <x v="0"/>
    <x v="0"/>
    <x v="1"/>
  </r>
  <r>
    <x v="0"/>
    <s v="No"/>
    <x v="1"/>
    <n v="1"/>
    <s v="Male"/>
    <x v="2"/>
    <x v="6"/>
    <x v="3"/>
    <n v="5295"/>
    <n v="21"/>
    <x v="0"/>
    <n v="0"/>
    <n v="7"/>
    <n v="3"/>
    <n v="3"/>
    <x v="4"/>
    <n v="4"/>
    <x v="1"/>
    <s v="Good"/>
    <x v="1"/>
    <x v="0"/>
    <x v="0"/>
    <x v="0"/>
    <x v="0"/>
  </r>
  <r>
    <x v="0"/>
    <s v="No"/>
    <x v="1"/>
    <n v="1"/>
    <s v="Male"/>
    <x v="2"/>
    <x v="6"/>
    <x v="3"/>
    <n v="6032"/>
    <n v="15"/>
    <x v="1"/>
    <n v="0"/>
    <n v="8"/>
    <n v="3"/>
    <n v="3"/>
    <x v="4"/>
    <n v="4"/>
    <x v="1"/>
    <s v="Good"/>
    <x v="1"/>
    <x v="0"/>
    <x v="0"/>
    <x v="0"/>
    <x v="1"/>
  </r>
  <r>
    <x v="0"/>
    <s v="No"/>
    <x v="0"/>
    <n v="1"/>
    <s v="Female"/>
    <x v="2"/>
    <x v="5"/>
    <x v="3"/>
    <n v="4393"/>
    <n v="21"/>
    <x v="0"/>
    <n v="1"/>
    <n v="14"/>
    <n v="3"/>
    <n v="3"/>
    <x v="4"/>
    <n v="4"/>
    <x v="1"/>
    <s v="Good"/>
    <x v="1"/>
    <x v="0"/>
    <x v="0"/>
    <x v="0"/>
    <x v="0"/>
  </r>
  <r>
    <x v="0"/>
    <s v="No"/>
    <x v="0"/>
    <n v="1"/>
    <s v="Male"/>
    <x v="2"/>
    <x v="5"/>
    <x v="1"/>
    <n v="8463"/>
    <n v="18"/>
    <x v="1"/>
    <n v="0"/>
    <n v="6"/>
    <n v="4"/>
    <n v="3"/>
    <x v="4"/>
    <n v="4"/>
    <x v="1"/>
    <s v="Good"/>
    <x v="1"/>
    <x v="0"/>
    <x v="0"/>
    <x v="0"/>
    <x v="1"/>
  </r>
  <r>
    <x v="0"/>
    <s v="No"/>
    <x v="0"/>
    <n v="1"/>
    <s v="Female"/>
    <x v="2"/>
    <x v="5"/>
    <x v="3"/>
    <n v="5715"/>
    <n v="12"/>
    <x v="1"/>
    <n v="2"/>
    <n v="8"/>
    <n v="5"/>
    <n v="3"/>
    <x v="4"/>
    <n v="4"/>
    <x v="1"/>
    <s v="Good"/>
    <x v="1"/>
    <x v="0"/>
    <x v="0"/>
    <x v="0"/>
    <x v="1"/>
  </r>
  <r>
    <x v="0"/>
    <s v="Yes"/>
    <x v="1"/>
    <n v="1"/>
    <s v="Male"/>
    <x v="1"/>
    <x v="2"/>
    <x v="3"/>
    <n v="3479"/>
    <n v="11"/>
    <x v="1"/>
    <n v="0"/>
    <n v="6"/>
    <n v="2"/>
    <n v="4"/>
    <x v="4"/>
    <n v="4"/>
    <x v="1"/>
    <s v="Good"/>
    <x v="1"/>
    <x v="0"/>
    <x v="0"/>
    <x v="0"/>
    <x v="1"/>
  </r>
  <r>
    <x v="0"/>
    <s v="No"/>
    <x v="1"/>
    <n v="1"/>
    <s v="Male"/>
    <x v="1"/>
    <x v="1"/>
    <x v="2"/>
    <n v="4930"/>
    <n v="14"/>
    <x v="1"/>
    <n v="0"/>
    <n v="6"/>
    <n v="2"/>
    <n v="4"/>
    <x v="4"/>
    <n v="4"/>
    <x v="1"/>
    <s v="Good"/>
    <x v="1"/>
    <x v="0"/>
    <x v="0"/>
    <x v="0"/>
    <x v="1"/>
  </r>
  <r>
    <x v="0"/>
    <s v="No"/>
    <x v="0"/>
    <n v="1"/>
    <s v="Male"/>
    <x v="2"/>
    <x v="5"/>
    <x v="2"/>
    <n v="9998"/>
    <n v="13"/>
    <x v="1"/>
    <n v="0"/>
    <n v="8"/>
    <n v="2"/>
    <n v="4"/>
    <x v="4"/>
    <n v="4"/>
    <x v="1"/>
    <s v="Good"/>
    <x v="1"/>
    <x v="0"/>
    <x v="0"/>
    <x v="0"/>
    <x v="1"/>
  </r>
  <r>
    <x v="0"/>
    <s v="No"/>
    <x v="0"/>
    <n v="1"/>
    <s v="Male"/>
    <x v="2"/>
    <x v="5"/>
    <x v="2"/>
    <n v="6120"/>
    <n v="12"/>
    <x v="1"/>
    <n v="2"/>
    <n v="8"/>
    <n v="2"/>
    <n v="4"/>
    <x v="4"/>
    <n v="4"/>
    <x v="1"/>
    <s v="Good"/>
    <x v="1"/>
    <x v="0"/>
    <x v="0"/>
    <x v="0"/>
    <x v="1"/>
  </r>
  <r>
    <x v="0"/>
    <s v="No"/>
    <x v="1"/>
    <n v="1"/>
    <s v="Male"/>
    <x v="1"/>
    <x v="1"/>
    <x v="3"/>
    <n v="2141"/>
    <n v="12"/>
    <x v="1"/>
    <n v="1"/>
    <n v="6"/>
    <n v="3"/>
    <n v="2"/>
    <x v="5"/>
    <n v="4"/>
    <x v="1"/>
    <s v="Bad"/>
    <x v="1"/>
    <x v="0"/>
    <x v="0"/>
    <x v="0"/>
    <x v="1"/>
  </r>
  <r>
    <x v="0"/>
    <s v="No"/>
    <x v="1"/>
    <n v="1"/>
    <s v="Male"/>
    <x v="1"/>
    <x v="1"/>
    <x v="0"/>
    <n v="2996"/>
    <n v="15"/>
    <x v="1"/>
    <n v="0"/>
    <n v="8"/>
    <n v="2"/>
    <n v="3"/>
    <x v="5"/>
    <n v="4"/>
    <x v="1"/>
    <s v="Good"/>
    <x v="1"/>
    <x v="0"/>
    <x v="0"/>
    <x v="0"/>
    <x v="1"/>
  </r>
  <r>
    <x v="0"/>
    <s v="Yes"/>
    <x v="0"/>
    <n v="1"/>
    <s v="Male"/>
    <x v="2"/>
    <x v="5"/>
    <x v="0"/>
    <n v="6380"/>
    <n v="12"/>
    <x v="1"/>
    <n v="2"/>
    <n v="8"/>
    <n v="6"/>
    <n v="3"/>
    <x v="5"/>
    <n v="4"/>
    <x v="1"/>
    <s v="Good"/>
    <x v="1"/>
    <x v="0"/>
    <x v="0"/>
    <x v="0"/>
    <x v="1"/>
  </r>
  <r>
    <x v="0"/>
    <s v="No"/>
    <x v="1"/>
    <n v="1"/>
    <s v="Male"/>
    <x v="2"/>
    <x v="4"/>
    <x v="2"/>
    <n v="8853"/>
    <n v="19"/>
    <x v="1"/>
    <n v="1"/>
    <n v="6"/>
    <n v="0"/>
    <n v="4"/>
    <x v="5"/>
    <n v="4"/>
    <x v="1"/>
    <s v="Good"/>
    <x v="1"/>
    <x v="0"/>
    <x v="0"/>
    <x v="0"/>
    <x v="1"/>
  </r>
  <r>
    <x v="0"/>
    <s v="No"/>
    <x v="0"/>
    <n v="1"/>
    <s v="Male"/>
    <x v="2"/>
    <x v="5"/>
    <x v="1"/>
    <n v="5155"/>
    <n v="13"/>
    <x v="1"/>
    <n v="0"/>
    <n v="9"/>
    <n v="3"/>
    <n v="4"/>
    <x v="5"/>
    <n v="4"/>
    <x v="1"/>
    <s v="Good"/>
    <x v="1"/>
    <x v="0"/>
    <x v="0"/>
    <x v="0"/>
    <x v="1"/>
  </r>
  <r>
    <x v="0"/>
    <s v="No"/>
    <x v="1"/>
    <n v="1"/>
    <s v="Female"/>
    <x v="2"/>
    <x v="6"/>
    <x v="0"/>
    <n v="4695"/>
    <n v="18"/>
    <x v="1"/>
    <n v="0"/>
    <n v="10"/>
    <n v="3"/>
    <n v="3"/>
    <x v="7"/>
    <n v="4"/>
    <x v="1"/>
    <s v="Good"/>
    <x v="1"/>
    <x v="0"/>
    <x v="0"/>
    <x v="0"/>
    <x v="1"/>
  </r>
  <r>
    <x v="0"/>
    <s v="No"/>
    <x v="1"/>
    <n v="1"/>
    <s v="Male"/>
    <x v="2"/>
    <x v="6"/>
    <x v="1"/>
    <n v="9936"/>
    <n v="19"/>
    <x v="1"/>
    <n v="0"/>
    <n v="10"/>
    <n v="2"/>
    <n v="3"/>
    <x v="8"/>
    <n v="4"/>
    <x v="1"/>
    <s v="Good"/>
    <x v="1"/>
    <x v="0"/>
    <x v="0"/>
    <x v="0"/>
    <x v="1"/>
  </r>
  <r>
    <x v="0"/>
    <s v="No"/>
    <x v="1"/>
    <n v="1"/>
    <s v="Male"/>
    <x v="2"/>
    <x v="2"/>
    <x v="2"/>
    <n v="5810"/>
    <n v="16"/>
    <x v="1"/>
    <n v="0"/>
    <n v="10"/>
    <n v="2"/>
    <n v="2"/>
    <x v="9"/>
    <n v="4"/>
    <x v="1"/>
    <s v="Bad"/>
    <x v="1"/>
    <x v="0"/>
    <x v="0"/>
    <x v="0"/>
    <x v="1"/>
  </r>
  <r>
    <x v="0"/>
    <s v="Yes"/>
    <x v="0"/>
    <n v="1"/>
    <s v="Female"/>
    <x v="0"/>
    <x v="5"/>
    <x v="2"/>
    <n v="7639"/>
    <n v="22"/>
    <x v="0"/>
    <n v="3"/>
    <n v="10"/>
    <n v="3"/>
    <n v="2"/>
    <x v="9"/>
    <n v="4"/>
    <x v="1"/>
    <s v="Bad"/>
    <x v="1"/>
    <x v="0"/>
    <x v="0"/>
    <x v="0"/>
    <x v="0"/>
  </r>
  <r>
    <x v="0"/>
    <s v="No"/>
    <x v="1"/>
    <n v="1"/>
    <s v="Male"/>
    <x v="3"/>
    <x v="7"/>
    <x v="3"/>
    <n v="19144"/>
    <n v="14"/>
    <x v="1"/>
    <n v="2"/>
    <n v="28"/>
    <n v="4"/>
    <n v="2"/>
    <x v="9"/>
    <n v="4"/>
    <x v="1"/>
    <s v="Bad"/>
    <x v="1"/>
    <x v="0"/>
    <x v="0"/>
    <x v="0"/>
    <x v="1"/>
  </r>
  <r>
    <x v="0"/>
    <s v="Yes"/>
    <x v="1"/>
    <n v="1"/>
    <s v="Male"/>
    <x v="2"/>
    <x v="2"/>
    <x v="0"/>
    <n v="4883"/>
    <n v="18"/>
    <x v="1"/>
    <n v="1"/>
    <n v="10"/>
    <n v="3"/>
    <n v="3"/>
    <x v="9"/>
    <n v="4"/>
    <x v="1"/>
    <s v="Good"/>
    <x v="1"/>
    <x v="0"/>
    <x v="0"/>
    <x v="0"/>
    <x v="1"/>
  </r>
  <r>
    <x v="0"/>
    <s v="No"/>
    <x v="1"/>
    <n v="1"/>
    <s v="Male"/>
    <x v="1"/>
    <x v="2"/>
    <x v="0"/>
    <n v="3500"/>
    <n v="14"/>
    <x v="1"/>
    <n v="0"/>
    <n v="7"/>
    <n v="2"/>
    <n v="1"/>
    <x v="5"/>
    <n v="5"/>
    <x v="1"/>
    <s v="Bad"/>
    <x v="1"/>
    <x v="0"/>
    <x v="1"/>
    <x v="1"/>
    <x v="1"/>
  </r>
  <r>
    <x v="0"/>
    <s v="No"/>
    <x v="1"/>
    <n v="1"/>
    <s v="Female"/>
    <x v="2"/>
    <x v="6"/>
    <x v="3"/>
    <n v="6397"/>
    <n v="20"/>
    <x v="0"/>
    <n v="1"/>
    <n v="6"/>
    <n v="6"/>
    <n v="1"/>
    <x v="5"/>
    <n v="5"/>
    <x v="1"/>
    <s v="Bad"/>
    <x v="1"/>
    <x v="0"/>
    <x v="1"/>
    <x v="1"/>
    <x v="0"/>
  </r>
  <r>
    <x v="0"/>
    <s v="No"/>
    <x v="1"/>
    <n v="1"/>
    <s v="Male"/>
    <x v="1"/>
    <x v="1"/>
    <x v="2"/>
    <n v="3420"/>
    <n v="12"/>
    <x v="1"/>
    <n v="1"/>
    <n v="17"/>
    <n v="2"/>
    <n v="2"/>
    <x v="5"/>
    <n v="5"/>
    <x v="1"/>
    <s v="Bad"/>
    <x v="1"/>
    <x v="0"/>
    <x v="1"/>
    <x v="1"/>
    <x v="1"/>
  </r>
  <r>
    <x v="0"/>
    <s v="No"/>
    <x v="1"/>
    <n v="1"/>
    <s v="Female"/>
    <x v="1"/>
    <x v="1"/>
    <x v="1"/>
    <n v="2559"/>
    <n v="11"/>
    <x v="1"/>
    <n v="0"/>
    <n v="6"/>
    <n v="3"/>
    <n v="2"/>
    <x v="5"/>
    <n v="5"/>
    <x v="1"/>
    <s v="Bad"/>
    <x v="1"/>
    <x v="0"/>
    <x v="1"/>
    <x v="1"/>
    <x v="1"/>
  </r>
  <r>
    <x v="0"/>
    <s v="No"/>
    <x v="0"/>
    <n v="1"/>
    <s v="Female"/>
    <x v="2"/>
    <x v="5"/>
    <x v="0"/>
    <n v="5714"/>
    <n v="20"/>
    <x v="0"/>
    <n v="0"/>
    <n v="6"/>
    <n v="3"/>
    <n v="2"/>
    <x v="5"/>
    <n v="5"/>
    <x v="1"/>
    <s v="Bad"/>
    <x v="1"/>
    <x v="0"/>
    <x v="1"/>
    <x v="1"/>
    <x v="0"/>
  </r>
  <r>
    <x v="0"/>
    <s v="No"/>
    <x v="1"/>
    <n v="1"/>
    <s v="Male"/>
    <x v="2"/>
    <x v="1"/>
    <x v="1"/>
    <n v="4087"/>
    <n v="14"/>
    <x v="1"/>
    <n v="1"/>
    <n v="9"/>
    <n v="3"/>
    <n v="2"/>
    <x v="5"/>
    <n v="5"/>
    <x v="1"/>
    <s v="Bad"/>
    <x v="1"/>
    <x v="0"/>
    <x v="1"/>
    <x v="1"/>
    <x v="1"/>
  </r>
  <r>
    <x v="0"/>
    <s v="No"/>
    <x v="0"/>
    <n v="1"/>
    <s v="Female"/>
    <x v="2"/>
    <x v="5"/>
    <x v="2"/>
    <n v="6180"/>
    <n v="23"/>
    <x v="0"/>
    <n v="0"/>
    <n v="6"/>
    <n v="5"/>
    <n v="2"/>
    <x v="5"/>
    <n v="5"/>
    <x v="1"/>
    <s v="Bad"/>
    <x v="1"/>
    <x v="0"/>
    <x v="1"/>
    <x v="1"/>
    <x v="0"/>
  </r>
  <r>
    <x v="0"/>
    <s v="No"/>
    <x v="1"/>
    <n v="1"/>
    <s v="Male"/>
    <x v="1"/>
    <x v="1"/>
    <x v="2"/>
    <n v="2340"/>
    <n v="19"/>
    <x v="1"/>
    <n v="0"/>
    <n v="6"/>
    <n v="1"/>
    <n v="3"/>
    <x v="5"/>
    <n v="5"/>
    <x v="1"/>
    <s v="Good"/>
    <x v="1"/>
    <x v="0"/>
    <x v="1"/>
    <x v="1"/>
    <x v="1"/>
  </r>
  <r>
    <x v="0"/>
    <s v="No"/>
    <x v="1"/>
    <n v="1"/>
    <s v="Female"/>
    <x v="2"/>
    <x v="4"/>
    <x v="3"/>
    <n v="5488"/>
    <n v="13"/>
    <x v="1"/>
    <n v="1"/>
    <n v="6"/>
    <n v="2"/>
    <n v="3"/>
    <x v="5"/>
    <n v="5"/>
    <x v="1"/>
    <s v="Good"/>
    <x v="1"/>
    <x v="0"/>
    <x v="1"/>
    <x v="1"/>
    <x v="1"/>
  </r>
  <r>
    <x v="0"/>
    <s v="No"/>
    <x v="0"/>
    <n v="1"/>
    <s v="Female"/>
    <x v="2"/>
    <x v="5"/>
    <x v="2"/>
    <n v="5368"/>
    <n v="25"/>
    <x v="0"/>
    <n v="1"/>
    <n v="7"/>
    <n v="2"/>
    <n v="3"/>
    <x v="5"/>
    <n v="5"/>
    <x v="1"/>
    <s v="Good"/>
    <x v="1"/>
    <x v="0"/>
    <x v="1"/>
    <x v="1"/>
    <x v="0"/>
  </r>
  <r>
    <x v="0"/>
    <s v="No"/>
    <x v="1"/>
    <n v="1"/>
    <s v="Female"/>
    <x v="1"/>
    <x v="1"/>
    <x v="1"/>
    <n v="4381"/>
    <n v="11"/>
    <x v="1"/>
    <n v="0"/>
    <n v="6"/>
    <n v="3"/>
    <n v="3"/>
    <x v="5"/>
    <n v="5"/>
    <x v="1"/>
    <s v="Good"/>
    <x v="1"/>
    <x v="0"/>
    <x v="1"/>
    <x v="1"/>
    <x v="1"/>
  </r>
  <r>
    <x v="0"/>
    <s v="No"/>
    <x v="1"/>
    <n v="1"/>
    <s v="Male"/>
    <x v="1"/>
    <x v="1"/>
    <x v="2"/>
    <n v="3622"/>
    <n v="13"/>
    <x v="1"/>
    <n v="1"/>
    <n v="6"/>
    <n v="3"/>
    <n v="3"/>
    <x v="5"/>
    <n v="5"/>
    <x v="1"/>
    <s v="Good"/>
    <x v="1"/>
    <x v="0"/>
    <x v="1"/>
    <x v="1"/>
    <x v="1"/>
  </r>
  <r>
    <x v="0"/>
    <s v="No"/>
    <x v="1"/>
    <n v="1"/>
    <s v="Male"/>
    <x v="1"/>
    <x v="1"/>
    <x v="2"/>
    <n v="2725"/>
    <n v="11"/>
    <x v="1"/>
    <n v="2"/>
    <n v="6"/>
    <n v="3"/>
    <n v="3"/>
    <x v="5"/>
    <n v="5"/>
    <x v="1"/>
    <s v="Good"/>
    <x v="1"/>
    <x v="0"/>
    <x v="1"/>
    <x v="1"/>
    <x v="1"/>
  </r>
  <r>
    <x v="0"/>
    <s v="No"/>
    <x v="0"/>
    <n v="1"/>
    <s v="Male"/>
    <x v="2"/>
    <x v="5"/>
    <x v="2"/>
    <n v="6274"/>
    <n v="22"/>
    <x v="0"/>
    <n v="0"/>
    <n v="6"/>
    <n v="5"/>
    <n v="3"/>
    <x v="5"/>
    <n v="5"/>
    <x v="1"/>
    <s v="Good"/>
    <x v="1"/>
    <x v="0"/>
    <x v="1"/>
    <x v="1"/>
    <x v="0"/>
  </r>
  <r>
    <x v="0"/>
    <s v="No"/>
    <x v="1"/>
    <n v="1"/>
    <s v="Female"/>
    <x v="0"/>
    <x v="6"/>
    <x v="2"/>
    <n v="7491"/>
    <n v="17"/>
    <x v="1"/>
    <n v="0"/>
    <n v="12"/>
    <n v="3"/>
    <n v="4"/>
    <x v="5"/>
    <n v="5"/>
    <x v="1"/>
    <s v="Good"/>
    <x v="1"/>
    <x v="0"/>
    <x v="1"/>
    <x v="1"/>
    <x v="1"/>
  </r>
  <r>
    <x v="0"/>
    <s v="No"/>
    <x v="1"/>
    <n v="1"/>
    <s v="Female"/>
    <x v="1"/>
    <x v="1"/>
    <x v="3"/>
    <n v="3291"/>
    <n v="14"/>
    <x v="1"/>
    <n v="2"/>
    <n v="8"/>
    <n v="2"/>
    <n v="2"/>
    <x v="6"/>
    <n v="5"/>
    <x v="1"/>
    <s v="Bad"/>
    <x v="1"/>
    <x v="0"/>
    <x v="1"/>
    <x v="1"/>
    <x v="1"/>
  </r>
  <r>
    <x v="0"/>
    <s v="No"/>
    <x v="1"/>
    <n v="1"/>
    <s v="Female"/>
    <x v="1"/>
    <x v="1"/>
    <x v="2"/>
    <n v="2514"/>
    <n v="22"/>
    <x v="0"/>
    <n v="1"/>
    <n v="11"/>
    <n v="1"/>
    <n v="3"/>
    <x v="6"/>
    <n v="5"/>
    <x v="1"/>
    <s v="Good"/>
    <x v="1"/>
    <x v="0"/>
    <x v="1"/>
    <x v="1"/>
    <x v="0"/>
  </r>
  <r>
    <x v="0"/>
    <s v="No"/>
    <x v="1"/>
    <n v="1"/>
    <s v="Male"/>
    <x v="0"/>
    <x v="6"/>
    <x v="0"/>
    <n v="10221"/>
    <n v="21"/>
    <x v="0"/>
    <n v="0"/>
    <n v="17"/>
    <n v="3"/>
    <n v="4"/>
    <x v="7"/>
    <n v="5"/>
    <x v="1"/>
    <s v="Good"/>
    <x v="1"/>
    <x v="0"/>
    <x v="1"/>
    <x v="1"/>
    <x v="0"/>
  </r>
  <r>
    <x v="0"/>
    <s v="No"/>
    <x v="1"/>
    <n v="1"/>
    <s v="Male"/>
    <x v="2"/>
    <x v="1"/>
    <x v="3"/>
    <n v="5470"/>
    <n v="13"/>
    <x v="1"/>
    <n v="2"/>
    <n v="10"/>
    <n v="4"/>
    <n v="2"/>
    <x v="8"/>
    <n v="5"/>
    <x v="1"/>
    <s v="Bad"/>
    <x v="1"/>
    <x v="0"/>
    <x v="1"/>
    <x v="1"/>
    <x v="1"/>
  </r>
  <r>
    <x v="0"/>
    <s v="No"/>
    <x v="1"/>
    <n v="1"/>
    <s v="Male"/>
    <x v="2"/>
    <x v="6"/>
    <x v="3"/>
    <n v="6549"/>
    <n v="14"/>
    <x v="1"/>
    <n v="2"/>
    <n v="8"/>
    <n v="2"/>
    <n v="2"/>
    <x v="7"/>
    <n v="6"/>
    <x v="1"/>
    <s v="Bad"/>
    <x v="1"/>
    <x v="0"/>
    <x v="1"/>
    <x v="1"/>
    <x v="1"/>
  </r>
  <r>
    <x v="0"/>
    <s v="No"/>
    <x v="1"/>
    <n v="1"/>
    <s v="Female"/>
    <x v="1"/>
    <x v="2"/>
    <x v="1"/>
    <n v="3211"/>
    <n v="14"/>
    <x v="1"/>
    <n v="1"/>
    <n v="10"/>
    <n v="3"/>
    <n v="2"/>
    <x v="8"/>
    <n v="6"/>
    <x v="1"/>
    <s v="Bad"/>
    <x v="1"/>
    <x v="0"/>
    <x v="1"/>
    <x v="1"/>
    <x v="1"/>
  </r>
  <r>
    <x v="0"/>
    <s v="No"/>
    <x v="1"/>
    <n v="1"/>
    <s v="Male"/>
    <x v="2"/>
    <x v="1"/>
    <x v="0"/>
    <n v="4249"/>
    <n v="11"/>
    <x v="1"/>
    <n v="0"/>
    <n v="9"/>
    <n v="3"/>
    <n v="3"/>
    <x v="8"/>
    <n v="6"/>
    <x v="1"/>
    <s v="Good"/>
    <x v="1"/>
    <x v="0"/>
    <x v="1"/>
    <x v="1"/>
    <x v="1"/>
  </r>
  <r>
    <x v="0"/>
    <s v="No"/>
    <x v="0"/>
    <n v="1"/>
    <s v="Male"/>
    <x v="4"/>
    <x v="0"/>
    <x v="1"/>
    <n v="16856"/>
    <n v="11"/>
    <x v="1"/>
    <n v="0"/>
    <n v="34"/>
    <n v="3"/>
    <n v="4"/>
    <x v="24"/>
    <n v="6"/>
    <x v="1"/>
    <s v="Good"/>
    <x v="1"/>
    <x v="0"/>
    <x v="1"/>
    <x v="1"/>
    <x v="1"/>
  </r>
  <r>
    <x v="0"/>
    <s v="No"/>
    <x v="1"/>
    <n v="1"/>
    <s v="Male"/>
    <x v="2"/>
    <x v="6"/>
    <x v="2"/>
    <n v="6261"/>
    <n v="18"/>
    <x v="1"/>
    <n v="1"/>
    <n v="9"/>
    <n v="3"/>
    <n v="1"/>
    <x v="6"/>
    <n v="7"/>
    <x v="1"/>
    <s v="Bad"/>
    <x v="1"/>
    <x v="0"/>
    <x v="1"/>
    <x v="1"/>
    <x v="1"/>
  </r>
  <r>
    <x v="0"/>
    <s v="Yes"/>
    <x v="1"/>
    <n v="1"/>
    <s v="Female"/>
    <x v="1"/>
    <x v="2"/>
    <x v="2"/>
    <n v="2778"/>
    <n v="13"/>
    <x v="1"/>
    <n v="1"/>
    <n v="10"/>
    <n v="1"/>
    <n v="2"/>
    <x v="6"/>
    <n v="7"/>
    <x v="1"/>
    <s v="Bad"/>
    <x v="1"/>
    <x v="0"/>
    <x v="1"/>
    <x v="1"/>
    <x v="1"/>
  </r>
  <r>
    <x v="0"/>
    <s v="Yes"/>
    <x v="2"/>
    <n v="1"/>
    <s v="Female"/>
    <x v="1"/>
    <x v="8"/>
    <x v="0"/>
    <n v="2741"/>
    <n v="11"/>
    <x v="1"/>
    <n v="1"/>
    <n v="8"/>
    <n v="2"/>
    <n v="2"/>
    <x v="6"/>
    <n v="7"/>
    <x v="1"/>
    <s v="Bad"/>
    <x v="1"/>
    <x v="0"/>
    <x v="1"/>
    <x v="1"/>
    <x v="1"/>
  </r>
  <r>
    <x v="0"/>
    <s v="No"/>
    <x v="1"/>
    <n v="1"/>
    <s v="Female"/>
    <x v="4"/>
    <x v="7"/>
    <x v="2"/>
    <n v="16124"/>
    <n v="14"/>
    <x v="1"/>
    <n v="2"/>
    <n v="9"/>
    <n v="2"/>
    <n v="2"/>
    <x v="6"/>
    <n v="7"/>
    <x v="1"/>
    <s v="Bad"/>
    <x v="1"/>
    <x v="0"/>
    <x v="1"/>
    <x v="1"/>
    <x v="1"/>
  </r>
  <r>
    <x v="0"/>
    <s v="No"/>
    <x v="1"/>
    <n v="1"/>
    <s v="Male"/>
    <x v="2"/>
    <x v="2"/>
    <x v="2"/>
    <n v="5915"/>
    <n v="22"/>
    <x v="0"/>
    <n v="1"/>
    <n v="10"/>
    <n v="3"/>
    <n v="2"/>
    <x v="6"/>
    <n v="7"/>
    <x v="1"/>
    <s v="Bad"/>
    <x v="1"/>
    <x v="0"/>
    <x v="1"/>
    <x v="1"/>
    <x v="0"/>
  </r>
  <r>
    <x v="0"/>
    <s v="No"/>
    <x v="1"/>
    <n v="1"/>
    <s v="Male"/>
    <x v="2"/>
    <x v="6"/>
    <x v="2"/>
    <n v="6804"/>
    <n v="15"/>
    <x v="1"/>
    <n v="2"/>
    <n v="7"/>
    <n v="0"/>
    <n v="3"/>
    <x v="6"/>
    <n v="7"/>
    <x v="1"/>
    <s v="Good"/>
    <x v="1"/>
    <x v="0"/>
    <x v="1"/>
    <x v="1"/>
    <x v="1"/>
  </r>
  <r>
    <x v="0"/>
    <s v="No"/>
    <x v="1"/>
    <n v="1"/>
    <s v="Female"/>
    <x v="0"/>
    <x v="4"/>
    <x v="0"/>
    <n v="7094"/>
    <n v="12"/>
    <x v="1"/>
    <n v="0"/>
    <n v="10"/>
    <n v="0"/>
    <n v="3"/>
    <x v="6"/>
    <n v="7"/>
    <x v="1"/>
    <s v="Good"/>
    <x v="1"/>
    <x v="0"/>
    <x v="1"/>
    <x v="1"/>
    <x v="1"/>
  </r>
  <r>
    <x v="0"/>
    <s v="No"/>
    <x v="0"/>
    <n v="1"/>
    <s v="Female"/>
    <x v="2"/>
    <x v="5"/>
    <x v="3"/>
    <n v="8268"/>
    <n v="14"/>
    <x v="1"/>
    <n v="2"/>
    <n v="7"/>
    <n v="2"/>
    <n v="3"/>
    <x v="6"/>
    <n v="7"/>
    <x v="1"/>
    <s v="Good"/>
    <x v="1"/>
    <x v="0"/>
    <x v="1"/>
    <x v="1"/>
    <x v="1"/>
  </r>
  <r>
    <x v="0"/>
    <s v="No"/>
    <x v="0"/>
    <n v="1"/>
    <s v="Male"/>
    <x v="0"/>
    <x v="5"/>
    <x v="1"/>
    <n v="7140"/>
    <n v="11"/>
    <x v="1"/>
    <n v="1"/>
    <n v="12"/>
    <n v="2"/>
    <n v="3"/>
    <x v="6"/>
    <n v="7"/>
    <x v="1"/>
    <s v="Good"/>
    <x v="1"/>
    <x v="0"/>
    <x v="1"/>
    <x v="1"/>
    <x v="1"/>
  </r>
  <r>
    <x v="0"/>
    <s v="No"/>
    <x v="0"/>
    <n v="1"/>
    <s v="Male"/>
    <x v="2"/>
    <x v="5"/>
    <x v="1"/>
    <n v="8966"/>
    <n v="15"/>
    <x v="1"/>
    <n v="3"/>
    <n v="15"/>
    <n v="2"/>
    <n v="3"/>
    <x v="6"/>
    <n v="7"/>
    <x v="1"/>
    <s v="Good"/>
    <x v="1"/>
    <x v="0"/>
    <x v="1"/>
    <x v="1"/>
    <x v="1"/>
  </r>
  <r>
    <x v="0"/>
    <s v="No"/>
    <x v="1"/>
    <n v="1"/>
    <s v="Male"/>
    <x v="2"/>
    <x v="1"/>
    <x v="2"/>
    <n v="4108"/>
    <n v="13"/>
    <x v="1"/>
    <n v="0"/>
    <n v="18"/>
    <n v="2"/>
    <n v="3"/>
    <x v="6"/>
    <n v="7"/>
    <x v="1"/>
    <s v="Good"/>
    <x v="1"/>
    <x v="0"/>
    <x v="1"/>
    <x v="1"/>
    <x v="1"/>
  </r>
  <r>
    <x v="0"/>
    <s v="No"/>
    <x v="0"/>
    <n v="1"/>
    <s v="Male"/>
    <x v="2"/>
    <x v="5"/>
    <x v="1"/>
    <n v="4960"/>
    <n v="12"/>
    <x v="1"/>
    <n v="0"/>
    <n v="20"/>
    <n v="2"/>
    <n v="3"/>
    <x v="6"/>
    <n v="7"/>
    <x v="1"/>
    <s v="Good"/>
    <x v="1"/>
    <x v="0"/>
    <x v="1"/>
    <x v="1"/>
    <x v="1"/>
  </r>
  <r>
    <x v="0"/>
    <s v="No"/>
    <x v="1"/>
    <n v="1"/>
    <s v="Female"/>
    <x v="1"/>
    <x v="2"/>
    <x v="0"/>
    <n v="2213"/>
    <n v="13"/>
    <x v="1"/>
    <n v="1"/>
    <n v="10"/>
    <n v="3"/>
    <n v="3"/>
    <x v="6"/>
    <n v="7"/>
    <x v="1"/>
    <s v="Good"/>
    <x v="1"/>
    <x v="0"/>
    <x v="1"/>
    <x v="1"/>
    <x v="1"/>
  </r>
  <r>
    <x v="0"/>
    <s v="No"/>
    <x v="0"/>
    <n v="1"/>
    <s v="Female"/>
    <x v="2"/>
    <x v="5"/>
    <x v="1"/>
    <n v="6893"/>
    <n v="15"/>
    <x v="1"/>
    <n v="1"/>
    <n v="11"/>
    <n v="3"/>
    <n v="3"/>
    <x v="6"/>
    <n v="7"/>
    <x v="1"/>
    <s v="Good"/>
    <x v="1"/>
    <x v="0"/>
    <x v="1"/>
    <x v="1"/>
    <x v="1"/>
  </r>
  <r>
    <x v="0"/>
    <s v="No"/>
    <x v="0"/>
    <n v="1"/>
    <s v="Male"/>
    <x v="2"/>
    <x v="5"/>
    <x v="2"/>
    <n v="7547"/>
    <n v="12"/>
    <x v="1"/>
    <n v="3"/>
    <n v="13"/>
    <n v="3"/>
    <n v="3"/>
    <x v="6"/>
    <n v="7"/>
    <x v="1"/>
    <s v="Good"/>
    <x v="1"/>
    <x v="0"/>
    <x v="1"/>
    <x v="1"/>
    <x v="1"/>
  </r>
  <r>
    <x v="0"/>
    <s v="No"/>
    <x v="1"/>
    <n v="1"/>
    <s v="Male"/>
    <x v="1"/>
    <x v="2"/>
    <x v="0"/>
    <n v="2741"/>
    <n v="14"/>
    <x v="1"/>
    <n v="1"/>
    <n v="7"/>
    <n v="4"/>
    <n v="3"/>
    <x v="6"/>
    <n v="7"/>
    <x v="1"/>
    <s v="Good"/>
    <x v="1"/>
    <x v="0"/>
    <x v="1"/>
    <x v="1"/>
    <x v="1"/>
  </r>
  <r>
    <x v="0"/>
    <s v="No"/>
    <x v="1"/>
    <n v="1"/>
    <s v="Male"/>
    <x v="0"/>
    <x v="4"/>
    <x v="1"/>
    <n v="9991"/>
    <n v="15"/>
    <x v="1"/>
    <n v="1"/>
    <n v="9"/>
    <n v="5"/>
    <n v="3"/>
    <x v="6"/>
    <n v="7"/>
    <x v="1"/>
    <s v="Good"/>
    <x v="1"/>
    <x v="0"/>
    <x v="1"/>
    <x v="1"/>
    <x v="1"/>
  </r>
  <r>
    <x v="0"/>
    <s v="No"/>
    <x v="1"/>
    <n v="1"/>
    <s v="Male"/>
    <x v="2"/>
    <x v="6"/>
    <x v="2"/>
    <n v="5762"/>
    <n v="14"/>
    <x v="1"/>
    <n v="1"/>
    <n v="15"/>
    <n v="6"/>
    <n v="3"/>
    <x v="6"/>
    <n v="7"/>
    <x v="1"/>
    <s v="Good"/>
    <x v="1"/>
    <x v="0"/>
    <x v="1"/>
    <x v="1"/>
    <x v="1"/>
  </r>
  <r>
    <x v="0"/>
    <s v="No"/>
    <x v="1"/>
    <n v="1"/>
    <s v="Female"/>
    <x v="4"/>
    <x v="4"/>
    <x v="3"/>
    <n v="13734"/>
    <n v="18"/>
    <x v="1"/>
    <n v="0"/>
    <n v="21"/>
    <n v="6"/>
    <n v="3"/>
    <x v="6"/>
    <n v="7"/>
    <x v="1"/>
    <s v="Good"/>
    <x v="1"/>
    <x v="0"/>
    <x v="1"/>
    <x v="1"/>
    <x v="1"/>
  </r>
  <r>
    <x v="0"/>
    <s v="No"/>
    <x v="0"/>
    <n v="1"/>
    <s v="Male"/>
    <x v="0"/>
    <x v="5"/>
    <x v="0"/>
    <n v="8628"/>
    <n v="18"/>
    <x v="1"/>
    <n v="1"/>
    <n v="9"/>
    <n v="2"/>
    <n v="2"/>
    <x v="7"/>
    <n v="7"/>
    <x v="1"/>
    <s v="Bad"/>
    <x v="1"/>
    <x v="0"/>
    <x v="1"/>
    <x v="1"/>
    <x v="1"/>
  </r>
  <r>
    <x v="0"/>
    <s v="No"/>
    <x v="1"/>
    <n v="1"/>
    <s v="Male"/>
    <x v="1"/>
    <x v="1"/>
    <x v="1"/>
    <n v="3564"/>
    <n v="12"/>
    <x v="1"/>
    <n v="1"/>
    <n v="8"/>
    <n v="3"/>
    <n v="2"/>
    <x v="7"/>
    <n v="7"/>
    <x v="1"/>
    <s v="Bad"/>
    <x v="1"/>
    <x v="0"/>
    <x v="1"/>
    <x v="1"/>
    <x v="1"/>
  </r>
  <r>
    <x v="0"/>
    <s v="No"/>
    <x v="1"/>
    <n v="1"/>
    <s v="Female"/>
    <x v="2"/>
    <x v="4"/>
    <x v="0"/>
    <n v="4335"/>
    <n v="12"/>
    <x v="1"/>
    <n v="1"/>
    <n v="11"/>
    <n v="3"/>
    <n v="2"/>
    <x v="7"/>
    <n v="7"/>
    <x v="1"/>
    <s v="Bad"/>
    <x v="1"/>
    <x v="0"/>
    <x v="1"/>
    <x v="1"/>
    <x v="1"/>
  </r>
  <r>
    <x v="0"/>
    <s v="No"/>
    <x v="1"/>
    <n v="1"/>
    <s v="Female"/>
    <x v="0"/>
    <x v="7"/>
    <x v="1"/>
    <n v="11416"/>
    <n v="12"/>
    <x v="1"/>
    <n v="3"/>
    <n v="9"/>
    <n v="4"/>
    <n v="2"/>
    <x v="7"/>
    <n v="7"/>
    <x v="1"/>
    <s v="Bad"/>
    <x v="1"/>
    <x v="0"/>
    <x v="1"/>
    <x v="1"/>
    <x v="1"/>
  </r>
  <r>
    <x v="0"/>
    <s v="No"/>
    <x v="1"/>
    <n v="1"/>
    <s v="Male"/>
    <x v="2"/>
    <x v="6"/>
    <x v="2"/>
    <n v="5472"/>
    <n v="12"/>
    <x v="1"/>
    <n v="0"/>
    <n v="8"/>
    <n v="2"/>
    <n v="3"/>
    <x v="7"/>
    <n v="7"/>
    <x v="1"/>
    <s v="Good"/>
    <x v="1"/>
    <x v="0"/>
    <x v="1"/>
    <x v="1"/>
    <x v="1"/>
  </r>
  <r>
    <x v="0"/>
    <s v="Yes"/>
    <x v="1"/>
    <n v="1"/>
    <s v="Female"/>
    <x v="1"/>
    <x v="1"/>
    <x v="0"/>
    <n v="2366"/>
    <n v="14"/>
    <x v="1"/>
    <n v="1"/>
    <n v="8"/>
    <n v="2"/>
    <n v="3"/>
    <x v="7"/>
    <n v="7"/>
    <x v="1"/>
    <s v="Good"/>
    <x v="1"/>
    <x v="0"/>
    <x v="1"/>
    <x v="1"/>
    <x v="1"/>
  </r>
  <r>
    <x v="0"/>
    <s v="No"/>
    <x v="0"/>
    <n v="1"/>
    <s v="Female"/>
    <x v="2"/>
    <x v="5"/>
    <x v="0"/>
    <n v="6712"/>
    <n v="21"/>
    <x v="0"/>
    <n v="2"/>
    <n v="8"/>
    <n v="2"/>
    <n v="3"/>
    <x v="7"/>
    <n v="7"/>
    <x v="1"/>
    <s v="Good"/>
    <x v="1"/>
    <x v="0"/>
    <x v="1"/>
    <x v="1"/>
    <x v="0"/>
  </r>
  <r>
    <x v="0"/>
    <s v="No"/>
    <x v="1"/>
    <n v="1"/>
    <s v="Female"/>
    <x v="1"/>
    <x v="1"/>
    <x v="3"/>
    <n v="2756"/>
    <n v="13"/>
    <x v="1"/>
    <n v="1"/>
    <n v="8"/>
    <n v="5"/>
    <n v="3"/>
    <x v="7"/>
    <n v="7"/>
    <x v="1"/>
    <s v="Good"/>
    <x v="1"/>
    <x v="0"/>
    <x v="1"/>
    <x v="1"/>
    <x v="1"/>
  </r>
  <r>
    <x v="0"/>
    <s v="No"/>
    <x v="1"/>
    <n v="1"/>
    <s v="Female"/>
    <x v="1"/>
    <x v="2"/>
    <x v="2"/>
    <n v="2455"/>
    <n v="19"/>
    <x v="1"/>
    <n v="0"/>
    <n v="9"/>
    <n v="5"/>
    <n v="3"/>
    <x v="7"/>
    <n v="7"/>
    <x v="1"/>
    <s v="Good"/>
    <x v="1"/>
    <x v="0"/>
    <x v="1"/>
    <x v="1"/>
    <x v="1"/>
  </r>
  <r>
    <x v="0"/>
    <s v="No"/>
    <x v="1"/>
    <n v="1"/>
    <s v="Male"/>
    <x v="2"/>
    <x v="6"/>
    <x v="0"/>
    <n v="4534"/>
    <n v="11"/>
    <x v="1"/>
    <n v="0"/>
    <n v="9"/>
    <n v="6"/>
    <n v="3"/>
    <x v="7"/>
    <n v="7"/>
    <x v="1"/>
    <s v="Good"/>
    <x v="1"/>
    <x v="0"/>
    <x v="1"/>
    <x v="1"/>
    <x v="1"/>
  </r>
  <r>
    <x v="0"/>
    <s v="No"/>
    <x v="1"/>
    <n v="1"/>
    <s v="Female"/>
    <x v="2"/>
    <x v="1"/>
    <x v="0"/>
    <n v="3660"/>
    <n v="13"/>
    <x v="1"/>
    <n v="0"/>
    <n v="10"/>
    <n v="4"/>
    <n v="4"/>
    <x v="7"/>
    <n v="7"/>
    <x v="1"/>
    <s v="Good"/>
    <x v="1"/>
    <x v="0"/>
    <x v="1"/>
    <x v="1"/>
    <x v="1"/>
  </r>
  <r>
    <x v="0"/>
    <s v="No"/>
    <x v="1"/>
    <n v="1"/>
    <s v="Male"/>
    <x v="2"/>
    <x v="1"/>
    <x v="3"/>
    <n v="5467"/>
    <n v="18"/>
    <x v="1"/>
    <n v="1"/>
    <n v="16"/>
    <n v="4"/>
    <n v="4"/>
    <x v="7"/>
    <n v="7"/>
    <x v="1"/>
    <s v="Good"/>
    <x v="1"/>
    <x v="0"/>
    <x v="1"/>
    <x v="1"/>
    <x v="1"/>
  </r>
  <r>
    <x v="0"/>
    <s v="No"/>
    <x v="1"/>
    <n v="1"/>
    <s v="Male"/>
    <x v="0"/>
    <x v="4"/>
    <x v="2"/>
    <n v="8500"/>
    <n v="11"/>
    <x v="1"/>
    <n v="1"/>
    <n v="10"/>
    <n v="0"/>
    <n v="2"/>
    <x v="8"/>
    <n v="7"/>
    <x v="1"/>
    <s v="Bad"/>
    <x v="1"/>
    <x v="0"/>
    <x v="1"/>
    <x v="1"/>
    <x v="1"/>
  </r>
  <r>
    <x v="0"/>
    <s v="No"/>
    <x v="1"/>
    <n v="1"/>
    <s v="Female"/>
    <x v="0"/>
    <x v="6"/>
    <x v="3"/>
    <n v="7655"/>
    <n v="17"/>
    <x v="1"/>
    <n v="3"/>
    <n v="10"/>
    <n v="3"/>
    <n v="2"/>
    <x v="8"/>
    <n v="7"/>
    <x v="1"/>
    <s v="Bad"/>
    <x v="1"/>
    <x v="0"/>
    <x v="1"/>
    <x v="1"/>
    <x v="1"/>
  </r>
  <r>
    <x v="0"/>
    <s v="No"/>
    <x v="1"/>
    <n v="1"/>
    <s v="Male"/>
    <x v="0"/>
    <x v="6"/>
    <x v="1"/>
    <n v="8793"/>
    <n v="21"/>
    <x v="0"/>
    <n v="2"/>
    <n v="9"/>
    <n v="4"/>
    <n v="2"/>
    <x v="8"/>
    <n v="7"/>
    <x v="1"/>
    <s v="Bad"/>
    <x v="1"/>
    <x v="0"/>
    <x v="1"/>
    <x v="1"/>
    <x v="0"/>
  </r>
  <r>
    <x v="0"/>
    <s v="No"/>
    <x v="1"/>
    <n v="1"/>
    <s v="Female"/>
    <x v="2"/>
    <x v="4"/>
    <x v="2"/>
    <n v="7625"/>
    <n v="13"/>
    <x v="1"/>
    <n v="0"/>
    <n v="10"/>
    <n v="4"/>
    <n v="2"/>
    <x v="8"/>
    <n v="7"/>
    <x v="1"/>
    <s v="Bad"/>
    <x v="1"/>
    <x v="0"/>
    <x v="1"/>
    <x v="1"/>
    <x v="1"/>
  </r>
  <r>
    <x v="0"/>
    <s v="No"/>
    <x v="1"/>
    <n v="1"/>
    <s v="Male"/>
    <x v="0"/>
    <x v="6"/>
    <x v="0"/>
    <n v="9526"/>
    <n v="21"/>
    <x v="0"/>
    <n v="0"/>
    <n v="10"/>
    <n v="2"/>
    <n v="3"/>
    <x v="8"/>
    <n v="7"/>
    <x v="1"/>
    <s v="Good"/>
    <x v="1"/>
    <x v="0"/>
    <x v="1"/>
    <x v="1"/>
    <x v="0"/>
  </r>
  <r>
    <x v="0"/>
    <s v="No"/>
    <x v="2"/>
    <n v="1"/>
    <s v="Male"/>
    <x v="1"/>
    <x v="8"/>
    <x v="2"/>
    <n v="3539"/>
    <n v="13"/>
    <x v="1"/>
    <n v="0"/>
    <n v="10"/>
    <n v="5"/>
    <n v="3"/>
    <x v="8"/>
    <n v="7"/>
    <x v="1"/>
    <s v="Good"/>
    <x v="1"/>
    <x v="0"/>
    <x v="1"/>
    <x v="1"/>
    <x v="1"/>
  </r>
  <r>
    <x v="0"/>
    <s v="Yes"/>
    <x v="1"/>
    <n v="1"/>
    <s v="Female"/>
    <x v="1"/>
    <x v="2"/>
    <x v="1"/>
    <n v="2707"/>
    <n v="20"/>
    <x v="0"/>
    <n v="0"/>
    <n v="13"/>
    <n v="3"/>
    <n v="4"/>
    <x v="8"/>
    <n v="7"/>
    <x v="1"/>
    <s v="Good"/>
    <x v="1"/>
    <x v="0"/>
    <x v="1"/>
    <x v="1"/>
    <x v="0"/>
  </r>
  <r>
    <x v="0"/>
    <s v="No"/>
    <x v="0"/>
    <n v="1"/>
    <s v="Male"/>
    <x v="2"/>
    <x v="5"/>
    <x v="2"/>
    <n v="5441"/>
    <n v="22"/>
    <x v="0"/>
    <n v="0"/>
    <n v="11"/>
    <n v="2"/>
    <n v="1"/>
    <x v="9"/>
    <n v="7"/>
    <x v="1"/>
    <s v="Bad"/>
    <x v="1"/>
    <x v="0"/>
    <x v="1"/>
    <x v="1"/>
    <x v="0"/>
  </r>
  <r>
    <x v="0"/>
    <s v="No"/>
    <x v="1"/>
    <n v="1"/>
    <s v="Male"/>
    <x v="4"/>
    <x v="4"/>
    <x v="2"/>
    <n v="11103"/>
    <n v="11"/>
    <x v="1"/>
    <n v="0"/>
    <n v="30"/>
    <n v="1"/>
    <n v="2"/>
    <x v="9"/>
    <n v="7"/>
    <x v="1"/>
    <s v="Bad"/>
    <x v="1"/>
    <x v="0"/>
    <x v="1"/>
    <x v="1"/>
    <x v="1"/>
  </r>
  <r>
    <x v="0"/>
    <s v="Yes"/>
    <x v="1"/>
    <n v="1"/>
    <s v="Male"/>
    <x v="0"/>
    <x v="4"/>
    <x v="1"/>
    <n v="8722"/>
    <n v="12"/>
    <x v="1"/>
    <n v="0"/>
    <n v="10"/>
    <n v="2"/>
    <n v="2"/>
    <x v="9"/>
    <n v="7"/>
    <x v="1"/>
    <s v="Bad"/>
    <x v="1"/>
    <x v="0"/>
    <x v="1"/>
    <x v="1"/>
    <x v="1"/>
  </r>
  <r>
    <x v="0"/>
    <s v="No"/>
    <x v="1"/>
    <n v="1"/>
    <s v="Male"/>
    <x v="2"/>
    <x v="6"/>
    <x v="2"/>
    <n v="5056"/>
    <n v="15"/>
    <x v="1"/>
    <n v="1"/>
    <n v="10"/>
    <n v="2"/>
    <n v="2"/>
    <x v="9"/>
    <n v="7"/>
    <x v="1"/>
    <s v="Bad"/>
    <x v="1"/>
    <x v="0"/>
    <x v="1"/>
    <x v="1"/>
    <x v="1"/>
  </r>
  <r>
    <x v="0"/>
    <s v="No"/>
    <x v="0"/>
    <n v="1"/>
    <s v="Female"/>
    <x v="2"/>
    <x v="5"/>
    <x v="2"/>
    <n v="5343"/>
    <n v="11"/>
    <x v="1"/>
    <n v="1"/>
    <n v="10"/>
    <n v="1"/>
    <n v="3"/>
    <x v="9"/>
    <n v="7"/>
    <x v="1"/>
    <s v="Good"/>
    <x v="1"/>
    <x v="0"/>
    <x v="1"/>
    <x v="1"/>
    <x v="1"/>
  </r>
  <r>
    <x v="0"/>
    <s v="No"/>
    <x v="1"/>
    <n v="1"/>
    <s v="Female"/>
    <x v="2"/>
    <x v="2"/>
    <x v="1"/>
    <n v="5769"/>
    <n v="14"/>
    <x v="1"/>
    <n v="0"/>
    <n v="10"/>
    <n v="3"/>
    <n v="3"/>
    <x v="9"/>
    <n v="7"/>
    <x v="1"/>
    <s v="Good"/>
    <x v="1"/>
    <x v="0"/>
    <x v="1"/>
    <x v="1"/>
    <x v="1"/>
  </r>
  <r>
    <x v="0"/>
    <s v="No"/>
    <x v="1"/>
    <n v="1"/>
    <s v="Male"/>
    <x v="2"/>
    <x v="1"/>
    <x v="3"/>
    <n v="5130"/>
    <n v="23"/>
    <x v="0"/>
    <n v="1"/>
    <n v="10"/>
    <n v="3"/>
    <n v="3"/>
    <x v="9"/>
    <n v="7"/>
    <x v="1"/>
    <s v="Good"/>
    <x v="1"/>
    <x v="0"/>
    <x v="1"/>
    <x v="1"/>
    <x v="0"/>
  </r>
  <r>
    <x v="0"/>
    <s v="No"/>
    <x v="0"/>
    <n v="1"/>
    <s v="Female"/>
    <x v="2"/>
    <x v="5"/>
    <x v="3"/>
    <n v="5147"/>
    <n v="15"/>
    <x v="1"/>
    <n v="0"/>
    <n v="13"/>
    <n v="2"/>
    <n v="2"/>
    <x v="13"/>
    <n v="7"/>
    <x v="1"/>
    <s v="Bad"/>
    <x v="1"/>
    <x v="0"/>
    <x v="1"/>
    <x v="1"/>
    <x v="1"/>
  </r>
  <r>
    <x v="0"/>
    <s v="No"/>
    <x v="1"/>
    <n v="1"/>
    <s v="Female"/>
    <x v="2"/>
    <x v="6"/>
    <x v="2"/>
    <n v="4424"/>
    <n v="23"/>
    <x v="0"/>
    <n v="0"/>
    <n v="11"/>
    <n v="2"/>
    <n v="3"/>
    <x v="13"/>
    <n v="7"/>
    <x v="1"/>
    <s v="Good"/>
    <x v="1"/>
    <x v="0"/>
    <x v="1"/>
    <x v="1"/>
    <x v="0"/>
  </r>
  <r>
    <x v="0"/>
    <s v="No"/>
    <x v="0"/>
    <n v="1"/>
    <s v="Male"/>
    <x v="2"/>
    <x v="5"/>
    <x v="2"/>
    <n v="5220"/>
    <n v="18"/>
    <x v="1"/>
    <n v="1"/>
    <n v="12"/>
    <n v="3"/>
    <n v="3"/>
    <x v="13"/>
    <n v="7"/>
    <x v="1"/>
    <s v="Good"/>
    <x v="1"/>
    <x v="0"/>
    <x v="1"/>
    <x v="1"/>
    <x v="1"/>
  </r>
  <r>
    <x v="0"/>
    <s v="No"/>
    <x v="1"/>
    <n v="1"/>
    <s v="Female"/>
    <x v="2"/>
    <x v="1"/>
    <x v="0"/>
    <n v="4081"/>
    <n v="14"/>
    <x v="1"/>
    <n v="0"/>
    <n v="20"/>
    <n v="3"/>
    <n v="1"/>
    <x v="16"/>
    <n v="7"/>
    <x v="1"/>
    <s v="Bad"/>
    <x v="1"/>
    <x v="0"/>
    <x v="1"/>
    <x v="1"/>
    <x v="1"/>
  </r>
  <r>
    <x v="0"/>
    <s v="No"/>
    <x v="1"/>
    <n v="1"/>
    <s v="Female"/>
    <x v="3"/>
    <x v="7"/>
    <x v="2"/>
    <n v="19049"/>
    <n v="14"/>
    <x v="1"/>
    <n v="1"/>
    <n v="23"/>
    <n v="4"/>
    <n v="2"/>
    <x v="21"/>
    <n v="7"/>
    <x v="1"/>
    <s v="Bad"/>
    <x v="1"/>
    <x v="0"/>
    <x v="1"/>
    <x v="1"/>
    <x v="1"/>
  </r>
  <r>
    <x v="0"/>
    <s v="Yes"/>
    <x v="1"/>
    <n v="1"/>
    <s v="Female"/>
    <x v="0"/>
    <x v="6"/>
    <x v="2"/>
    <n v="10169"/>
    <n v="16"/>
    <x v="1"/>
    <n v="1"/>
    <n v="34"/>
    <n v="4"/>
    <n v="3"/>
    <x v="20"/>
    <n v="7"/>
    <x v="1"/>
    <s v="Good"/>
    <x v="1"/>
    <x v="0"/>
    <x v="1"/>
    <x v="1"/>
    <x v="1"/>
  </r>
  <r>
    <x v="0"/>
    <s v="No"/>
    <x v="1"/>
    <n v="1"/>
    <s v="Male"/>
    <x v="2"/>
    <x v="1"/>
    <x v="3"/>
    <n v="3055"/>
    <n v="15"/>
    <x v="1"/>
    <n v="2"/>
    <n v="11"/>
    <n v="2"/>
    <n v="2"/>
    <x v="8"/>
    <n v="8"/>
    <x v="1"/>
    <s v="Bad"/>
    <x v="1"/>
    <x v="0"/>
    <x v="1"/>
    <x v="1"/>
    <x v="1"/>
  </r>
  <r>
    <x v="0"/>
    <s v="No"/>
    <x v="0"/>
    <n v="1"/>
    <s v="Male"/>
    <x v="0"/>
    <x v="5"/>
    <x v="1"/>
    <n v="9069"/>
    <n v="22"/>
    <x v="0"/>
    <n v="1"/>
    <n v="9"/>
    <n v="3"/>
    <n v="2"/>
    <x v="8"/>
    <n v="8"/>
    <x v="1"/>
    <s v="Bad"/>
    <x v="1"/>
    <x v="0"/>
    <x v="1"/>
    <x v="1"/>
    <x v="0"/>
  </r>
  <r>
    <x v="0"/>
    <s v="No"/>
    <x v="0"/>
    <n v="1"/>
    <s v="Male"/>
    <x v="0"/>
    <x v="5"/>
    <x v="0"/>
    <n v="8726"/>
    <n v="15"/>
    <x v="1"/>
    <n v="0"/>
    <n v="9"/>
    <n v="0"/>
    <n v="3"/>
    <x v="8"/>
    <n v="8"/>
    <x v="1"/>
    <s v="Good"/>
    <x v="1"/>
    <x v="0"/>
    <x v="1"/>
    <x v="1"/>
    <x v="1"/>
  </r>
  <r>
    <x v="0"/>
    <s v="No"/>
    <x v="1"/>
    <n v="1"/>
    <s v="Male"/>
    <x v="1"/>
    <x v="1"/>
    <x v="0"/>
    <n v="2451"/>
    <n v="12"/>
    <x v="1"/>
    <n v="1"/>
    <n v="13"/>
    <n v="2"/>
    <n v="3"/>
    <x v="8"/>
    <n v="8"/>
    <x v="1"/>
    <s v="Good"/>
    <x v="1"/>
    <x v="0"/>
    <x v="1"/>
    <x v="1"/>
    <x v="1"/>
  </r>
  <r>
    <x v="0"/>
    <s v="No"/>
    <x v="1"/>
    <n v="1"/>
    <s v="Female"/>
    <x v="3"/>
    <x v="7"/>
    <x v="1"/>
    <n v="19701"/>
    <n v="21"/>
    <x v="0"/>
    <n v="1"/>
    <n v="32"/>
    <n v="3"/>
    <n v="3"/>
    <x v="8"/>
    <n v="8"/>
    <x v="1"/>
    <s v="Good"/>
    <x v="1"/>
    <x v="0"/>
    <x v="1"/>
    <x v="1"/>
    <x v="0"/>
  </r>
  <r>
    <x v="0"/>
    <s v="No"/>
    <x v="1"/>
    <n v="1"/>
    <s v="Female"/>
    <x v="2"/>
    <x v="1"/>
    <x v="2"/>
    <n v="5775"/>
    <n v="13"/>
    <x v="1"/>
    <n v="2"/>
    <n v="11"/>
    <n v="2"/>
    <n v="3"/>
    <x v="9"/>
    <n v="8"/>
    <x v="1"/>
    <s v="Good"/>
    <x v="1"/>
    <x v="0"/>
    <x v="1"/>
    <x v="1"/>
    <x v="1"/>
  </r>
  <r>
    <x v="0"/>
    <s v="No"/>
    <x v="1"/>
    <n v="1"/>
    <s v="Male"/>
    <x v="1"/>
    <x v="2"/>
    <x v="3"/>
    <n v="3748"/>
    <n v="13"/>
    <x v="1"/>
    <n v="0"/>
    <n v="12"/>
    <n v="6"/>
    <n v="2"/>
    <x v="25"/>
    <n v="8"/>
    <x v="1"/>
    <s v="Bad"/>
    <x v="1"/>
    <x v="0"/>
    <x v="1"/>
    <x v="1"/>
    <x v="1"/>
  </r>
  <r>
    <x v="0"/>
    <s v="No"/>
    <x v="1"/>
    <n v="1"/>
    <s v="Male"/>
    <x v="3"/>
    <x v="0"/>
    <x v="0"/>
    <n v="19197"/>
    <n v="14"/>
    <x v="1"/>
    <n v="1"/>
    <n v="21"/>
    <n v="3"/>
    <n v="3"/>
    <x v="26"/>
    <n v="8"/>
    <x v="1"/>
    <s v="Good"/>
    <x v="1"/>
    <x v="0"/>
    <x v="1"/>
    <x v="1"/>
    <x v="1"/>
  </r>
  <r>
    <x v="0"/>
    <s v="No"/>
    <x v="1"/>
    <n v="1"/>
    <s v="Male"/>
    <x v="2"/>
    <x v="6"/>
    <x v="0"/>
    <n v="9547"/>
    <n v="17"/>
    <x v="1"/>
    <n v="0"/>
    <n v="10"/>
    <n v="2"/>
    <n v="2"/>
    <x v="9"/>
    <n v="9"/>
    <x v="1"/>
    <s v="Bad"/>
    <x v="1"/>
    <x v="0"/>
    <x v="1"/>
    <x v="1"/>
    <x v="1"/>
  </r>
  <r>
    <x v="0"/>
    <s v="No"/>
    <x v="2"/>
    <n v="1"/>
    <s v="Male"/>
    <x v="3"/>
    <x v="0"/>
    <x v="3"/>
    <n v="19636"/>
    <n v="18"/>
    <x v="1"/>
    <n v="1"/>
    <n v="35"/>
    <n v="0"/>
    <n v="3"/>
    <x v="9"/>
    <n v="9"/>
    <x v="1"/>
    <s v="Good"/>
    <x v="1"/>
    <x v="0"/>
    <x v="1"/>
    <x v="1"/>
    <x v="1"/>
  </r>
  <r>
    <x v="0"/>
    <s v="No"/>
    <x v="1"/>
    <n v="1"/>
    <s v="Female"/>
    <x v="2"/>
    <x v="4"/>
    <x v="1"/>
    <n v="6812"/>
    <n v="19"/>
    <x v="1"/>
    <n v="0"/>
    <n v="10"/>
    <n v="2"/>
    <n v="3"/>
    <x v="9"/>
    <n v="9"/>
    <x v="1"/>
    <s v="Good"/>
    <x v="1"/>
    <x v="0"/>
    <x v="1"/>
    <x v="1"/>
    <x v="1"/>
  </r>
  <r>
    <x v="0"/>
    <s v="No"/>
    <x v="0"/>
    <n v="1"/>
    <s v="Female"/>
    <x v="2"/>
    <x v="5"/>
    <x v="0"/>
    <n v="6118"/>
    <n v="13"/>
    <x v="1"/>
    <n v="3"/>
    <n v="10"/>
    <n v="2"/>
    <n v="3"/>
    <x v="9"/>
    <n v="9"/>
    <x v="1"/>
    <s v="Good"/>
    <x v="1"/>
    <x v="0"/>
    <x v="1"/>
    <x v="1"/>
    <x v="1"/>
  </r>
  <r>
    <x v="0"/>
    <s v="No"/>
    <x v="1"/>
    <n v="1"/>
    <s v="Male"/>
    <x v="1"/>
    <x v="2"/>
    <x v="1"/>
    <n v="4723"/>
    <n v="18"/>
    <x v="1"/>
    <n v="0"/>
    <n v="10"/>
    <n v="3"/>
    <n v="3"/>
    <x v="9"/>
    <n v="9"/>
    <x v="1"/>
    <s v="Good"/>
    <x v="1"/>
    <x v="0"/>
    <x v="1"/>
    <x v="1"/>
    <x v="1"/>
  </r>
  <r>
    <x v="0"/>
    <s v="No"/>
    <x v="0"/>
    <n v="1"/>
    <s v="Female"/>
    <x v="2"/>
    <x v="5"/>
    <x v="0"/>
    <n v="5673"/>
    <n v="13"/>
    <x v="1"/>
    <n v="1"/>
    <n v="10"/>
    <n v="4"/>
    <n v="3"/>
    <x v="9"/>
    <n v="9"/>
    <x v="1"/>
    <s v="Good"/>
    <x v="1"/>
    <x v="0"/>
    <x v="1"/>
    <x v="1"/>
    <x v="1"/>
  </r>
  <r>
    <x v="0"/>
    <s v="No"/>
    <x v="2"/>
    <n v="1"/>
    <s v="Male"/>
    <x v="2"/>
    <x v="8"/>
    <x v="3"/>
    <n v="4490"/>
    <n v="11"/>
    <x v="1"/>
    <n v="2"/>
    <n v="14"/>
    <n v="5"/>
    <n v="4"/>
    <x v="9"/>
    <n v="9"/>
    <x v="1"/>
    <s v="Good"/>
    <x v="1"/>
    <x v="0"/>
    <x v="1"/>
    <x v="1"/>
    <x v="1"/>
  </r>
  <r>
    <x v="0"/>
    <s v="No"/>
    <x v="0"/>
    <n v="1"/>
    <s v="Male"/>
    <x v="0"/>
    <x v="5"/>
    <x v="2"/>
    <n v="9699"/>
    <n v="11"/>
    <x v="1"/>
    <n v="1"/>
    <n v="16"/>
    <n v="2"/>
    <n v="3"/>
    <x v="17"/>
    <n v="9"/>
    <x v="1"/>
    <s v="Good"/>
    <x v="1"/>
    <x v="0"/>
    <x v="1"/>
    <x v="1"/>
    <x v="1"/>
  </r>
  <r>
    <x v="0"/>
    <s v="No"/>
    <x v="1"/>
    <n v="1"/>
    <s v="Female"/>
    <x v="4"/>
    <x v="0"/>
    <x v="2"/>
    <n v="16032"/>
    <n v="20"/>
    <x v="0"/>
    <n v="1"/>
    <n v="26"/>
    <n v="2"/>
    <n v="3"/>
    <x v="23"/>
    <n v="9"/>
    <x v="1"/>
    <s v="Good"/>
    <x v="1"/>
    <x v="0"/>
    <x v="1"/>
    <x v="1"/>
    <x v="0"/>
  </r>
  <r>
    <x v="0"/>
    <s v="No"/>
    <x v="1"/>
    <n v="1"/>
    <s v="Female"/>
    <x v="0"/>
    <x v="4"/>
    <x v="0"/>
    <n v="8823"/>
    <n v="18"/>
    <x v="1"/>
    <n v="1"/>
    <n v="20"/>
    <n v="4"/>
    <n v="2"/>
    <x v="27"/>
    <n v="9"/>
    <x v="1"/>
    <s v="Bad"/>
    <x v="1"/>
    <x v="0"/>
    <x v="1"/>
    <x v="1"/>
    <x v="1"/>
  </r>
  <r>
    <x v="0"/>
    <s v="No"/>
    <x v="1"/>
    <n v="1"/>
    <s v="Female"/>
    <x v="0"/>
    <x v="2"/>
    <x v="3"/>
    <n v="7403"/>
    <n v="11"/>
    <x v="1"/>
    <n v="1"/>
    <n v="29"/>
    <n v="3"/>
    <n v="2"/>
    <x v="10"/>
    <n v="9"/>
    <x v="1"/>
    <s v="Bad"/>
    <x v="1"/>
    <x v="0"/>
    <x v="1"/>
    <x v="1"/>
    <x v="1"/>
  </r>
  <r>
    <x v="0"/>
    <s v="Yes"/>
    <x v="0"/>
    <n v="1"/>
    <s v="Female"/>
    <x v="3"/>
    <x v="0"/>
    <x v="3"/>
    <n v="18824"/>
    <n v="16"/>
    <x v="1"/>
    <n v="0"/>
    <n v="26"/>
    <n v="2"/>
    <n v="3"/>
    <x v="22"/>
    <n v="10"/>
    <x v="1"/>
    <s v="Good"/>
    <x v="1"/>
    <x v="0"/>
    <x v="1"/>
    <x v="1"/>
    <x v="1"/>
  </r>
  <r>
    <x v="0"/>
    <s v="No"/>
    <x v="0"/>
    <n v="1"/>
    <s v="Male"/>
    <x v="4"/>
    <x v="5"/>
    <x v="0"/>
    <n v="13872"/>
    <n v="13"/>
    <x v="1"/>
    <n v="0"/>
    <n v="38"/>
    <n v="1"/>
    <n v="2"/>
    <x v="28"/>
    <n v="10"/>
    <x v="1"/>
    <s v="Bad"/>
    <x v="1"/>
    <x v="0"/>
    <x v="1"/>
    <x v="1"/>
    <x v="1"/>
  </r>
  <r>
    <x v="0"/>
    <s v="No"/>
    <x v="1"/>
    <n v="1"/>
    <s v="Male"/>
    <x v="4"/>
    <x v="6"/>
    <x v="0"/>
    <n v="13973"/>
    <n v="18"/>
    <x v="1"/>
    <n v="1"/>
    <n v="22"/>
    <n v="2"/>
    <n v="3"/>
    <x v="25"/>
    <n v="11"/>
    <x v="1"/>
    <s v="Good"/>
    <x v="1"/>
    <x v="0"/>
    <x v="1"/>
    <x v="1"/>
    <x v="1"/>
  </r>
  <r>
    <x v="0"/>
    <s v="No"/>
    <x v="1"/>
    <n v="1"/>
    <s v="Female"/>
    <x v="2"/>
    <x v="1"/>
    <x v="2"/>
    <n v="5329"/>
    <n v="12"/>
    <x v="1"/>
    <n v="3"/>
    <n v="17"/>
    <n v="3"/>
    <n v="3"/>
    <x v="17"/>
    <n v="11"/>
    <x v="1"/>
    <s v="Good"/>
    <x v="1"/>
    <x v="0"/>
    <x v="1"/>
    <x v="1"/>
    <x v="1"/>
  </r>
  <r>
    <x v="0"/>
    <s v="No"/>
    <x v="1"/>
    <n v="1"/>
    <s v="Female"/>
    <x v="0"/>
    <x v="7"/>
    <x v="1"/>
    <n v="13269"/>
    <n v="15"/>
    <x v="1"/>
    <n v="3"/>
    <n v="19"/>
    <n v="3"/>
    <n v="3"/>
    <x v="23"/>
    <n v="11"/>
    <x v="1"/>
    <s v="Good"/>
    <x v="1"/>
    <x v="0"/>
    <x v="1"/>
    <x v="1"/>
    <x v="1"/>
  </r>
  <r>
    <x v="0"/>
    <s v="No"/>
    <x v="1"/>
    <n v="1"/>
    <s v="Male"/>
    <x v="2"/>
    <x v="4"/>
    <x v="0"/>
    <n v="6306"/>
    <n v="21"/>
    <x v="0"/>
    <n v="1"/>
    <n v="13"/>
    <n v="2"/>
    <n v="2"/>
    <x v="17"/>
    <n v="12"/>
    <x v="1"/>
    <s v="Bad"/>
    <x v="1"/>
    <x v="0"/>
    <x v="1"/>
    <x v="1"/>
    <x v="0"/>
  </r>
  <r>
    <x v="0"/>
    <s v="No"/>
    <x v="1"/>
    <n v="1"/>
    <s v="Female"/>
    <x v="2"/>
    <x v="1"/>
    <x v="1"/>
    <n v="4615"/>
    <n v="23"/>
    <x v="0"/>
    <n v="3"/>
    <n v="19"/>
    <n v="2"/>
    <n v="3"/>
    <x v="14"/>
    <n v="13"/>
    <x v="1"/>
    <s v="Good"/>
    <x v="1"/>
    <x v="0"/>
    <x v="1"/>
    <x v="1"/>
    <x v="0"/>
  </r>
  <r>
    <x v="0"/>
    <s v="No"/>
    <x v="0"/>
    <n v="1"/>
    <s v="Female"/>
    <x v="4"/>
    <x v="0"/>
    <x v="2"/>
    <n v="16064"/>
    <n v="22"/>
    <x v="0"/>
    <n v="1"/>
    <n v="22"/>
    <n v="3"/>
    <n v="3"/>
    <x v="18"/>
    <n v="13"/>
    <x v="1"/>
    <s v="Good"/>
    <x v="1"/>
    <x v="0"/>
    <x v="1"/>
    <x v="1"/>
    <x v="0"/>
  </r>
  <r>
    <x v="0"/>
    <s v="No"/>
    <x v="0"/>
    <n v="1"/>
    <s v="Male"/>
    <x v="0"/>
    <x v="5"/>
    <x v="1"/>
    <n v="10475"/>
    <n v="21"/>
    <x v="0"/>
    <n v="1"/>
    <n v="20"/>
    <n v="2"/>
    <n v="3"/>
    <x v="15"/>
    <n v="13"/>
    <x v="1"/>
    <s v="Good"/>
    <x v="1"/>
    <x v="0"/>
    <x v="1"/>
    <x v="1"/>
    <x v="0"/>
  </r>
  <r>
    <x v="0"/>
    <s v="No"/>
    <x v="1"/>
    <n v="1"/>
    <s v="Male"/>
    <x v="2"/>
    <x v="1"/>
    <x v="1"/>
    <n v="5208"/>
    <n v="11"/>
    <x v="1"/>
    <n v="0"/>
    <n v="16"/>
    <n v="2"/>
    <n v="3"/>
    <x v="14"/>
    <n v="15"/>
    <x v="1"/>
    <s v="Good"/>
    <x v="1"/>
    <x v="0"/>
    <x v="1"/>
    <x v="1"/>
    <x v="1"/>
  </r>
  <r>
    <x v="0"/>
    <s v="No"/>
    <x v="0"/>
    <n v="1"/>
    <s v="Female"/>
    <x v="3"/>
    <x v="0"/>
    <x v="0"/>
    <n v="18041"/>
    <n v="14"/>
    <x v="1"/>
    <n v="0"/>
    <n v="21"/>
    <n v="2"/>
    <n v="3"/>
    <x v="16"/>
    <n v="15"/>
    <x v="1"/>
    <s v="Good"/>
    <x v="1"/>
    <x v="0"/>
    <x v="1"/>
    <x v="1"/>
    <x v="1"/>
  </r>
  <r>
    <x v="0"/>
    <s v="No"/>
    <x v="1"/>
    <n v="1"/>
    <s v="Female"/>
    <x v="0"/>
    <x v="7"/>
    <x v="0"/>
    <n v="13206"/>
    <n v="12"/>
    <x v="1"/>
    <n v="1"/>
    <n v="20"/>
    <n v="3"/>
    <n v="3"/>
    <x v="15"/>
    <n v="16"/>
    <x v="1"/>
    <s v="Good"/>
    <x v="1"/>
    <x v="0"/>
    <x v="1"/>
    <x v="1"/>
    <x v="1"/>
  </r>
  <r>
    <x v="0"/>
    <s v="Yes"/>
    <x v="1"/>
    <n v="1"/>
    <s v="Male"/>
    <x v="1"/>
    <x v="1"/>
    <x v="2"/>
    <n v="2293"/>
    <n v="16"/>
    <x v="1"/>
    <n v="1"/>
    <n v="6"/>
    <n v="2"/>
    <n v="2"/>
    <x v="2"/>
    <n v="0"/>
    <x v="2"/>
    <s v="Bad"/>
    <x v="0"/>
    <x v="0"/>
    <x v="0"/>
    <x v="0"/>
    <x v="1"/>
  </r>
  <r>
    <x v="0"/>
    <s v="Yes"/>
    <x v="0"/>
    <n v="1"/>
    <s v="Female"/>
    <x v="2"/>
    <x v="5"/>
    <x v="0"/>
    <n v="9854"/>
    <n v="11"/>
    <x v="1"/>
    <n v="0"/>
    <n v="6"/>
    <n v="0"/>
    <n v="3"/>
    <x v="2"/>
    <n v="0"/>
    <x v="2"/>
    <s v="Good"/>
    <x v="0"/>
    <x v="0"/>
    <x v="0"/>
    <x v="0"/>
    <x v="1"/>
  </r>
  <r>
    <x v="0"/>
    <s v="No"/>
    <x v="1"/>
    <n v="1"/>
    <s v="Female"/>
    <x v="0"/>
    <x v="6"/>
    <x v="3"/>
    <n v="8376"/>
    <n v="18"/>
    <x v="1"/>
    <n v="0"/>
    <n v="9"/>
    <n v="3"/>
    <n v="3"/>
    <x v="2"/>
    <n v="0"/>
    <x v="2"/>
    <s v="Good"/>
    <x v="0"/>
    <x v="0"/>
    <x v="0"/>
    <x v="0"/>
    <x v="1"/>
  </r>
  <r>
    <x v="0"/>
    <s v="No"/>
    <x v="0"/>
    <n v="1"/>
    <s v="Male"/>
    <x v="4"/>
    <x v="5"/>
    <x v="2"/>
    <n v="11836"/>
    <n v="14"/>
    <x v="1"/>
    <n v="1"/>
    <n v="28"/>
    <n v="3"/>
    <n v="3"/>
    <x v="2"/>
    <n v="0"/>
    <x v="2"/>
    <s v="Good"/>
    <x v="0"/>
    <x v="0"/>
    <x v="0"/>
    <x v="0"/>
    <x v="1"/>
  </r>
  <r>
    <x v="0"/>
    <s v="No"/>
    <x v="1"/>
    <n v="1"/>
    <s v="Male"/>
    <x v="2"/>
    <x v="4"/>
    <x v="1"/>
    <n v="5033"/>
    <n v="15"/>
    <x v="1"/>
    <n v="1"/>
    <n v="10"/>
    <n v="5"/>
    <n v="3"/>
    <x v="2"/>
    <n v="0"/>
    <x v="2"/>
    <s v="Good"/>
    <x v="0"/>
    <x v="0"/>
    <x v="0"/>
    <x v="0"/>
    <x v="1"/>
  </r>
  <r>
    <x v="0"/>
    <s v="No"/>
    <x v="1"/>
    <n v="1"/>
    <s v="Male"/>
    <x v="0"/>
    <x v="4"/>
    <x v="1"/>
    <n v="9884"/>
    <n v="13"/>
    <x v="1"/>
    <n v="1"/>
    <n v="10"/>
    <n v="3"/>
    <n v="3"/>
    <x v="11"/>
    <n v="0"/>
    <x v="2"/>
    <s v="Good"/>
    <x v="2"/>
    <x v="0"/>
    <x v="0"/>
    <x v="0"/>
    <x v="1"/>
  </r>
  <r>
    <x v="0"/>
    <s v="Yes"/>
    <x v="1"/>
    <n v="1"/>
    <s v="Male"/>
    <x v="1"/>
    <x v="1"/>
    <x v="0"/>
    <n v="2461"/>
    <n v="12"/>
    <x v="1"/>
    <n v="3"/>
    <n v="18"/>
    <n v="2"/>
    <n v="4"/>
    <x v="9"/>
    <n v="0"/>
    <x v="2"/>
    <s v="Good"/>
    <x v="1"/>
    <x v="0"/>
    <x v="0"/>
    <x v="0"/>
    <x v="1"/>
  </r>
  <r>
    <x v="0"/>
    <s v="No"/>
    <x v="0"/>
    <n v="1"/>
    <s v="Male"/>
    <x v="2"/>
    <x v="5"/>
    <x v="0"/>
    <n v="5301"/>
    <n v="15"/>
    <x v="1"/>
    <n v="2"/>
    <n v="4"/>
    <n v="2"/>
    <n v="2"/>
    <x v="2"/>
    <n v="1"/>
    <x v="2"/>
    <s v="Bad"/>
    <x v="0"/>
    <x v="0"/>
    <x v="0"/>
    <x v="0"/>
    <x v="1"/>
  </r>
  <r>
    <x v="0"/>
    <s v="No"/>
    <x v="0"/>
    <n v="1"/>
    <s v="Male"/>
    <x v="1"/>
    <x v="3"/>
    <x v="2"/>
    <n v="2678"/>
    <n v="17"/>
    <x v="1"/>
    <n v="0"/>
    <n v="2"/>
    <n v="2"/>
    <n v="3"/>
    <x v="2"/>
    <n v="1"/>
    <x v="2"/>
    <s v="Good"/>
    <x v="0"/>
    <x v="0"/>
    <x v="0"/>
    <x v="0"/>
    <x v="1"/>
  </r>
  <r>
    <x v="0"/>
    <s v="No"/>
    <x v="1"/>
    <n v="1"/>
    <s v="Male"/>
    <x v="1"/>
    <x v="2"/>
    <x v="2"/>
    <n v="2523"/>
    <n v="14"/>
    <x v="1"/>
    <n v="1"/>
    <n v="3"/>
    <n v="2"/>
    <n v="3"/>
    <x v="2"/>
    <n v="1"/>
    <x v="2"/>
    <s v="Good"/>
    <x v="0"/>
    <x v="0"/>
    <x v="0"/>
    <x v="0"/>
    <x v="1"/>
  </r>
  <r>
    <x v="0"/>
    <s v="No"/>
    <x v="1"/>
    <n v="1"/>
    <s v="Male"/>
    <x v="1"/>
    <x v="1"/>
    <x v="2"/>
    <n v="2515"/>
    <n v="14"/>
    <x v="1"/>
    <n v="0"/>
    <n v="8"/>
    <n v="2"/>
    <n v="3"/>
    <x v="2"/>
    <n v="1"/>
    <x v="2"/>
    <s v="Good"/>
    <x v="0"/>
    <x v="0"/>
    <x v="0"/>
    <x v="0"/>
    <x v="1"/>
  </r>
  <r>
    <x v="0"/>
    <s v="No"/>
    <x v="1"/>
    <n v="1"/>
    <s v="Male"/>
    <x v="3"/>
    <x v="7"/>
    <x v="2"/>
    <n v="19328"/>
    <n v="17"/>
    <x v="1"/>
    <n v="1"/>
    <n v="24"/>
    <n v="3"/>
    <n v="3"/>
    <x v="2"/>
    <n v="1"/>
    <x v="2"/>
    <s v="Good"/>
    <x v="0"/>
    <x v="0"/>
    <x v="0"/>
    <x v="0"/>
    <x v="1"/>
  </r>
  <r>
    <x v="0"/>
    <s v="No"/>
    <x v="0"/>
    <n v="1"/>
    <s v="Male"/>
    <x v="2"/>
    <x v="5"/>
    <x v="2"/>
    <n v="4127"/>
    <n v="18"/>
    <x v="1"/>
    <n v="1"/>
    <n v="7"/>
    <n v="6"/>
    <n v="3"/>
    <x v="2"/>
    <n v="1"/>
    <x v="2"/>
    <s v="Good"/>
    <x v="0"/>
    <x v="0"/>
    <x v="0"/>
    <x v="0"/>
    <x v="1"/>
  </r>
  <r>
    <x v="0"/>
    <s v="No"/>
    <x v="1"/>
    <n v="1"/>
    <s v="Female"/>
    <x v="2"/>
    <x v="1"/>
    <x v="3"/>
    <n v="5878"/>
    <n v="12"/>
    <x v="1"/>
    <n v="1"/>
    <n v="12"/>
    <n v="2"/>
    <n v="3"/>
    <x v="6"/>
    <n v="1"/>
    <x v="2"/>
    <s v="Good"/>
    <x v="1"/>
    <x v="0"/>
    <x v="0"/>
    <x v="0"/>
    <x v="1"/>
  </r>
  <r>
    <x v="0"/>
    <s v="No"/>
    <x v="1"/>
    <n v="1"/>
    <s v="Male"/>
    <x v="1"/>
    <x v="1"/>
    <x v="3"/>
    <n v="2024"/>
    <n v="18"/>
    <x v="1"/>
    <n v="1"/>
    <n v="6"/>
    <n v="1"/>
    <n v="1"/>
    <x v="2"/>
    <n v="2"/>
    <x v="2"/>
    <s v="Bad"/>
    <x v="0"/>
    <x v="0"/>
    <x v="0"/>
    <x v="0"/>
    <x v="1"/>
  </r>
  <r>
    <x v="0"/>
    <s v="Yes"/>
    <x v="1"/>
    <n v="1"/>
    <s v="Female"/>
    <x v="1"/>
    <x v="2"/>
    <x v="0"/>
    <n v="2625"/>
    <n v="20"/>
    <x v="0"/>
    <n v="0"/>
    <n v="2"/>
    <n v="2"/>
    <n v="1"/>
    <x v="2"/>
    <n v="2"/>
    <x v="2"/>
    <s v="Bad"/>
    <x v="0"/>
    <x v="0"/>
    <x v="0"/>
    <x v="0"/>
    <x v="0"/>
  </r>
  <r>
    <x v="0"/>
    <s v="No"/>
    <x v="1"/>
    <n v="1"/>
    <s v="Male"/>
    <x v="1"/>
    <x v="1"/>
    <x v="2"/>
    <n v="2695"/>
    <n v="18"/>
    <x v="1"/>
    <n v="1"/>
    <n v="3"/>
    <n v="2"/>
    <n v="1"/>
    <x v="2"/>
    <n v="2"/>
    <x v="2"/>
    <s v="Bad"/>
    <x v="0"/>
    <x v="0"/>
    <x v="0"/>
    <x v="0"/>
    <x v="1"/>
  </r>
  <r>
    <x v="0"/>
    <s v="No"/>
    <x v="1"/>
    <n v="1"/>
    <s v="Male"/>
    <x v="2"/>
    <x v="6"/>
    <x v="2"/>
    <n v="4775"/>
    <n v="22"/>
    <x v="0"/>
    <n v="2"/>
    <n v="4"/>
    <n v="2"/>
    <n v="1"/>
    <x v="2"/>
    <n v="2"/>
    <x v="2"/>
    <s v="Bad"/>
    <x v="0"/>
    <x v="0"/>
    <x v="0"/>
    <x v="0"/>
    <x v="0"/>
  </r>
  <r>
    <x v="0"/>
    <s v="Yes"/>
    <x v="1"/>
    <n v="1"/>
    <s v="Male"/>
    <x v="1"/>
    <x v="2"/>
    <x v="2"/>
    <n v="3722"/>
    <n v="13"/>
    <x v="1"/>
    <n v="1"/>
    <n v="7"/>
    <n v="2"/>
    <n v="1"/>
    <x v="2"/>
    <n v="2"/>
    <x v="2"/>
    <s v="Bad"/>
    <x v="0"/>
    <x v="0"/>
    <x v="0"/>
    <x v="0"/>
    <x v="1"/>
  </r>
  <r>
    <x v="0"/>
    <s v="Yes"/>
    <x v="1"/>
    <n v="1"/>
    <s v="Male"/>
    <x v="1"/>
    <x v="2"/>
    <x v="1"/>
    <n v="2404"/>
    <n v="21"/>
    <x v="0"/>
    <n v="0"/>
    <n v="8"/>
    <n v="2"/>
    <n v="1"/>
    <x v="2"/>
    <n v="2"/>
    <x v="2"/>
    <s v="Bad"/>
    <x v="0"/>
    <x v="0"/>
    <x v="0"/>
    <x v="0"/>
    <x v="0"/>
  </r>
  <r>
    <x v="0"/>
    <s v="No"/>
    <x v="0"/>
    <n v="1"/>
    <s v="Male"/>
    <x v="2"/>
    <x v="5"/>
    <x v="1"/>
    <n v="6392"/>
    <n v="13"/>
    <x v="1"/>
    <n v="1"/>
    <n v="8"/>
    <n v="6"/>
    <n v="1"/>
    <x v="2"/>
    <n v="2"/>
    <x v="2"/>
    <s v="Bad"/>
    <x v="0"/>
    <x v="0"/>
    <x v="0"/>
    <x v="0"/>
    <x v="1"/>
  </r>
  <r>
    <x v="0"/>
    <s v="No"/>
    <x v="1"/>
    <n v="1"/>
    <s v="Female"/>
    <x v="1"/>
    <x v="2"/>
    <x v="0"/>
    <n v="3978"/>
    <n v="12"/>
    <x v="1"/>
    <n v="1"/>
    <n v="4"/>
    <n v="0"/>
    <n v="2"/>
    <x v="2"/>
    <n v="2"/>
    <x v="2"/>
    <s v="Bad"/>
    <x v="0"/>
    <x v="0"/>
    <x v="0"/>
    <x v="0"/>
    <x v="1"/>
  </r>
  <r>
    <x v="0"/>
    <s v="No"/>
    <x v="0"/>
    <n v="1"/>
    <s v="Female"/>
    <x v="1"/>
    <x v="3"/>
    <x v="2"/>
    <n v="2342"/>
    <n v="19"/>
    <x v="1"/>
    <n v="0"/>
    <n v="3"/>
    <n v="2"/>
    <n v="2"/>
    <x v="2"/>
    <n v="2"/>
    <x v="2"/>
    <s v="Bad"/>
    <x v="0"/>
    <x v="0"/>
    <x v="0"/>
    <x v="0"/>
    <x v="1"/>
  </r>
  <r>
    <x v="0"/>
    <s v="No"/>
    <x v="2"/>
    <n v="1"/>
    <s v="Male"/>
    <x v="1"/>
    <x v="8"/>
    <x v="0"/>
    <n v="2267"/>
    <n v="17"/>
    <x v="1"/>
    <n v="0"/>
    <n v="7"/>
    <n v="2"/>
    <n v="2"/>
    <x v="2"/>
    <n v="2"/>
    <x v="2"/>
    <s v="Bad"/>
    <x v="0"/>
    <x v="0"/>
    <x v="0"/>
    <x v="0"/>
    <x v="1"/>
  </r>
  <r>
    <x v="0"/>
    <s v="Yes"/>
    <x v="0"/>
    <n v="1"/>
    <s v="Male"/>
    <x v="2"/>
    <x v="5"/>
    <x v="2"/>
    <n v="5440"/>
    <n v="14"/>
    <x v="1"/>
    <n v="2"/>
    <n v="7"/>
    <n v="2"/>
    <n v="2"/>
    <x v="2"/>
    <n v="2"/>
    <x v="2"/>
    <s v="Bad"/>
    <x v="0"/>
    <x v="0"/>
    <x v="0"/>
    <x v="0"/>
    <x v="1"/>
  </r>
  <r>
    <x v="0"/>
    <s v="Yes"/>
    <x v="0"/>
    <n v="1"/>
    <s v="Male"/>
    <x v="0"/>
    <x v="5"/>
    <x v="1"/>
    <n v="10448"/>
    <n v="13"/>
    <x v="1"/>
    <n v="0"/>
    <n v="15"/>
    <n v="2"/>
    <n v="2"/>
    <x v="2"/>
    <n v="2"/>
    <x v="2"/>
    <s v="Bad"/>
    <x v="0"/>
    <x v="0"/>
    <x v="0"/>
    <x v="0"/>
    <x v="1"/>
  </r>
  <r>
    <x v="0"/>
    <s v="No"/>
    <x v="1"/>
    <n v="1"/>
    <s v="Male"/>
    <x v="0"/>
    <x v="6"/>
    <x v="0"/>
    <n v="10209"/>
    <n v="18"/>
    <x v="1"/>
    <n v="0"/>
    <n v="16"/>
    <n v="2"/>
    <n v="2"/>
    <x v="2"/>
    <n v="2"/>
    <x v="2"/>
    <s v="Bad"/>
    <x v="0"/>
    <x v="0"/>
    <x v="0"/>
    <x v="0"/>
    <x v="1"/>
  </r>
  <r>
    <x v="0"/>
    <s v="No"/>
    <x v="1"/>
    <n v="1"/>
    <s v="Female"/>
    <x v="1"/>
    <x v="2"/>
    <x v="1"/>
    <n v="2587"/>
    <n v="16"/>
    <x v="1"/>
    <n v="1"/>
    <n v="17"/>
    <n v="2"/>
    <n v="2"/>
    <x v="2"/>
    <n v="2"/>
    <x v="2"/>
    <s v="Bad"/>
    <x v="0"/>
    <x v="0"/>
    <x v="0"/>
    <x v="0"/>
    <x v="1"/>
  </r>
  <r>
    <x v="0"/>
    <s v="No"/>
    <x v="0"/>
    <n v="1"/>
    <s v="Female"/>
    <x v="3"/>
    <x v="0"/>
    <x v="1"/>
    <n v="18947"/>
    <n v="12"/>
    <x v="1"/>
    <n v="0"/>
    <n v="22"/>
    <n v="2"/>
    <n v="2"/>
    <x v="2"/>
    <n v="2"/>
    <x v="2"/>
    <s v="Bad"/>
    <x v="0"/>
    <x v="0"/>
    <x v="0"/>
    <x v="0"/>
    <x v="1"/>
  </r>
  <r>
    <x v="0"/>
    <s v="Yes"/>
    <x v="1"/>
    <n v="1"/>
    <s v="Male"/>
    <x v="1"/>
    <x v="2"/>
    <x v="0"/>
    <n v="3441"/>
    <n v="13"/>
    <x v="1"/>
    <n v="0"/>
    <n v="2"/>
    <n v="3"/>
    <n v="2"/>
    <x v="2"/>
    <n v="2"/>
    <x v="2"/>
    <s v="Bad"/>
    <x v="0"/>
    <x v="0"/>
    <x v="0"/>
    <x v="0"/>
    <x v="1"/>
  </r>
  <r>
    <x v="0"/>
    <s v="No"/>
    <x v="1"/>
    <n v="1"/>
    <s v="Female"/>
    <x v="1"/>
    <x v="1"/>
    <x v="3"/>
    <n v="2096"/>
    <n v="18"/>
    <x v="1"/>
    <n v="0"/>
    <n v="2"/>
    <n v="3"/>
    <n v="2"/>
    <x v="2"/>
    <n v="2"/>
    <x v="2"/>
    <s v="Bad"/>
    <x v="0"/>
    <x v="0"/>
    <x v="0"/>
    <x v="0"/>
    <x v="1"/>
  </r>
  <r>
    <x v="0"/>
    <s v="Yes"/>
    <x v="1"/>
    <n v="1"/>
    <s v="Male"/>
    <x v="1"/>
    <x v="1"/>
    <x v="0"/>
    <n v="4382"/>
    <n v="17"/>
    <x v="1"/>
    <n v="0"/>
    <n v="5"/>
    <n v="3"/>
    <n v="2"/>
    <x v="2"/>
    <n v="2"/>
    <x v="2"/>
    <s v="Bad"/>
    <x v="0"/>
    <x v="0"/>
    <x v="0"/>
    <x v="0"/>
    <x v="1"/>
  </r>
  <r>
    <x v="0"/>
    <s v="No"/>
    <x v="1"/>
    <n v="1"/>
    <s v="Female"/>
    <x v="1"/>
    <x v="2"/>
    <x v="2"/>
    <n v="3212"/>
    <n v="15"/>
    <x v="1"/>
    <n v="0"/>
    <n v="6"/>
    <n v="3"/>
    <n v="2"/>
    <x v="2"/>
    <n v="2"/>
    <x v="2"/>
    <s v="Bad"/>
    <x v="0"/>
    <x v="0"/>
    <x v="0"/>
    <x v="0"/>
    <x v="1"/>
  </r>
  <r>
    <x v="0"/>
    <s v="Yes"/>
    <x v="0"/>
    <n v="1"/>
    <s v="Male"/>
    <x v="2"/>
    <x v="5"/>
    <x v="3"/>
    <n v="9907"/>
    <n v="12"/>
    <x v="1"/>
    <n v="0"/>
    <n v="7"/>
    <n v="3"/>
    <n v="2"/>
    <x v="2"/>
    <n v="2"/>
    <x v="2"/>
    <s v="Bad"/>
    <x v="0"/>
    <x v="0"/>
    <x v="0"/>
    <x v="0"/>
    <x v="1"/>
  </r>
  <r>
    <x v="0"/>
    <s v="No"/>
    <x v="1"/>
    <n v="1"/>
    <s v="Male"/>
    <x v="2"/>
    <x v="1"/>
    <x v="2"/>
    <n v="5484"/>
    <n v="17"/>
    <x v="1"/>
    <n v="1"/>
    <n v="9"/>
    <n v="3"/>
    <n v="2"/>
    <x v="2"/>
    <n v="2"/>
    <x v="2"/>
    <s v="Bad"/>
    <x v="0"/>
    <x v="0"/>
    <x v="0"/>
    <x v="0"/>
    <x v="1"/>
  </r>
  <r>
    <x v="0"/>
    <s v="No"/>
    <x v="0"/>
    <n v="1"/>
    <s v="Female"/>
    <x v="1"/>
    <x v="3"/>
    <x v="3"/>
    <n v="2789"/>
    <n v="11"/>
    <x v="1"/>
    <n v="1"/>
    <n v="2"/>
    <n v="5"/>
    <n v="2"/>
    <x v="2"/>
    <n v="2"/>
    <x v="2"/>
    <s v="Bad"/>
    <x v="0"/>
    <x v="0"/>
    <x v="0"/>
    <x v="0"/>
    <x v="1"/>
  </r>
  <r>
    <x v="0"/>
    <s v="Yes"/>
    <x v="1"/>
    <n v="1"/>
    <s v="Male"/>
    <x v="1"/>
    <x v="2"/>
    <x v="0"/>
    <n v="2610"/>
    <n v="12"/>
    <x v="1"/>
    <n v="1"/>
    <n v="2"/>
    <n v="5"/>
    <n v="2"/>
    <x v="2"/>
    <n v="2"/>
    <x v="2"/>
    <s v="Bad"/>
    <x v="0"/>
    <x v="0"/>
    <x v="0"/>
    <x v="0"/>
    <x v="1"/>
  </r>
  <r>
    <x v="0"/>
    <s v="Yes"/>
    <x v="2"/>
    <n v="1"/>
    <s v="Female"/>
    <x v="1"/>
    <x v="8"/>
    <x v="0"/>
    <n v="2742"/>
    <n v="15"/>
    <x v="1"/>
    <n v="0"/>
    <n v="2"/>
    <n v="0"/>
    <n v="3"/>
    <x v="2"/>
    <n v="2"/>
    <x v="2"/>
    <s v="Good"/>
    <x v="0"/>
    <x v="0"/>
    <x v="0"/>
    <x v="0"/>
    <x v="1"/>
  </r>
  <r>
    <x v="0"/>
    <s v="Yes"/>
    <x v="1"/>
    <n v="1"/>
    <s v="Male"/>
    <x v="1"/>
    <x v="1"/>
    <x v="3"/>
    <n v="2313"/>
    <n v="20"/>
    <x v="0"/>
    <n v="0"/>
    <n v="5"/>
    <n v="0"/>
    <n v="3"/>
    <x v="2"/>
    <n v="2"/>
    <x v="2"/>
    <s v="Good"/>
    <x v="0"/>
    <x v="0"/>
    <x v="0"/>
    <x v="0"/>
    <x v="0"/>
  </r>
  <r>
    <x v="0"/>
    <s v="No"/>
    <x v="1"/>
    <n v="1"/>
    <s v="Female"/>
    <x v="1"/>
    <x v="1"/>
    <x v="0"/>
    <n v="2506"/>
    <n v="13"/>
    <x v="1"/>
    <n v="0"/>
    <n v="7"/>
    <n v="0"/>
    <n v="3"/>
    <x v="2"/>
    <n v="2"/>
    <x v="2"/>
    <s v="Good"/>
    <x v="0"/>
    <x v="0"/>
    <x v="0"/>
    <x v="0"/>
    <x v="1"/>
  </r>
  <r>
    <x v="0"/>
    <s v="No"/>
    <x v="1"/>
    <n v="1"/>
    <s v="Male"/>
    <x v="2"/>
    <x v="4"/>
    <x v="0"/>
    <n v="4240"/>
    <n v="13"/>
    <x v="1"/>
    <n v="0"/>
    <n v="19"/>
    <n v="0"/>
    <n v="3"/>
    <x v="2"/>
    <n v="2"/>
    <x v="2"/>
    <s v="Good"/>
    <x v="0"/>
    <x v="0"/>
    <x v="0"/>
    <x v="0"/>
    <x v="1"/>
  </r>
  <r>
    <x v="0"/>
    <s v="No"/>
    <x v="1"/>
    <n v="1"/>
    <s v="Male"/>
    <x v="3"/>
    <x v="7"/>
    <x v="2"/>
    <n v="19627"/>
    <n v="17"/>
    <x v="1"/>
    <n v="2"/>
    <n v="23"/>
    <n v="0"/>
    <n v="3"/>
    <x v="2"/>
    <n v="2"/>
    <x v="2"/>
    <s v="Good"/>
    <x v="0"/>
    <x v="0"/>
    <x v="0"/>
    <x v="0"/>
    <x v="1"/>
  </r>
  <r>
    <x v="0"/>
    <s v="No"/>
    <x v="1"/>
    <n v="1"/>
    <s v="Male"/>
    <x v="2"/>
    <x v="6"/>
    <x v="1"/>
    <n v="4298"/>
    <n v="19"/>
    <x v="1"/>
    <n v="1"/>
    <n v="6"/>
    <n v="1"/>
    <n v="3"/>
    <x v="2"/>
    <n v="2"/>
    <x v="2"/>
    <s v="Good"/>
    <x v="0"/>
    <x v="0"/>
    <x v="0"/>
    <x v="0"/>
    <x v="1"/>
  </r>
  <r>
    <x v="0"/>
    <s v="No"/>
    <x v="0"/>
    <n v="1"/>
    <s v="Male"/>
    <x v="2"/>
    <x v="5"/>
    <x v="1"/>
    <n v="5405"/>
    <n v="14"/>
    <x v="1"/>
    <n v="0"/>
    <n v="10"/>
    <n v="1"/>
    <n v="3"/>
    <x v="2"/>
    <n v="2"/>
    <x v="2"/>
    <s v="Good"/>
    <x v="0"/>
    <x v="0"/>
    <x v="0"/>
    <x v="0"/>
    <x v="1"/>
  </r>
  <r>
    <x v="0"/>
    <s v="No"/>
    <x v="1"/>
    <n v="1"/>
    <s v="Male"/>
    <x v="1"/>
    <x v="2"/>
    <x v="2"/>
    <n v="3867"/>
    <n v="12"/>
    <x v="1"/>
    <n v="1"/>
    <n v="2"/>
    <n v="2"/>
    <n v="3"/>
    <x v="2"/>
    <n v="2"/>
    <x v="2"/>
    <s v="Good"/>
    <x v="0"/>
    <x v="0"/>
    <x v="0"/>
    <x v="0"/>
    <x v="1"/>
  </r>
  <r>
    <x v="0"/>
    <s v="No"/>
    <x v="1"/>
    <n v="1"/>
    <s v="Female"/>
    <x v="1"/>
    <x v="2"/>
    <x v="3"/>
    <n v="2743"/>
    <n v="20"/>
    <x v="0"/>
    <n v="1"/>
    <n v="2"/>
    <n v="2"/>
    <n v="3"/>
    <x v="2"/>
    <n v="2"/>
    <x v="2"/>
    <s v="Good"/>
    <x v="0"/>
    <x v="0"/>
    <x v="0"/>
    <x v="0"/>
    <x v="0"/>
  </r>
  <r>
    <x v="0"/>
    <s v="No"/>
    <x v="1"/>
    <n v="1"/>
    <s v="Male"/>
    <x v="1"/>
    <x v="1"/>
    <x v="2"/>
    <n v="2889"/>
    <n v="11"/>
    <x v="1"/>
    <n v="2"/>
    <n v="2"/>
    <n v="2"/>
    <n v="3"/>
    <x v="2"/>
    <n v="2"/>
    <x v="2"/>
    <s v="Good"/>
    <x v="0"/>
    <x v="0"/>
    <x v="0"/>
    <x v="0"/>
    <x v="1"/>
  </r>
  <r>
    <x v="0"/>
    <s v="No"/>
    <x v="0"/>
    <n v="1"/>
    <s v="Male"/>
    <x v="1"/>
    <x v="3"/>
    <x v="3"/>
    <n v="2297"/>
    <n v="14"/>
    <x v="1"/>
    <n v="2"/>
    <n v="2"/>
    <n v="2"/>
    <n v="3"/>
    <x v="2"/>
    <n v="2"/>
    <x v="2"/>
    <s v="Good"/>
    <x v="0"/>
    <x v="0"/>
    <x v="0"/>
    <x v="0"/>
    <x v="1"/>
  </r>
  <r>
    <x v="0"/>
    <s v="No"/>
    <x v="1"/>
    <n v="1"/>
    <s v="Male"/>
    <x v="1"/>
    <x v="1"/>
    <x v="2"/>
    <n v="3117"/>
    <n v="18"/>
    <x v="1"/>
    <n v="0"/>
    <n v="3"/>
    <n v="2"/>
    <n v="3"/>
    <x v="2"/>
    <n v="2"/>
    <x v="2"/>
    <s v="Good"/>
    <x v="0"/>
    <x v="0"/>
    <x v="0"/>
    <x v="0"/>
    <x v="1"/>
  </r>
  <r>
    <x v="0"/>
    <s v="No"/>
    <x v="2"/>
    <n v="1"/>
    <s v="Male"/>
    <x v="1"/>
    <x v="8"/>
    <x v="2"/>
    <n v="2145"/>
    <n v="14"/>
    <x v="1"/>
    <n v="1"/>
    <n v="3"/>
    <n v="2"/>
    <n v="3"/>
    <x v="2"/>
    <n v="2"/>
    <x v="2"/>
    <s v="Good"/>
    <x v="0"/>
    <x v="0"/>
    <x v="0"/>
    <x v="0"/>
    <x v="1"/>
  </r>
  <r>
    <x v="0"/>
    <s v="No"/>
    <x v="0"/>
    <n v="1"/>
    <s v="Male"/>
    <x v="1"/>
    <x v="3"/>
    <x v="3"/>
    <n v="2269"/>
    <n v="14"/>
    <x v="1"/>
    <n v="1"/>
    <n v="3"/>
    <n v="2"/>
    <n v="3"/>
    <x v="2"/>
    <n v="2"/>
    <x v="2"/>
    <s v="Good"/>
    <x v="0"/>
    <x v="0"/>
    <x v="0"/>
    <x v="0"/>
    <x v="1"/>
  </r>
  <r>
    <x v="0"/>
    <s v="Yes"/>
    <x v="0"/>
    <n v="1"/>
    <s v="Female"/>
    <x v="2"/>
    <x v="5"/>
    <x v="0"/>
    <n v="4559"/>
    <n v="11"/>
    <x v="1"/>
    <n v="1"/>
    <n v="4"/>
    <n v="2"/>
    <n v="3"/>
    <x v="2"/>
    <n v="2"/>
    <x v="2"/>
    <s v="Good"/>
    <x v="0"/>
    <x v="0"/>
    <x v="0"/>
    <x v="0"/>
    <x v="1"/>
  </r>
  <r>
    <x v="0"/>
    <s v="No"/>
    <x v="1"/>
    <n v="1"/>
    <s v="Female"/>
    <x v="1"/>
    <x v="2"/>
    <x v="3"/>
    <n v="2811"/>
    <n v="14"/>
    <x v="1"/>
    <n v="1"/>
    <n v="4"/>
    <n v="2"/>
    <n v="3"/>
    <x v="2"/>
    <n v="2"/>
    <x v="2"/>
    <s v="Good"/>
    <x v="0"/>
    <x v="0"/>
    <x v="0"/>
    <x v="0"/>
    <x v="1"/>
  </r>
  <r>
    <x v="0"/>
    <s v="No"/>
    <x v="0"/>
    <n v="1"/>
    <s v="Male"/>
    <x v="1"/>
    <x v="3"/>
    <x v="3"/>
    <n v="3875"/>
    <n v="15"/>
    <x v="1"/>
    <n v="1"/>
    <n v="4"/>
    <n v="2"/>
    <n v="3"/>
    <x v="2"/>
    <n v="2"/>
    <x v="2"/>
    <s v="Good"/>
    <x v="0"/>
    <x v="0"/>
    <x v="0"/>
    <x v="0"/>
    <x v="1"/>
  </r>
  <r>
    <x v="0"/>
    <s v="No"/>
    <x v="1"/>
    <n v="1"/>
    <s v="Male"/>
    <x v="1"/>
    <x v="1"/>
    <x v="0"/>
    <n v="2073"/>
    <n v="16"/>
    <x v="1"/>
    <n v="1"/>
    <n v="4"/>
    <n v="2"/>
    <n v="3"/>
    <x v="2"/>
    <n v="2"/>
    <x v="2"/>
    <s v="Good"/>
    <x v="0"/>
    <x v="0"/>
    <x v="0"/>
    <x v="0"/>
    <x v="1"/>
  </r>
  <r>
    <x v="0"/>
    <s v="No"/>
    <x v="1"/>
    <n v="1"/>
    <s v="Female"/>
    <x v="1"/>
    <x v="2"/>
    <x v="2"/>
    <n v="4364"/>
    <n v="14"/>
    <x v="1"/>
    <n v="1"/>
    <n v="5"/>
    <n v="2"/>
    <n v="3"/>
    <x v="2"/>
    <n v="2"/>
    <x v="2"/>
    <s v="Good"/>
    <x v="0"/>
    <x v="0"/>
    <x v="0"/>
    <x v="0"/>
    <x v="1"/>
  </r>
  <r>
    <x v="0"/>
    <s v="No"/>
    <x v="1"/>
    <n v="1"/>
    <s v="Female"/>
    <x v="1"/>
    <x v="1"/>
    <x v="0"/>
    <n v="2377"/>
    <n v="18"/>
    <x v="1"/>
    <n v="1"/>
    <n v="6"/>
    <n v="2"/>
    <n v="3"/>
    <x v="2"/>
    <n v="2"/>
    <x v="2"/>
    <s v="Good"/>
    <x v="0"/>
    <x v="0"/>
    <x v="0"/>
    <x v="0"/>
    <x v="1"/>
  </r>
  <r>
    <x v="0"/>
    <s v="No"/>
    <x v="1"/>
    <n v="1"/>
    <s v="Female"/>
    <x v="1"/>
    <x v="2"/>
    <x v="0"/>
    <n v="2105"/>
    <n v="12"/>
    <x v="1"/>
    <n v="0"/>
    <n v="7"/>
    <n v="2"/>
    <n v="3"/>
    <x v="2"/>
    <n v="2"/>
    <x v="2"/>
    <s v="Good"/>
    <x v="0"/>
    <x v="0"/>
    <x v="0"/>
    <x v="0"/>
    <x v="1"/>
  </r>
  <r>
    <x v="0"/>
    <s v="Yes"/>
    <x v="1"/>
    <n v="1"/>
    <s v="Male"/>
    <x v="1"/>
    <x v="1"/>
    <x v="0"/>
    <n v="2759"/>
    <n v="12"/>
    <x v="1"/>
    <n v="0"/>
    <n v="7"/>
    <n v="2"/>
    <n v="3"/>
    <x v="2"/>
    <n v="2"/>
    <x v="2"/>
    <s v="Good"/>
    <x v="0"/>
    <x v="0"/>
    <x v="0"/>
    <x v="0"/>
    <x v="1"/>
  </r>
  <r>
    <x v="0"/>
    <s v="No"/>
    <x v="1"/>
    <n v="1"/>
    <s v="Male"/>
    <x v="2"/>
    <x v="1"/>
    <x v="2"/>
    <n v="3902"/>
    <n v="14"/>
    <x v="1"/>
    <n v="3"/>
    <n v="7"/>
    <n v="2"/>
    <n v="3"/>
    <x v="2"/>
    <n v="2"/>
    <x v="2"/>
    <s v="Good"/>
    <x v="0"/>
    <x v="0"/>
    <x v="0"/>
    <x v="0"/>
    <x v="1"/>
  </r>
  <r>
    <x v="0"/>
    <s v="No"/>
    <x v="1"/>
    <n v="1"/>
    <s v="Male"/>
    <x v="1"/>
    <x v="1"/>
    <x v="0"/>
    <n v="2809"/>
    <n v="14"/>
    <x v="1"/>
    <n v="0"/>
    <n v="8"/>
    <n v="2"/>
    <n v="3"/>
    <x v="2"/>
    <n v="2"/>
    <x v="2"/>
    <s v="Good"/>
    <x v="0"/>
    <x v="0"/>
    <x v="0"/>
    <x v="0"/>
    <x v="1"/>
  </r>
  <r>
    <x v="0"/>
    <s v="No"/>
    <x v="1"/>
    <n v="1"/>
    <s v="Male"/>
    <x v="2"/>
    <x v="4"/>
    <x v="2"/>
    <n v="4069"/>
    <n v="18"/>
    <x v="1"/>
    <n v="0"/>
    <n v="8"/>
    <n v="2"/>
    <n v="3"/>
    <x v="2"/>
    <n v="2"/>
    <x v="2"/>
    <s v="Good"/>
    <x v="0"/>
    <x v="0"/>
    <x v="0"/>
    <x v="0"/>
    <x v="1"/>
  </r>
  <r>
    <x v="0"/>
    <s v="No"/>
    <x v="1"/>
    <n v="1"/>
    <s v="Male"/>
    <x v="1"/>
    <x v="1"/>
    <x v="0"/>
    <n v="2821"/>
    <n v="16"/>
    <x v="1"/>
    <n v="1"/>
    <n v="8"/>
    <n v="2"/>
    <n v="3"/>
    <x v="2"/>
    <n v="2"/>
    <x v="2"/>
    <s v="Good"/>
    <x v="0"/>
    <x v="0"/>
    <x v="0"/>
    <x v="0"/>
    <x v="1"/>
  </r>
  <r>
    <x v="0"/>
    <s v="No"/>
    <x v="2"/>
    <n v="1"/>
    <s v="Female"/>
    <x v="1"/>
    <x v="8"/>
    <x v="2"/>
    <n v="3195"/>
    <n v="18"/>
    <x v="1"/>
    <n v="3"/>
    <n v="8"/>
    <n v="2"/>
    <n v="3"/>
    <x v="2"/>
    <n v="2"/>
    <x v="2"/>
    <s v="Good"/>
    <x v="0"/>
    <x v="0"/>
    <x v="0"/>
    <x v="0"/>
    <x v="1"/>
  </r>
  <r>
    <x v="0"/>
    <s v="No"/>
    <x v="1"/>
    <n v="1"/>
    <s v="Male"/>
    <x v="0"/>
    <x v="6"/>
    <x v="2"/>
    <n v="9362"/>
    <n v="11"/>
    <x v="1"/>
    <n v="0"/>
    <n v="10"/>
    <n v="2"/>
    <n v="3"/>
    <x v="2"/>
    <n v="2"/>
    <x v="2"/>
    <s v="Good"/>
    <x v="0"/>
    <x v="0"/>
    <x v="0"/>
    <x v="0"/>
    <x v="1"/>
  </r>
  <r>
    <x v="0"/>
    <s v="No"/>
    <x v="1"/>
    <n v="1"/>
    <s v="Female"/>
    <x v="0"/>
    <x v="0"/>
    <x v="0"/>
    <n v="13116"/>
    <n v="11"/>
    <x v="1"/>
    <n v="0"/>
    <n v="15"/>
    <n v="2"/>
    <n v="3"/>
    <x v="2"/>
    <n v="2"/>
    <x v="2"/>
    <s v="Good"/>
    <x v="0"/>
    <x v="0"/>
    <x v="0"/>
    <x v="0"/>
    <x v="1"/>
  </r>
  <r>
    <x v="0"/>
    <s v="No"/>
    <x v="1"/>
    <n v="1"/>
    <s v="Female"/>
    <x v="1"/>
    <x v="2"/>
    <x v="2"/>
    <n v="2288"/>
    <n v="12"/>
    <x v="1"/>
    <n v="0"/>
    <n v="2"/>
    <n v="3"/>
    <n v="3"/>
    <x v="2"/>
    <n v="2"/>
    <x v="2"/>
    <s v="Good"/>
    <x v="0"/>
    <x v="0"/>
    <x v="0"/>
    <x v="0"/>
    <x v="1"/>
  </r>
  <r>
    <x v="0"/>
    <s v="No"/>
    <x v="0"/>
    <n v="1"/>
    <s v="Female"/>
    <x v="1"/>
    <x v="3"/>
    <x v="2"/>
    <n v="2014"/>
    <n v="13"/>
    <x v="1"/>
    <n v="0"/>
    <n v="2"/>
    <n v="3"/>
    <n v="3"/>
    <x v="2"/>
    <n v="2"/>
    <x v="2"/>
    <s v="Good"/>
    <x v="0"/>
    <x v="0"/>
    <x v="0"/>
    <x v="0"/>
    <x v="1"/>
  </r>
  <r>
    <x v="0"/>
    <s v="Yes"/>
    <x v="0"/>
    <n v="1"/>
    <s v="Female"/>
    <x v="1"/>
    <x v="3"/>
    <x v="3"/>
    <n v="2760"/>
    <n v="13"/>
    <x v="1"/>
    <n v="0"/>
    <n v="2"/>
    <n v="3"/>
    <n v="3"/>
    <x v="2"/>
    <n v="2"/>
    <x v="2"/>
    <s v="Good"/>
    <x v="0"/>
    <x v="0"/>
    <x v="0"/>
    <x v="0"/>
    <x v="1"/>
  </r>
  <r>
    <x v="0"/>
    <s v="No"/>
    <x v="0"/>
    <n v="1"/>
    <s v="Female"/>
    <x v="1"/>
    <x v="3"/>
    <x v="0"/>
    <n v="2783"/>
    <n v="19"/>
    <x v="1"/>
    <n v="0"/>
    <n v="2"/>
    <n v="3"/>
    <n v="3"/>
    <x v="2"/>
    <n v="2"/>
    <x v="2"/>
    <s v="Good"/>
    <x v="0"/>
    <x v="0"/>
    <x v="0"/>
    <x v="0"/>
    <x v="1"/>
  </r>
  <r>
    <x v="0"/>
    <s v="No"/>
    <x v="1"/>
    <n v="1"/>
    <s v="Male"/>
    <x v="1"/>
    <x v="1"/>
    <x v="0"/>
    <n v="2372"/>
    <n v="12"/>
    <x v="1"/>
    <n v="2"/>
    <n v="2"/>
    <n v="3"/>
    <n v="3"/>
    <x v="2"/>
    <n v="2"/>
    <x v="2"/>
    <s v="Good"/>
    <x v="0"/>
    <x v="0"/>
    <x v="0"/>
    <x v="0"/>
    <x v="1"/>
  </r>
  <r>
    <x v="0"/>
    <s v="No"/>
    <x v="1"/>
    <n v="1"/>
    <s v="Male"/>
    <x v="1"/>
    <x v="1"/>
    <x v="0"/>
    <n v="2773"/>
    <n v="20"/>
    <x v="0"/>
    <n v="0"/>
    <n v="3"/>
    <n v="3"/>
    <n v="3"/>
    <x v="2"/>
    <n v="2"/>
    <x v="2"/>
    <s v="Good"/>
    <x v="0"/>
    <x v="0"/>
    <x v="0"/>
    <x v="0"/>
    <x v="0"/>
  </r>
  <r>
    <x v="0"/>
    <s v="No"/>
    <x v="0"/>
    <n v="1"/>
    <s v="Male"/>
    <x v="1"/>
    <x v="3"/>
    <x v="2"/>
    <n v="2400"/>
    <n v="13"/>
    <x v="1"/>
    <n v="2"/>
    <n v="3"/>
    <n v="3"/>
    <n v="3"/>
    <x v="2"/>
    <n v="2"/>
    <x v="2"/>
    <s v="Good"/>
    <x v="0"/>
    <x v="0"/>
    <x v="0"/>
    <x v="0"/>
    <x v="1"/>
  </r>
  <r>
    <x v="0"/>
    <s v="Yes"/>
    <x v="0"/>
    <n v="1"/>
    <s v="Female"/>
    <x v="2"/>
    <x v="5"/>
    <x v="0"/>
    <n v="4577"/>
    <n v="14"/>
    <x v="1"/>
    <n v="0"/>
    <n v="4"/>
    <n v="3"/>
    <n v="3"/>
    <x v="2"/>
    <n v="2"/>
    <x v="2"/>
    <s v="Good"/>
    <x v="0"/>
    <x v="0"/>
    <x v="0"/>
    <x v="0"/>
    <x v="1"/>
  </r>
  <r>
    <x v="0"/>
    <s v="No"/>
    <x v="1"/>
    <n v="1"/>
    <s v="Female"/>
    <x v="1"/>
    <x v="2"/>
    <x v="1"/>
    <n v="4014"/>
    <n v="15"/>
    <x v="1"/>
    <n v="1"/>
    <n v="4"/>
    <n v="3"/>
    <n v="3"/>
    <x v="2"/>
    <n v="2"/>
    <x v="2"/>
    <s v="Good"/>
    <x v="0"/>
    <x v="0"/>
    <x v="0"/>
    <x v="0"/>
    <x v="1"/>
  </r>
  <r>
    <x v="0"/>
    <s v="Yes"/>
    <x v="2"/>
    <n v="1"/>
    <s v="Male"/>
    <x v="1"/>
    <x v="8"/>
    <x v="1"/>
    <n v="2335"/>
    <n v="15"/>
    <x v="1"/>
    <n v="3"/>
    <n v="4"/>
    <n v="3"/>
    <n v="3"/>
    <x v="2"/>
    <n v="2"/>
    <x v="2"/>
    <s v="Good"/>
    <x v="0"/>
    <x v="0"/>
    <x v="0"/>
    <x v="0"/>
    <x v="1"/>
  </r>
  <r>
    <x v="0"/>
    <s v="No"/>
    <x v="1"/>
    <n v="1"/>
    <s v="Male"/>
    <x v="1"/>
    <x v="2"/>
    <x v="0"/>
    <n v="2660"/>
    <n v="11"/>
    <x v="1"/>
    <n v="1"/>
    <n v="5"/>
    <n v="3"/>
    <n v="3"/>
    <x v="2"/>
    <n v="2"/>
    <x v="2"/>
    <s v="Good"/>
    <x v="0"/>
    <x v="0"/>
    <x v="0"/>
    <x v="0"/>
    <x v="1"/>
  </r>
  <r>
    <x v="0"/>
    <s v="No"/>
    <x v="0"/>
    <n v="1"/>
    <s v="Female"/>
    <x v="2"/>
    <x v="5"/>
    <x v="2"/>
    <n v="6029"/>
    <n v="12"/>
    <x v="1"/>
    <n v="0"/>
    <n v="6"/>
    <n v="3"/>
    <n v="3"/>
    <x v="2"/>
    <n v="2"/>
    <x v="2"/>
    <s v="Good"/>
    <x v="0"/>
    <x v="0"/>
    <x v="0"/>
    <x v="0"/>
    <x v="1"/>
  </r>
  <r>
    <x v="0"/>
    <s v="No"/>
    <x v="0"/>
    <n v="1"/>
    <s v="Male"/>
    <x v="2"/>
    <x v="5"/>
    <x v="3"/>
    <n v="7991"/>
    <n v="15"/>
    <x v="1"/>
    <n v="0"/>
    <n v="6"/>
    <n v="3"/>
    <n v="3"/>
    <x v="2"/>
    <n v="2"/>
    <x v="2"/>
    <s v="Good"/>
    <x v="0"/>
    <x v="0"/>
    <x v="0"/>
    <x v="0"/>
    <x v="1"/>
  </r>
  <r>
    <x v="0"/>
    <s v="No"/>
    <x v="0"/>
    <n v="1"/>
    <s v="Male"/>
    <x v="2"/>
    <x v="5"/>
    <x v="0"/>
    <n v="8639"/>
    <n v="18"/>
    <x v="1"/>
    <n v="0"/>
    <n v="6"/>
    <n v="3"/>
    <n v="3"/>
    <x v="2"/>
    <n v="2"/>
    <x v="2"/>
    <s v="Good"/>
    <x v="0"/>
    <x v="0"/>
    <x v="0"/>
    <x v="0"/>
    <x v="1"/>
  </r>
  <r>
    <x v="0"/>
    <s v="No"/>
    <x v="1"/>
    <n v="1"/>
    <s v="Male"/>
    <x v="1"/>
    <x v="2"/>
    <x v="3"/>
    <n v="3468"/>
    <n v="12"/>
    <x v="1"/>
    <n v="1"/>
    <n v="6"/>
    <n v="3"/>
    <n v="3"/>
    <x v="2"/>
    <n v="2"/>
    <x v="2"/>
    <s v="Good"/>
    <x v="0"/>
    <x v="0"/>
    <x v="0"/>
    <x v="0"/>
    <x v="1"/>
  </r>
  <r>
    <x v="0"/>
    <s v="No"/>
    <x v="1"/>
    <n v="1"/>
    <s v="Female"/>
    <x v="1"/>
    <x v="1"/>
    <x v="0"/>
    <n v="2543"/>
    <n v="13"/>
    <x v="1"/>
    <n v="1"/>
    <n v="6"/>
    <n v="3"/>
    <n v="3"/>
    <x v="2"/>
    <n v="2"/>
    <x v="2"/>
    <s v="Good"/>
    <x v="0"/>
    <x v="0"/>
    <x v="0"/>
    <x v="0"/>
    <x v="1"/>
  </r>
  <r>
    <x v="0"/>
    <s v="No"/>
    <x v="1"/>
    <n v="1"/>
    <s v="Male"/>
    <x v="0"/>
    <x v="7"/>
    <x v="0"/>
    <n v="13675"/>
    <n v="12"/>
    <x v="1"/>
    <n v="1"/>
    <n v="9"/>
    <n v="3"/>
    <n v="3"/>
    <x v="2"/>
    <n v="2"/>
    <x v="2"/>
    <s v="Good"/>
    <x v="0"/>
    <x v="0"/>
    <x v="0"/>
    <x v="0"/>
    <x v="1"/>
  </r>
  <r>
    <x v="0"/>
    <s v="No"/>
    <x v="0"/>
    <n v="1"/>
    <s v="Male"/>
    <x v="2"/>
    <x v="5"/>
    <x v="3"/>
    <n v="8120"/>
    <n v="12"/>
    <x v="1"/>
    <n v="0"/>
    <n v="12"/>
    <n v="3"/>
    <n v="3"/>
    <x v="2"/>
    <n v="2"/>
    <x v="2"/>
    <s v="Good"/>
    <x v="0"/>
    <x v="0"/>
    <x v="0"/>
    <x v="0"/>
    <x v="1"/>
  </r>
  <r>
    <x v="0"/>
    <s v="No"/>
    <x v="0"/>
    <n v="1"/>
    <s v="Male"/>
    <x v="2"/>
    <x v="5"/>
    <x v="1"/>
    <n v="5486"/>
    <n v="11"/>
    <x v="1"/>
    <n v="3"/>
    <n v="15"/>
    <n v="3"/>
    <n v="3"/>
    <x v="2"/>
    <n v="2"/>
    <x v="2"/>
    <s v="Good"/>
    <x v="0"/>
    <x v="0"/>
    <x v="0"/>
    <x v="0"/>
    <x v="1"/>
  </r>
  <r>
    <x v="0"/>
    <s v="No"/>
    <x v="0"/>
    <n v="1"/>
    <s v="Female"/>
    <x v="0"/>
    <x v="5"/>
    <x v="2"/>
    <n v="9208"/>
    <n v="11"/>
    <x v="1"/>
    <n v="0"/>
    <n v="16"/>
    <n v="3"/>
    <n v="3"/>
    <x v="2"/>
    <n v="2"/>
    <x v="2"/>
    <s v="Good"/>
    <x v="0"/>
    <x v="0"/>
    <x v="0"/>
    <x v="0"/>
    <x v="1"/>
  </r>
  <r>
    <x v="0"/>
    <s v="Yes"/>
    <x v="0"/>
    <n v="1"/>
    <s v="Male"/>
    <x v="2"/>
    <x v="5"/>
    <x v="1"/>
    <n v="6134"/>
    <n v="13"/>
    <x v="1"/>
    <n v="3"/>
    <n v="16"/>
    <n v="3"/>
    <n v="3"/>
    <x v="2"/>
    <n v="2"/>
    <x v="2"/>
    <s v="Good"/>
    <x v="0"/>
    <x v="0"/>
    <x v="0"/>
    <x v="0"/>
    <x v="1"/>
  </r>
  <r>
    <x v="0"/>
    <s v="No"/>
    <x v="1"/>
    <n v="1"/>
    <s v="Female"/>
    <x v="1"/>
    <x v="1"/>
    <x v="1"/>
    <n v="4257"/>
    <n v="18"/>
    <x v="1"/>
    <n v="1"/>
    <n v="19"/>
    <n v="3"/>
    <n v="3"/>
    <x v="2"/>
    <n v="2"/>
    <x v="2"/>
    <s v="Good"/>
    <x v="0"/>
    <x v="0"/>
    <x v="0"/>
    <x v="0"/>
    <x v="1"/>
  </r>
  <r>
    <x v="0"/>
    <s v="No"/>
    <x v="1"/>
    <n v="1"/>
    <s v="Male"/>
    <x v="4"/>
    <x v="7"/>
    <x v="0"/>
    <n v="15787"/>
    <n v="14"/>
    <x v="1"/>
    <n v="0"/>
    <n v="23"/>
    <n v="3"/>
    <n v="3"/>
    <x v="2"/>
    <n v="2"/>
    <x v="2"/>
    <s v="Good"/>
    <x v="0"/>
    <x v="0"/>
    <x v="0"/>
    <x v="0"/>
    <x v="1"/>
  </r>
  <r>
    <x v="0"/>
    <s v="No"/>
    <x v="1"/>
    <n v="1"/>
    <s v="Male"/>
    <x v="4"/>
    <x v="0"/>
    <x v="2"/>
    <n v="15202"/>
    <n v="25"/>
    <x v="0"/>
    <n v="1"/>
    <n v="23"/>
    <n v="3"/>
    <n v="3"/>
    <x v="2"/>
    <n v="2"/>
    <x v="2"/>
    <s v="Good"/>
    <x v="0"/>
    <x v="0"/>
    <x v="0"/>
    <x v="0"/>
    <x v="0"/>
  </r>
  <r>
    <x v="0"/>
    <s v="No"/>
    <x v="1"/>
    <n v="1"/>
    <s v="Female"/>
    <x v="4"/>
    <x v="0"/>
    <x v="1"/>
    <n v="17856"/>
    <n v="22"/>
    <x v="0"/>
    <n v="1"/>
    <n v="32"/>
    <n v="3"/>
    <n v="3"/>
    <x v="2"/>
    <n v="2"/>
    <x v="2"/>
    <s v="Good"/>
    <x v="0"/>
    <x v="0"/>
    <x v="0"/>
    <x v="0"/>
    <x v="0"/>
  </r>
  <r>
    <x v="0"/>
    <s v="No"/>
    <x v="0"/>
    <n v="1"/>
    <s v="Male"/>
    <x v="1"/>
    <x v="3"/>
    <x v="2"/>
    <n v="2791"/>
    <n v="12"/>
    <x v="1"/>
    <n v="1"/>
    <n v="3"/>
    <n v="4"/>
    <n v="3"/>
    <x v="2"/>
    <n v="2"/>
    <x v="2"/>
    <s v="Good"/>
    <x v="0"/>
    <x v="0"/>
    <x v="0"/>
    <x v="0"/>
    <x v="1"/>
  </r>
  <r>
    <x v="0"/>
    <s v="No"/>
    <x v="1"/>
    <n v="1"/>
    <s v="Male"/>
    <x v="1"/>
    <x v="2"/>
    <x v="0"/>
    <n v="2093"/>
    <n v="17"/>
    <x v="1"/>
    <n v="1"/>
    <n v="8"/>
    <n v="4"/>
    <n v="3"/>
    <x v="2"/>
    <n v="2"/>
    <x v="2"/>
    <s v="Good"/>
    <x v="0"/>
    <x v="0"/>
    <x v="0"/>
    <x v="0"/>
    <x v="1"/>
  </r>
  <r>
    <x v="0"/>
    <s v="No"/>
    <x v="1"/>
    <n v="1"/>
    <s v="Male"/>
    <x v="2"/>
    <x v="2"/>
    <x v="2"/>
    <n v="2450"/>
    <n v="17"/>
    <x v="1"/>
    <n v="0"/>
    <n v="19"/>
    <n v="4"/>
    <n v="3"/>
    <x v="2"/>
    <n v="2"/>
    <x v="2"/>
    <s v="Good"/>
    <x v="0"/>
    <x v="0"/>
    <x v="0"/>
    <x v="0"/>
    <x v="1"/>
  </r>
  <r>
    <x v="0"/>
    <s v="No"/>
    <x v="1"/>
    <n v="1"/>
    <s v="Male"/>
    <x v="1"/>
    <x v="1"/>
    <x v="3"/>
    <n v="2657"/>
    <n v="16"/>
    <x v="1"/>
    <n v="0"/>
    <n v="3"/>
    <n v="5"/>
    <n v="3"/>
    <x v="2"/>
    <n v="2"/>
    <x v="2"/>
    <s v="Good"/>
    <x v="0"/>
    <x v="0"/>
    <x v="0"/>
    <x v="0"/>
    <x v="1"/>
  </r>
  <r>
    <x v="0"/>
    <s v="No"/>
    <x v="0"/>
    <n v="1"/>
    <s v="Male"/>
    <x v="2"/>
    <x v="5"/>
    <x v="2"/>
    <n v="6804"/>
    <n v="18"/>
    <x v="1"/>
    <n v="1"/>
    <n v="7"/>
    <n v="5"/>
    <n v="3"/>
    <x v="2"/>
    <n v="2"/>
    <x v="2"/>
    <s v="Good"/>
    <x v="0"/>
    <x v="0"/>
    <x v="0"/>
    <x v="0"/>
    <x v="1"/>
  </r>
  <r>
    <x v="0"/>
    <s v="No"/>
    <x v="1"/>
    <n v="1"/>
    <s v="Male"/>
    <x v="1"/>
    <x v="1"/>
    <x v="2"/>
    <n v="2323"/>
    <n v="24"/>
    <x v="0"/>
    <n v="2"/>
    <n v="2"/>
    <n v="6"/>
    <n v="3"/>
    <x v="2"/>
    <n v="2"/>
    <x v="2"/>
    <s v="Good"/>
    <x v="0"/>
    <x v="0"/>
    <x v="0"/>
    <x v="0"/>
    <x v="0"/>
  </r>
  <r>
    <x v="0"/>
    <s v="Yes"/>
    <x v="0"/>
    <n v="1"/>
    <s v="Male"/>
    <x v="2"/>
    <x v="5"/>
    <x v="1"/>
    <n v="4969"/>
    <n v="18"/>
    <x v="1"/>
    <n v="0"/>
    <n v="7"/>
    <n v="6"/>
    <n v="3"/>
    <x v="2"/>
    <n v="2"/>
    <x v="2"/>
    <s v="Good"/>
    <x v="0"/>
    <x v="0"/>
    <x v="0"/>
    <x v="0"/>
    <x v="1"/>
  </r>
  <r>
    <x v="0"/>
    <s v="No"/>
    <x v="1"/>
    <n v="1"/>
    <s v="Female"/>
    <x v="2"/>
    <x v="6"/>
    <x v="0"/>
    <n v="5003"/>
    <n v="14"/>
    <x v="1"/>
    <n v="0"/>
    <n v="8"/>
    <n v="6"/>
    <n v="3"/>
    <x v="2"/>
    <n v="2"/>
    <x v="2"/>
    <s v="Good"/>
    <x v="0"/>
    <x v="0"/>
    <x v="0"/>
    <x v="0"/>
    <x v="1"/>
  </r>
  <r>
    <x v="0"/>
    <s v="No"/>
    <x v="1"/>
    <n v="1"/>
    <s v="Male"/>
    <x v="1"/>
    <x v="2"/>
    <x v="2"/>
    <n v="2376"/>
    <n v="13"/>
    <x v="1"/>
    <n v="1"/>
    <n v="2"/>
    <n v="2"/>
    <n v="4"/>
    <x v="2"/>
    <n v="2"/>
    <x v="2"/>
    <s v="Good"/>
    <x v="0"/>
    <x v="0"/>
    <x v="0"/>
    <x v="0"/>
    <x v="1"/>
  </r>
  <r>
    <x v="0"/>
    <s v="No"/>
    <x v="0"/>
    <n v="1"/>
    <s v="Female"/>
    <x v="2"/>
    <x v="5"/>
    <x v="0"/>
    <n v="4736"/>
    <n v="12"/>
    <x v="1"/>
    <n v="1"/>
    <n v="4"/>
    <n v="2"/>
    <n v="4"/>
    <x v="2"/>
    <n v="2"/>
    <x v="2"/>
    <s v="Good"/>
    <x v="0"/>
    <x v="0"/>
    <x v="0"/>
    <x v="0"/>
    <x v="1"/>
  </r>
  <r>
    <x v="0"/>
    <s v="Yes"/>
    <x v="1"/>
    <n v="1"/>
    <s v="Male"/>
    <x v="1"/>
    <x v="1"/>
    <x v="2"/>
    <n v="4787"/>
    <n v="14"/>
    <x v="1"/>
    <n v="3"/>
    <n v="4"/>
    <n v="3"/>
    <n v="4"/>
    <x v="2"/>
    <n v="2"/>
    <x v="2"/>
    <s v="Good"/>
    <x v="0"/>
    <x v="0"/>
    <x v="0"/>
    <x v="0"/>
    <x v="1"/>
  </r>
  <r>
    <x v="0"/>
    <s v="No"/>
    <x v="1"/>
    <n v="1"/>
    <s v="Female"/>
    <x v="1"/>
    <x v="1"/>
    <x v="3"/>
    <n v="2070"/>
    <n v="11"/>
    <x v="1"/>
    <n v="0"/>
    <n v="2"/>
    <n v="6"/>
    <n v="4"/>
    <x v="2"/>
    <n v="2"/>
    <x v="2"/>
    <s v="Good"/>
    <x v="0"/>
    <x v="0"/>
    <x v="0"/>
    <x v="0"/>
    <x v="1"/>
  </r>
  <r>
    <x v="0"/>
    <s v="No"/>
    <x v="0"/>
    <n v="1"/>
    <s v="Male"/>
    <x v="1"/>
    <x v="3"/>
    <x v="2"/>
    <n v="2610"/>
    <n v="24"/>
    <x v="0"/>
    <n v="0"/>
    <n v="3"/>
    <n v="3"/>
    <n v="2"/>
    <x v="3"/>
    <n v="2"/>
    <x v="2"/>
    <s v="Bad"/>
    <x v="0"/>
    <x v="0"/>
    <x v="0"/>
    <x v="0"/>
    <x v="0"/>
  </r>
  <r>
    <x v="0"/>
    <s v="Yes"/>
    <x v="1"/>
    <n v="1"/>
    <s v="Male"/>
    <x v="1"/>
    <x v="1"/>
    <x v="2"/>
    <n v="3464"/>
    <n v="13"/>
    <x v="1"/>
    <n v="0"/>
    <n v="5"/>
    <n v="4"/>
    <n v="2"/>
    <x v="3"/>
    <n v="2"/>
    <x v="2"/>
    <s v="Bad"/>
    <x v="0"/>
    <x v="0"/>
    <x v="0"/>
    <x v="0"/>
    <x v="1"/>
  </r>
  <r>
    <x v="0"/>
    <s v="No"/>
    <x v="2"/>
    <n v="1"/>
    <s v="Male"/>
    <x v="1"/>
    <x v="8"/>
    <x v="2"/>
    <n v="2706"/>
    <n v="15"/>
    <x v="1"/>
    <n v="1"/>
    <n v="3"/>
    <n v="2"/>
    <n v="3"/>
    <x v="3"/>
    <n v="2"/>
    <x v="2"/>
    <s v="Good"/>
    <x v="0"/>
    <x v="0"/>
    <x v="0"/>
    <x v="0"/>
    <x v="1"/>
  </r>
  <r>
    <x v="0"/>
    <s v="No"/>
    <x v="1"/>
    <n v="1"/>
    <s v="Male"/>
    <x v="1"/>
    <x v="2"/>
    <x v="2"/>
    <n v="3983"/>
    <n v="17"/>
    <x v="1"/>
    <n v="0"/>
    <n v="4"/>
    <n v="2"/>
    <n v="3"/>
    <x v="3"/>
    <n v="2"/>
    <x v="2"/>
    <s v="Good"/>
    <x v="0"/>
    <x v="0"/>
    <x v="0"/>
    <x v="0"/>
    <x v="1"/>
  </r>
  <r>
    <x v="0"/>
    <s v="No"/>
    <x v="0"/>
    <n v="1"/>
    <s v="Male"/>
    <x v="2"/>
    <x v="5"/>
    <x v="2"/>
    <n v="4465"/>
    <n v="18"/>
    <x v="1"/>
    <n v="0"/>
    <n v="4"/>
    <n v="2"/>
    <n v="3"/>
    <x v="3"/>
    <n v="2"/>
    <x v="2"/>
    <s v="Good"/>
    <x v="0"/>
    <x v="0"/>
    <x v="0"/>
    <x v="0"/>
    <x v="1"/>
  </r>
  <r>
    <x v="0"/>
    <s v="No"/>
    <x v="1"/>
    <n v="1"/>
    <s v="Female"/>
    <x v="2"/>
    <x v="6"/>
    <x v="2"/>
    <n v="4227"/>
    <n v="18"/>
    <x v="1"/>
    <n v="1"/>
    <n v="4"/>
    <n v="2"/>
    <n v="3"/>
    <x v="3"/>
    <n v="2"/>
    <x v="2"/>
    <s v="Good"/>
    <x v="0"/>
    <x v="0"/>
    <x v="0"/>
    <x v="0"/>
    <x v="1"/>
  </r>
  <r>
    <x v="0"/>
    <s v="Yes"/>
    <x v="0"/>
    <n v="1"/>
    <s v="Male"/>
    <x v="1"/>
    <x v="3"/>
    <x v="1"/>
    <n v="4400"/>
    <n v="12"/>
    <x v="1"/>
    <n v="0"/>
    <n v="6"/>
    <n v="2"/>
    <n v="3"/>
    <x v="3"/>
    <n v="2"/>
    <x v="2"/>
    <s v="Good"/>
    <x v="0"/>
    <x v="0"/>
    <x v="0"/>
    <x v="0"/>
    <x v="1"/>
  </r>
  <r>
    <x v="0"/>
    <s v="No"/>
    <x v="1"/>
    <n v="1"/>
    <s v="Female"/>
    <x v="2"/>
    <x v="1"/>
    <x v="0"/>
    <n v="4317"/>
    <n v="20"/>
    <x v="0"/>
    <n v="0"/>
    <n v="19"/>
    <n v="2"/>
    <n v="3"/>
    <x v="3"/>
    <n v="2"/>
    <x v="2"/>
    <s v="Good"/>
    <x v="0"/>
    <x v="0"/>
    <x v="0"/>
    <x v="0"/>
    <x v="0"/>
  </r>
  <r>
    <x v="0"/>
    <s v="No"/>
    <x v="1"/>
    <n v="1"/>
    <s v="Male"/>
    <x v="1"/>
    <x v="1"/>
    <x v="0"/>
    <n v="3506"/>
    <n v="14"/>
    <x v="1"/>
    <n v="0"/>
    <n v="4"/>
    <n v="3"/>
    <n v="3"/>
    <x v="3"/>
    <n v="2"/>
    <x v="2"/>
    <s v="Good"/>
    <x v="0"/>
    <x v="0"/>
    <x v="0"/>
    <x v="0"/>
    <x v="1"/>
  </r>
  <r>
    <x v="0"/>
    <s v="No"/>
    <x v="1"/>
    <n v="1"/>
    <s v="Female"/>
    <x v="1"/>
    <x v="1"/>
    <x v="1"/>
    <n v="3204"/>
    <n v="14"/>
    <x v="1"/>
    <n v="1"/>
    <n v="8"/>
    <n v="3"/>
    <n v="3"/>
    <x v="3"/>
    <n v="2"/>
    <x v="2"/>
    <s v="Good"/>
    <x v="0"/>
    <x v="0"/>
    <x v="0"/>
    <x v="0"/>
    <x v="1"/>
  </r>
  <r>
    <x v="0"/>
    <s v="No"/>
    <x v="0"/>
    <n v="1"/>
    <s v="Female"/>
    <x v="0"/>
    <x v="5"/>
    <x v="1"/>
    <n v="9637"/>
    <n v="14"/>
    <x v="1"/>
    <n v="2"/>
    <n v="9"/>
    <n v="3"/>
    <n v="3"/>
    <x v="3"/>
    <n v="2"/>
    <x v="2"/>
    <s v="Good"/>
    <x v="0"/>
    <x v="0"/>
    <x v="0"/>
    <x v="0"/>
    <x v="1"/>
  </r>
  <r>
    <x v="0"/>
    <s v="Yes"/>
    <x v="0"/>
    <n v="1"/>
    <s v="Male"/>
    <x v="0"/>
    <x v="5"/>
    <x v="1"/>
    <n v="10854"/>
    <n v="13"/>
    <x v="1"/>
    <n v="1"/>
    <n v="20"/>
    <n v="3"/>
    <n v="3"/>
    <x v="3"/>
    <n v="2"/>
    <x v="2"/>
    <s v="Good"/>
    <x v="0"/>
    <x v="0"/>
    <x v="0"/>
    <x v="0"/>
    <x v="1"/>
  </r>
  <r>
    <x v="0"/>
    <s v="No"/>
    <x v="2"/>
    <n v="1"/>
    <s v="Female"/>
    <x v="3"/>
    <x v="0"/>
    <x v="2"/>
    <n v="18844"/>
    <n v="21"/>
    <x v="0"/>
    <n v="1"/>
    <n v="30"/>
    <n v="3"/>
    <n v="3"/>
    <x v="3"/>
    <n v="2"/>
    <x v="2"/>
    <s v="Good"/>
    <x v="0"/>
    <x v="0"/>
    <x v="0"/>
    <x v="0"/>
    <x v="0"/>
  </r>
  <r>
    <x v="0"/>
    <s v="Yes"/>
    <x v="0"/>
    <n v="1"/>
    <s v="Female"/>
    <x v="1"/>
    <x v="3"/>
    <x v="3"/>
    <n v="2302"/>
    <n v="11"/>
    <x v="1"/>
    <n v="0"/>
    <n v="3"/>
    <n v="2"/>
    <n v="4"/>
    <x v="3"/>
    <n v="2"/>
    <x v="2"/>
    <s v="Good"/>
    <x v="0"/>
    <x v="0"/>
    <x v="0"/>
    <x v="0"/>
    <x v="1"/>
  </r>
  <r>
    <x v="0"/>
    <s v="No"/>
    <x v="1"/>
    <n v="1"/>
    <s v="Male"/>
    <x v="1"/>
    <x v="1"/>
    <x v="3"/>
    <n v="2328"/>
    <n v="16"/>
    <x v="1"/>
    <n v="1"/>
    <n v="4"/>
    <n v="2"/>
    <n v="2"/>
    <x v="11"/>
    <n v="2"/>
    <x v="2"/>
    <s v="Bad"/>
    <x v="2"/>
    <x v="0"/>
    <x v="0"/>
    <x v="0"/>
    <x v="1"/>
  </r>
  <r>
    <x v="0"/>
    <s v="No"/>
    <x v="1"/>
    <n v="1"/>
    <s v="Female"/>
    <x v="1"/>
    <x v="1"/>
    <x v="2"/>
    <n v="2342"/>
    <n v="20"/>
    <x v="0"/>
    <n v="0"/>
    <n v="5"/>
    <n v="2"/>
    <n v="2"/>
    <x v="11"/>
    <n v="2"/>
    <x v="2"/>
    <s v="Bad"/>
    <x v="2"/>
    <x v="0"/>
    <x v="0"/>
    <x v="0"/>
    <x v="0"/>
  </r>
  <r>
    <x v="0"/>
    <s v="No"/>
    <x v="1"/>
    <n v="1"/>
    <s v="Male"/>
    <x v="1"/>
    <x v="2"/>
    <x v="0"/>
    <n v="2207"/>
    <n v="16"/>
    <x v="1"/>
    <n v="1"/>
    <n v="4"/>
    <n v="5"/>
    <n v="2"/>
    <x v="11"/>
    <n v="2"/>
    <x v="2"/>
    <s v="Bad"/>
    <x v="2"/>
    <x v="0"/>
    <x v="0"/>
    <x v="0"/>
    <x v="1"/>
  </r>
  <r>
    <x v="0"/>
    <s v="No"/>
    <x v="1"/>
    <n v="1"/>
    <s v="Male"/>
    <x v="1"/>
    <x v="1"/>
    <x v="0"/>
    <n v="2539"/>
    <n v="13"/>
    <x v="1"/>
    <n v="1"/>
    <n v="4"/>
    <n v="0"/>
    <n v="3"/>
    <x v="11"/>
    <n v="2"/>
    <x v="2"/>
    <s v="Good"/>
    <x v="2"/>
    <x v="0"/>
    <x v="0"/>
    <x v="0"/>
    <x v="1"/>
  </r>
  <r>
    <x v="0"/>
    <s v="No"/>
    <x v="1"/>
    <n v="1"/>
    <s v="Male"/>
    <x v="1"/>
    <x v="1"/>
    <x v="1"/>
    <n v="3065"/>
    <n v="13"/>
    <x v="1"/>
    <n v="1"/>
    <n v="4"/>
    <n v="3"/>
    <n v="4"/>
    <x v="11"/>
    <n v="2"/>
    <x v="2"/>
    <s v="Good"/>
    <x v="2"/>
    <x v="0"/>
    <x v="0"/>
    <x v="0"/>
    <x v="1"/>
  </r>
  <r>
    <x v="0"/>
    <s v="No"/>
    <x v="1"/>
    <n v="1"/>
    <s v="Male"/>
    <x v="2"/>
    <x v="4"/>
    <x v="3"/>
    <n v="5933"/>
    <n v="12"/>
    <x v="1"/>
    <n v="0"/>
    <n v="10"/>
    <n v="2"/>
    <n v="2"/>
    <x v="4"/>
    <n v="2"/>
    <x v="2"/>
    <s v="Bad"/>
    <x v="1"/>
    <x v="0"/>
    <x v="0"/>
    <x v="0"/>
    <x v="1"/>
  </r>
  <r>
    <x v="0"/>
    <s v="No"/>
    <x v="1"/>
    <n v="1"/>
    <s v="Female"/>
    <x v="2"/>
    <x v="4"/>
    <x v="2"/>
    <n v="5562"/>
    <n v="13"/>
    <x v="1"/>
    <n v="1"/>
    <n v="12"/>
    <n v="2"/>
    <n v="2"/>
    <x v="4"/>
    <n v="2"/>
    <x v="2"/>
    <s v="Bad"/>
    <x v="1"/>
    <x v="0"/>
    <x v="0"/>
    <x v="0"/>
    <x v="1"/>
  </r>
  <r>
    <x v="0"/>
    <s v="No"/>
    <x v="1"/>
    <n v="1"/>
    <s v="Female"/>
    <x v="2"/>
    <x v="4"/>
    <x v="2"/>
    <n v="4089"/>
    <n v="13"/>
    <x v="1"/>
    <n v="2"/>
    <n v="10"/>
    <n v="4"/>
    <n v="3"/>
    <x v="9"/>
    <n v="2"/>
    <x v="2"/>
    <s v="Good"/>
    <x v="1"/>
    <x v="0"/>
    <x v="0"/>
    <x v="0"/>
    <x v="1"/>
  </r>
  <r>
    <x v="0"/>
    <s v="No"/>
    <x v="1"/>
    <n v="1"/>
    <s v="Female"/>
    <x v="2"/>
    <x v="1"/>
    <x v="0"/>
    <n v="2897"/>
    <n v="11"/>
    <x v="1"/>
    <n v="2"/>
    <n v="9"/>
    <n v="6"/>
    <n v="2"/>
    <x v="11"/>
    <n v="3"/>
    <x v="2"/>
    <s v="Bad"/>
    <x v="2"/>
    <x v="0"/>
    <x v="0"/>
    <x v="0"/>
    <x v="1"/>
  </r>
  <r>
    <x v="0"/>
    <s v="No"/>
    <x v="1"/>
    <n v="1"/>
    <s v="Male"/>
    <x v="0"/>
    <x v="7"/>
    <x v="0"/>
    <n v="13464"/>
    <n v="21"/>
    <x v="0"/>
    <n v="0"/>
    <n v="9"/>
    <n v="3"/>
    <n v="3"/>
    <x v="11"/>
    <n v="3"/>
    <x v="2"/>
    <s v="Good"/>
    <x v="2"/>
    <x v="0"/>
    <x v="0"/>
    <x v="0"/>
    <x v="0"/>
  </r>
  <r>
    <x v="0"/>
    <s v="Yes"/>
    <x v="1"/>
    <n v="1"/>
    <s v="Male"/>
    <x v="1"/>
    <x v="1"/>
    <x v="3"/>
    <n v="2342"/>
    <n v="12"/>
    <x v="1"/>
    <n v="3"/>
    <n v="6"/>
    <n v="2"/>
    <n v="2"/>
    <x v="4"/>
    <n v="3"/>
    <x v="2"/>
    <s v="Bad"/>
    <x v="1"/>
    <x v="0"/>
    <x v="0"/>
    <x v="0"/>
    <x v="1"/>
  </r>
  <r>
    <x v="0"/>
    <s v="No"/>
    <x v="1"/>
    <n v="1"/>
    <s v="Male"/>
    <x v="1"/>
    <x v="1"/>
    <x v="0"/>
    <n v="3815"/>
    <n v="17"/>
    <x v="1"/>
    <n v="1"/>
    <n v="5"/>
    <n v="4"/>
    <n v="4"/>
    <x v="4"/>
    <n v="3"/>
    <x v="2"/>
    <s v="Good"/>
    <x v="1"/>
    <x v="0"/>
    <x v="0"/>
    <x v="0"/>
    <x v="1"/>
  </r>
  <r>
    <x v="0"/>
    <s v="No"/>
    <x v="1"/>
    <n v="1"/>
    <s v="Male"/>
    <x v="4"/>
    <x v="0"/>
    <x v="2"/>
    <n v="16885"/>
    <n v="22"/>
    <x v="0"/>
    <n v="0"/>
    <n v="27"/>
    <n v="3"/>
    <n v="2"/>
    <x v="4"/>
    <n v="4"/>
    <x v="2"/>
    <s v="Bad"/>
    <x v="1"/>
    <x v="0"/>
    <x v="0"/>
    <x v="0"/>
    <x v="0"/>
  </r>
  <r>
    <x v="0"/>
    <s v="No"/>
    <x v="1"/>
    <n v="1"/>
    <s v="Male"/>
    <x v="1"/>
    <x v="1"/>
    <x v="2"/>
    <n v="2089"/>
    <n v="14"/>
    <x v="1"/>
    <n v="3"/>
    <n v="7"/>
    <n v="3"/>
    <n v="4"/>
    <x v="4"/>
    <n v="4"/>
    <x v="2"/>
    <s v="Good"/>
    <x v="1"/>
    <x v="0"/>
    <x v="0"/>
    <x v="0"/>
    <x v="1"/>
  </r>
  <r>
    <x v="0"/>
    <s v="No"/>
    <x v="1"/>
    <n v="1"/>
    <s v="Male"/>
    <x v="1"/>
    <x v="1"/>
    <x v="2"/>
    <n v="2875"/>
    <n v="20"/>
    <x v="0"/>
    <n v="0"/>
    <n v="8"/>
    <n v="2"/>
    <n v="2"/>
    <x v="7"/>
    <n v="5"/>
    <x v="2"/>
    <s v="Bad"/>
    <x v="1"/>
    <x v="0"/>
    <x v="1"/>
    <x v="1"/>
    <x v="0"/>
  </r>
  <r>
    <x v="0"/>
    <s v="No"/>
    <x v="1"/>
    <n v="1"/>
    <s v="Female"/>
    <x v="0"/>
    <x v="7"/>
    <x v="3"/>
    <n v="11994"/>
    <n v="11"/>
    <x v="1"/>
    <n v="0"/>
    <n v="13"/>
    <n v="4"/>
    <n v="3"/>
    <x v="25"/>
    <n v="6"/>
    <x v="2"/>
    <s v="Good"/>
    <x v="1"/>
    <x v="0"/>
    <x v="1"/>
    <x v="1"/>
    <x v="1"/>
  </r>
  <r>
    <x v="0"/>
    <s v="No"/>
    <x v="1"/>
    <n v="1"/>
    <s v="Female"/>
    <x v="0"/>
    <x v="6"/>
    <x v="1"/>
    <n v="10880"/>
    <n v="13"/>
    <x v="1"/>
    <n v="0"/>
    <n v="21"/>
    <n v="2"/>
    <n v="3"/>
    <x v="26"/>
    <n v="6"/>
    <x v="2"/>
    <s v="Good"/>
    <x v="1"/>
    <x v="0"/>
    <x v="1"/>
    <x v="1"/>
    <x v="1"/>
  </r>
  <r>
    <x v="0"/>
    <s v="No"/>
    <x v="0"/>
    <n v="1"/>
    <s v="Male"/>
    <x v="3"/>
    <x v="0"/>
    <x v="2"/>
    <n v="19586"/>
    <n v="21"/>
    <x v="0"/>
    <n v="1"/>
    <n v="36"/>
    <n v="3"/>
    <n v="3"/>
    <x v="29"/>
    <n v="6"/>
    <x v="2"/>
    <s v="Good"/>
    <x v="1"/>
    <x v="0"/>
    <x v="1"/>
    <x v="1"/>
    <x v="0"/>
  </r>
  <r>
    <x v="0"/>
    <s v="No"/>
    <x v="0"/>
    <n v="1"/>
    <s v="Male"/>
    <x v="0"/>
    <x v="5"/>
    <x v="0"/>
    <n v="8740"/>
    <n v="14"/>
    <x v="1"/>
    <n v="2"/>
    <n v="9"/>
    <n v="2"/>
    <n v="3"/>
    <x v="7"/>
    <n v="7"/>
    <x v="2"/>
    <s v="Good"/>
    <x v="1"/>
    <x v="0"/>
    <x v="1"/>
    <x v="1"/>
    <x v="1"/>
  </r>
  <r>
    <x v="0"/>
    <s v="No"/>
    <x v="1"/>
    <n v="1"/>
    <s v="Male"/>
    <x v="2"/>
    <x v="4"/>
    <x v="0"/>
    <n v="5968"/>
    <n v="20"/>
    <x v="0"/>
    <n v="3"/>
    <n v="9"/>
    <n v="2"/>
    <n v="3"/>
    <x v="8"/>
    <n v="7"/>
    <x v="2"/>
    <s v="Good"/>
    <x v="1"/>
    <x v="0"/>
    <x v="1"/>
    <x v="1"/>
    <x v="0"/>
  </r>
  <r>
    <x v="0"/>
    <s v="No"/>
    <x v="0"/>
    <n v="1"/>
    <s v="Female"/>
    <x v="0"/>
    <x v="5"/>
    <x v="2"/>
    <n v="9738"/>
    <n v="14"/>
    <x v="1"/>
    <n v="1"/>
    <n v="10"/>
    <n v="6"/>
    <n v="3"/>
    <x v="8"/>
    <n v="7"/>
    <x v="2"/>
    <s v="Good"/>
    <x v="1"/>
    <x v="0"/>
    <x v="1"/>
    <x v="1"/>
    <x v="1"/>
  </r>
  <r>
    <x v="0"/>
    <s v="No"/>
    <x v="1"/>
    <n v="1"/>
    <s v="Male"/>
    <x v="1"/>
    <x v="1"/>
    <x v="2"/>
    <n v="2720"/>
    <n v="18"/>
    <x v="1"/>
    <n v="1"/>
    <n v="10"/>
    <n v="5"/>
    <n v="3"/>
    <x v="9"/>
    <n v="7"/>
    <x v="2"/>
    <s v="Good"/>
    <x v="1"/>
    <x v="0"/>
    <x v="1"/>
    <x v="1"/>
    <x v="1"/>
  </r>
  <r>
    <x v="0"/>
    <s v="No"/>
    <x v="1"/>
    <n v="1"/>
    <s v="Female"/>
    <x v="0"/>
    <x v="7"/>
    <x v="0"/>
    <n v="13499"/>
    <n v="17"/>
    <x v="1"/>
    <n v="0"/>
    <n v="20"/>
    <n v="3"/>
    <n v="2"/>
    <x v="15"/>
    <n v="7"/>
    <x v="2"/>
    <s v="Bad"/>
    <x v="1"/>
    <x v="0"/>
    <x v="1"/>
    <x v="1"/>
    <x v="1"/>
  </r>
  <r>
    <x v="0"/>
    <s v="No"/>
    <x v="1"/>
    <n v="1"/>
    <s v="Female"/>
    <x v="2"/>
    <x v="1"/>
    <x v="3"/>
    <n v="5605"/>
    <n v="11"/>
    <x v="1"/>
    <n v="1"/>
    <n v="20"/>
    <n v="2"/>
    <n v="3"/>
    <x v="16"/>
    <n v="7"/>
    <x v="2"/>
    <s v="Good"/>
    <x v="1"/>
    <x v="0"/>
    <x v="1"/>
    <x v="1"/>
    <x v="1"/>
  </r>
  <r>
    <x v="0"/>
    <s v="No"/>
    <x v="2"/>
    <n v="1"/>
    <s v="Male"/>
    <x v="3"/>
    <x v="0"/>
    <x v="0"/>
    <n v="19189"/>
    <n v="12"/>
    <x v="1"/>
    <n v="1"/>
    <n v="22"/>
    <n v="3"/>
    <n v="3"/>
    <x v="21"/>
    <n v="7"/>
    <x v="2"/>
    <s v="Good"/>
    <x v="1"/>
    <x v="0"/>
    <x v="1"/>
    <x v="1"/>
    <x v="1"/>
  </r>
  <r>
    <x v="0"/>
    <s v="No"/>
    <x v="0"/>
    <n v="1"/>
    <s v="Male"/>
    <x v="4"/>
    <x v="5"/>
    <x v="3"/>
    <n v="13120"/>
    <n v="17"/>
    <x v="1"/>
    <n v="1"/>
    <n v="22"/>
    <n v="3"/>
    <n v="3"/>
    <x v="8"/>
    <n v="8"/>
    <x v="2"/>
    <s v="Good"/>
    <x v="1"/>
    <x v="0"/>
    <x v="1"/>
    <x v="1"/>
    <x v="1"/>
  </r>
  <r>
    <x v="0"/>
    <s v="No"/>
    <x v="0"/>
    <n v="1"/>
    <s v="Female"/>
    <x v="2"/>
    <x v="5"/>
    <x v="3"/>
    <n v="5209"/>
    <n v="12"/>
    <x v="1"/>
    <n v="3"/>
    <n v="11"/>
    <n v="4"/>
    <n v="2"/>
    <x v="13"/>
    <n v="8"/>
    <x v="2"/>
    <s v="Bad"/>
    <x v="1"/>
    <x v="0"/>
    <x v="1"/>
    <x v="1"/>
    <x v="1"/>
  </r>
  <r>
    <x v="0"/>
    <s v="No"/>
    <x v="0"/>
    <n v="1"/>
    <s v="Male"/>
    <x v="0"/>
    <x v="5"/>
    <x v="2"/>
    <n v="9888"/>
    <n v="21"/>
    <x v="0"/>
    <n v="0"/>
    <n v="14"/>
    <n v="3"/>
    <n v="2"/>
    <x v="23"/>
    <n v="8"/>
    <x v="2"/>
    <s v="Bad"/>
    <x v="1"/>
    <x v="0"/>
    <x v="1"/>
    <x v="1"/>
    <x v="0"/>
  </r>
  <r>
    <x v="0"/>
    <s v="No"/>
    <x v="1"/>
    <n v="1"/>
    <s v="Male"/>
    <x v="4"/>
    <x v="0"/>
    <x v="0"/>
    <n v="17861"/>
    <n v="13"/>
    <x v="1"/>
    <n v="0"/>
    <n v="21"/>
    <n v="3"/>
    <n v="2"/>
    <x v="16"/>
    <n v="8"/>
    <x v="2"/>
    <s v="Bad"/>
    <x v="1"/>
    <x v="0"/>
    <x v="1"/>
    <x v="1"/>
    <x v="1"/>
  </r>
  <r>
    <x v="0"/>
    <s v="No"/>
    <x v="1"/>
    <n v="1"/>
    <s v="Male"/>
    <x v="2"/>
    <x v="1"/>
    <x v="0"/>
    <n v="4900"/>
    <n v="24"/>
    <x v="0"/>
    <n v="1"/>
    <n v="13"/>
    <n v="2"/>
    <n v="2"/>
    <x v="25"/>
    <n v="9"/>
    <x v="2"/>
    <s v="Bad"/>
    <x v="1"/>
    <x v="0"/>
    <x v="1"/>
    <x v="1"/>
    <x v="0"/>
  </r>
  <r>
    <x v="0"/>
    <s v="No"/>
    <x v="1"/>
    <n v="1"/>
    <s v="Male"/>
    <x v="0"/>
    <x v="7"/>
    <x v="2"/>
    <n v="11510"/>
    <n v="14"/>
    <x v="1"/>
    <n v="1"/>
    <n v="12"/>
    <n v="3"/>
    <n v="3"/>
    <x v="13"/>
    <n v="10"/>
    <x v="2"/>
    <s v="Good"/>
    <x v="1"/>
    <x v="0"/>
    <x v="1"/>
    <x v="1"/>
    <x v="1"/>
  </r>
  <r>
    <x v="0"/>
    <s v="No"/>
    <x v="1"/>
    <n v="1"/>
    <s v="Male"/>
    <x v="2"/>
    <x v="6"/>
    <x v="0"/>
    <n v="5067"/>
    <n v="19"/>
    <x v="1"/>
    <n v="0"/>
    <n v="20"/>
    <n v="3"/>
    <n v="4"/>
    <x v="27"/>
    <n v="10"/>
    <x v="2"/>
    <s v="Good"/>
    <x v="1"/>
    <x v="0"/>
    <x v="1"/>
    <x v="1"/>
    <x v="1"/>
  </r>
  <r>
    <x v="0"/>
    <s v="No"/>
    <x v="0"/>
    <n v="1"/>
    <s v="Male"/>
    <x v="0"/>
    <x v="5"/>
    <x v="2"/>
    <n v="10855"/>
    <n v="11"/>
    <x v="1"/>
    <n v="1"/>
    <n v="15"/>
    <n v="2"/>
    <n v="2"/>
    <x v="25"/>
    <n v="11"/>
    <x v="2"/>
    <s v="Bad"/>
    <x v="1"/>
    <x v="0"/>
    <x v="1"/>
    <x v="1"/>
    <x v="1"/>
  </r>
  <r>
    <x v="0"/>
    <s v="No"/>
    <x v="1"/>
    <n v="1"/>
    <s v="Male"/>
    <x v="2"/>
    <x v="1"/>
    <x v="2"/>
    <n v="4735"/>
    <n v="15"/>
    <x v="1"/>
    <n v="2"/>
    <n v="19"/>
    <n v="4"/>
    <n v="4"/>
    <x v="17"/>
    <n v="11"/>
    <x v="2"/>
    <s v="Good"/>
    <x v="1"/>
    <x v="0"/>
    <x v="1"/>
    <x v="1"/>
    <x v="1"/>
  </r>
  <r>
    <x v="0"/>
    <s v="No"/>
    <x v="1"/>
    <n v="1"/>
    <s v="Female"/>
    <x v="2"/>
    <x v="4"/>
    <x v="0"/>
    <n v="4148"/>
    <n v="12"/>
    <x v="1"/>
    <n v="1"/>
    <n v="15"/>
    <n v="5"/>
    <n v="3"/>
    <x v="23"/>
    <n v="11"/>
    <x v="2"/>
    <s v="Good"/>
    <x v="1"/>
    <x v="0"/>
    <x v="1"/>
    <x v="1"/>
    <x v="1"/>
  </r>
  <r>
    <x v="0"/>
    <s v="No"/>
    <x v="1"/>
    <n v="1"/>
    <s v="Male"/>
    <x v="1"/>
    <x v="2"/>
    <x v="3"/>
    <n v="2028"/>
    <n v="18"/>
    <x v="1"/>
    <n v="3"/>
    <n v="14"/>
    <n v="6"/>
    <n v="3"/>
    <x v="23"/>
    <n v="11"/>
    <x v="2"/>
    <s v="Good"/>
    <x v="1"/>
    <x v="0"/>
    <x v="1"/>
    <x v="1"/>
    <x v="1"/>
  </r>
  <r>
    <x v="0"/>
    <s v="No"/>
    <x v="1"/>
    <n v="1"/>
    <s v="Female"/>
    <x v="4"/>
    <x v="4"/>
    <x v="0"/>
    <n v="13966"/>
    <n v="19"/>
    <x v="1"/>
    <n v="1"/>
    <n v="30"/>
    <n v="3"/>
    <n v="3"/>
    <x v="12"/>
    <n v="11"/>
    <x v="2"/>
    <s v="Good"/>
    <x v="1"/>
    <x v="0"/>
    <x v="1"/>
    <x v="1"/>
    <x v="1"/>
  </r>
  <r>
    <x v="0"/>
    <s v="No"/>
    <x v="0"/>
    <n v="1"/>
    <s v="Male"/>
    <x v="2"/>
    <x v="5"/>
    <x v="1"/>
    <n v="4312"/>
    <n v="14"/>
    <x v="1"/>
    <n v="0"/>
    <n v="16"/>
    <n v="2"/>
    <n v="3"/>
    <x v="12"/>
    <n v="13"/>
    <x v="2"/>
    <s v="Good"/>
    <x v="1"/>
    <x v="0"/>
    <x v="1"/>
    <x v="1"/>
    <x v="1"/>
  </r>
  <r>
    <x v="0"/>
    <s v="No"/>
    <x v="1"/>
    <n v="1"/>
    <s v="Female"/>
    <x v="2"/>
    <x v="1"/>
    <x v="0"/>
    <n v="4809"/>
    <n v="14"/>
    <x v="1"/>
    <n v="0"/>
    <n v="16"/>
    <n v="3"/>
    <n v="3"/>
    <x v="14"/>
    <n v="13"/>
    <x v="2"/>
    <s v="Good"/>
    <x v="1"/>
    <x v="0"/>
    <x v="1"/>
    <x v="1"/>
    <x v="1"/>
  </r>
  <r>
    <x v="0"/>
    <s v="No"/>
    <x v="1"/>
    <n v="1"/>
    <s v="Male"/>
    <x v="1"/>
    <x v="2"/>
    <x v="1"/>
    <n v="4721"/>
    <n v="13"/>
    <x v="1"/>
    <n v="0"/>
    <n v="20"/>
    <n v="3"/>
    <n v="3"/>
    <x v="15"/>
    <n v="13"/>
    <x v="2"/>
    <s v="Good"/>
    <x v="1"/>
    <x v="0"/>
    <x v="1"/>
    <x v="1"/>
    <x v="1"/>
  </r>
  <r>
    <x v="0"/>
    <s v="No"/>
    <x v="1"/>
    <n v="1"/>
    <s v="Male"/>
    <x v="3"/>
    <x v="7"/>
    <x v="3"/>
    <n v="18722"/>
    <n v="11"/>
    <x v="1"/>
    <n v="0"/>
    <n v="36"/>
    <n v="3"/>
    <n v="3"/>
    <x v="22"/>
    <n v="15"/>
    <x v="2"/>
    <s v="Good"/>
    <x v="1"/>
    <x v="0"/>
    <x v="1"/>
    <x v="1"/>
    <x v="1"/>
  </r>
  <r>
    <x v="0"/>
    <s v="No"/>
    <x v="0"/>
    <n v="1"/>
    <s v="Female"/>
    <x v="4"/>
    <x v="5"/>
    <x v="1"/>
    <n v="13225"/>
    <n v="12"/>
    <x v="1"/>
    <n v="1"/>
    <n v="25"/>
    <n v="5"/>
    <n v="3"/>
    <x v="27"/>
    <n v="17"/>
    <x v="2"/>
    <s v="Good"/>
    <x v="1"/>
    <x v="0"/>
    <x v="1"/>
    <x v="1"/>
    <x v="1"/>
  </r>
  <r>
    <x v="0"/>
    <s v="Yes"/>
    <x v="0"/>
    <n v="1"/>
    <s v="Female"/>
    <x v="2"/>
    <x v="5"/>
    <x v="0"/>
    <n v="4614"/>
    <n v="18"/>
    <x v="1"/>
    <n v="1"/>
    <n v="5"/>
    <n v="0"/>
    <n v="2"/>
    <x v="11"/>
    <n v="2"/>
    <x v="3"/>
    <s v="Bad"/>
    <x v="2"/>
    <x v="0"/>
    <x v="0"/>
    <x v="0"/>
    <x v="1"/>
  </r>
  <r>
    <x v="0"/>
    <s v="No"/>
    <x v="1"/>
    <n v="1"/>
    <s v="Female"/>
    <x v="0"/>
    <x v="6"/>
    <x v="2"/>
    <n v="7945"/>
    <n v="15"/>
    <x v="1"/>
    <n v="0"/>
    <n v="18"/>
    <n v="2"/>
    <n v="2"/>
    <x v="11"/>
    <n v="2"/>
    <x v="3"/>
    <s v="Bad"/>
    <x v="2"/>
    <x v="0"/>
    <x v="0"/>
    <x v="0"/>
    <x v="1"/>
  </r>
  <r>
    <x v="0"/>
    <s v="No"/>
    <x v="1"/>
    <n v="1"/>
    <s v="Male"/>
    <x v="1"/>
    <x v="2"/>
    <x v="1"/>
    <n v="2218"/>
    <n v="12"/>
    <x v="1"/>
    <n v="1"/>
    <n v="4"/>
    <n v="3"/>
    <n v="3"/>
    <x v="11"/>
    <n v="2"/>
    <x v="3"/>
    <s v="Good"/>
    <x v="2"/>
    <x v="0"/>
    <x v="0"/>
    <x v="0"/>
    <x v="1"/>
  </r>
  <r>
    <x v="0"/>
    <s v="No"/>
    <x v="0"/>
    <n v="1"/>
    <s v="Male"/>
    <x v="0"/>
    <x v="5"/>
    <x v="3"/>
    <n v="10596"/>
    <n v="11"/>
    <x v="1"/>
    <n v="0"/>
    <n v="14"/>
    <n v="5"/>
    <n v="3"/>
    <x v="11"/>
    <n v="2"/>
    <x v="3"/>
    <s v="Good"/>
    <x v="2"/>
    <x v="0"/>
    <x v="0"/>
    <x v="0"/>
    <x v="1"/>
  </r>
  <r>
    <x v="0"/>
    <s v="No"/>
    <x v="1"/>
    <n v="1"/>
    <s v="Female"/>
    <x v="2"/>
    <x v="6"/>
    <x v="0"/>
    <n v="4377"/>
    <n v="15"/>
    <x v="1"/>
    <n v="2"/>
    <n v="5"/>
    <n v="6"/>
    <n v="3"/>
    <x v="11"/>
    <n v="2"/>
    <x v="3"/>
    <s v="Good"/>
    <x v="2"/>
    <x v="0"/>
    <x v="0"/>
    <x v="0"/>
    <x v="1"/>
  </r>
  <r>
    <x v="0"/>
    <s v="No"/>
    <x v="1"/>
    <n v="1"/>
    <s v="Male"/>
    <x v="1"/>
    <x v="2"/>
    <x v="2"/>
    <n v="3162"/>
    <n v="17"/>
    <x v="1"/>
    <n v="0"/>
    <n v="6"/>
    <n v="2"/>
    <n v="2"/>
    <x v="4"/>
    <n v="2"/>
    <x v="3"/>
    <s v="Bad"/>
    <x v="1"/>
    <x v="0"/>
    <x v="0"/>
    <x v="0"/>
    <x v="1"/>
  </r>
  <r>
    <x v="0"/>
    <s v="Yes"/>
    <x v="1"/>
    <n v="1"/>
    <s v="Male"/>
    <x v="1"/>
    <x v="1"/>
    <x v="1"/>
    <n v="2307"/>
    <n v="23"/>
    <x v="0"/>
    <n v="1"/>
    <n v="5"/>
    <n v="2"/>
    <n v="3"/>
    <x v="4"/>
    <n v="2"/>
    <x v="3"/>
    <s v="Good"/>
    <x v="1"/>
    <x v="0"/>
    <x v="0"/>
    <x v="0"/>
    <x v="0"/>
  </r>
  <r>
    <x v="0"/>
    <s v="No"/>
    <x v="1"/>
    <n v="1"/>
    <s v="Female"/>
    <x v="2"/>
    <x v="1"/>
    <x v="2"/>
    <n v="5467"/>
    <n v="14"/>
    <x v="1"/>
    <n v="2"/>
    <n v="12"/>
    <n v="4"/>
    <n v="2"/>
    <x v="5"/>
    <n v="2"/>
    <x v="3"/>
    <s v="Bad"/>
    <x v="1"/>
    <x v="0"/>
    <x v="0"/>
    <x v="0"/>
    <x v="1"/>
  </r>
  <r>
    <x v="0"/>
    <s v="No"/>
    <x v="1"/>
    <n v="1"/>
    <s v="Male"/>
    <x v="2"/>
    <x v="2"/>
    <x v="2"/>
    <n v="2741"/>
    <n v="15"/>
    <x v="1"/>
    <n v="1"/>
    <n v="15"/>
    <n v="2"/>
    <n v="4"/>
    <x v="6"/>
    <n v="2"/>
    <x v="3"/>
    <s v="Good"/>
    <x v="1"/>
    <x v="0"/>
    <x v="0"/>
    <x v="0"/>
    <x v="1"/>
  </r>
  <r>
    <x v="0"/>
    <s v="No"/>
    <x v="1"/>
    <n v="1"/>
    <s v="Female"/>
    <x v="2"/>
    <x v="6"/>
    <x v="0"/>
    <n v="5042"/>
    <n v="13"/>
    <x v="1"/>
    <n v="0"/>
    <n v="10"/>
    <n v="2"/>
    <n v="1"/>
    <x v="8"/>
    <n v="2"/>
    <x v="3"/>
    <s v="Bad"/>
    <x v="1"/>
    <x v="0"/>
    <x v="0"/>
    <x v="0"/>
    <x v="1"/>
  </r>
  <r>
    <x v="0"/>
    <s v="No"/>
    <x v="1"/>
    <n v="1"/>
    <s v="Female"/>
    <x v="1"/>
    <x v="2"/>
    <x v="3"/>
    <n v="2440"/>
    <n v="22"/>
    <x v="0"/>
    <n v="0"/>
    <n v="4"/>
    <n v="3"/>
    <n v="3"/>
    <x v="11"/>
    <n v="3"/>
    <x v="3"/>
    <s v="Good"/>
    <x v="2"/>
    <x v="0"/>
    <x v="0"/>
    <x v="0"/>
    <x v="0"/>
  </r>
  <r>
    <x v="0"/>
    <s v="No"/>
    <x v="1"/>
    <n v="1"/>
    <s v="Male"/>
    <x v="2"/>
    <x v="4"/>
    <x v="1"/>
    <n v="4741"/>
    <n v="13"/>
    <x v="1"/>
    <n v="1"/>
    <n v="5"/>
    <n v="3"/>
    <n v="3"/>
    <x v="4"/>
    <n v="3"/>
    <x v="3"/>
    <s v="Good"/>
    <x v="1"/>
    <x v="0"/>
    <x v="0"/>
    <x v="0"/>
    <x v="1"/>
  </r>
  <r>
    <x v="0"/>
    <s v="No"/>
    <x v="1"/>
    <n v="1"/>
    <s v="Male"/>
    <x v="1"/>
    <x v="1"/>
    <x v="0"/>
    <n v="2936"/>
    <n v="22"/>
    <x v="0"/>
    <n v="2"/>
    <n v="10"/>
    <n v="1"/>
    <n v="2"/>
    <x v="5"/>
    <n v="3"/>
    <x v="3"/>
    <s v="Bad"/>
    <x v="1"/>
    <x v="0"/>
    <x v="0"/>
    <x v="0"/>
    <x v="0"/>
  </r>
  <r>
    <x v="0"/>
    <s v="No"/>
    <x v="2"/>
    <n v="1"/>
    <s v="Female"/>
    <x v="2"/>
    <x v="8"/>
    <x v="3"/>
    <n v="6389"/>
    <n v="15"/>
    <x v="1"/>
    <n v="1"/>
    <n v="12"/>
    <n v="3"/>
    <n v="1"/>
    <x v="7"/>
    <n v="3"/>
    <x v="3"/>
    <s v="Bad"/>
    <x v="1"/>
    <x v="0"/>
    <x v="0"/>
    <x v="0"/>
    <x v="1"/>
  </r>
  <r>
    <x v="0"/>
    <s v="No"/>
    <x v="1"/>
    <n v="1"/>
    <s v="Male"/>
    <x v="1"/>
    <x v="2"/>
    <x v="1"/>
    <n v="3196"/>
    <n v="12"/>
    <x v="1"/>
    <n v="3"/>
    <n v="6"/>
    <n v="2"/>
    <n v="3"/>
    <x v="5"/>
    <n v="5"/>
    <x v="3"/>
    <s v="Good"/>
    <x v="1"/>
    <x v="0"/>
    <x v="1"/>
    <x v="1"/>
    <x v="1"/>
  </r>
  <r>
    <x v="0"/>
    <s v="Yes"/>
    <x v="2"/>
    <n v="1"/>
    <s v="Male"/>
    <x v="0"/>
    <x v="8"/>
    <x v="1"/>
    <n v="10482"/>
    <n v="14"/>
    <x v="1"/>
    <n v="1"/>
    <n v="24"/>
    <n v="1"/>
    <n v="3"/>
    <x v="16"/>
    <n v="6"/>
    <x v="3"/>
    <s v="Good"/>
    <x v="1"/>
    <x v="0"/>
    <x v="1"/>
    <x v="1"/>
    <x v="1"/>
  </r>
  <r>
    <x v="0"/>
    <s v="No"/>
    <x v="1"/>
    <n v="1"/>
    <s v="Male"/>
    <x v="1"/>
    <x v="2"/>
    <x v="2"/>
    <n v="3068"/>
    <n v="13"/>
    <x v="1"/>
    <n v="0"/>
    <n v="8"/>
    <n v="2"/>
    <n v="2"/>
    <x v="6"/>
    <n v="7"/>
    <x v="3"/>
    <s v="Bad"/>
    <x v="1"/>
    <x v="0"/>
    <x v="1"/>
    <x v="1"/>
    <x v="1"/>
  </r>
  <r>
    <x v="0"/>
    <s v="Yes"/>
    <x v="1"/>
    <n v="1"/>
    <s v="Female"/>
    <x v="1"/>
    <x v="1"/>
    <x v="3"/>
    <n v="2216"/>
    <n v="13"/>
    <x v="1"/>
    <n v="0"/>
    <n v="10"/>
    <n v="4"/>
    <n v="3"/>
    <x v="6"/>
    <n v="7"/>
    <x v="3"/>
    <s v="Good"/>
    <x v="1"/>
    <x v="0"/>
    <x v="1"/>
    <x v="1"/>
    <x v="1"/>
  </r>
  <r>
    <x v="0"/>
    <s v="No"/>
    <x v="1"/>
    <n v="1"/>
    <s v="Female"/>
    <x v="2"/>
    <x v="4"/>
    <x v="3"/>
    <n v="4244"/>
    <n v="24"/>
    <x v="0"/>
    <n v="1"/>
    <n v="8"/>
    <n v="2"/>
    <n v="3"/>
    <x v="7"/>
    <n v="7"/>
    <x v="3"/>
    <s v="Good"/>
    <x v="1"/>
    <x v="0"/>
    <x v="1"/>
    <x v="1"/>
    <x v="0"/>
  </r>
  <r>
    <x v="0"/>
    <s v="No"/>
    <x v="1"/>
    <n v="1"/>
    <s v="Female"/>
    <x v="1"/>
    <x v="1"/>
    <x v="0"/>
    <n v="2909"/>
    <n v="11"/>
    <x v="1"/>
    <n v="0"/>
    <n v="8"/>
    <n v="3"/>
    <n v="3"/>
    <x v="7"/>
    <n v="7"/>
    <x v="3"/>
    <s v="Good"/>
    <x v="1"/>
    <x v="0"/>
    <x v="1"/>
    <x v="1"/>
    <x v="1"/>
  </r>
  <r>
    <x v="0"/>
    <s v="No"/>
    <x v="0"/>
    <n v="1"/>
    <s v="Male"/>
    <x v="2"/>
    <x v="3"/>
    <x v="0"/>
    <n v="6632"/>
    <n v="13"/>
    <x v="1"/>
    <n v="0"/>
    <n v="9"/>
    <n v="3"/>
    <n v="3"/>
    <x v="7"/>
    <n v="7"/>
    <x v="3"/>
    <s v="Good"/>
    <x v="1"/>
    <x v="0"/>
    <x v="1"/>
    <x v="1"/>
    <x v="1"/>
  </r>
  <r>
    <x v="0"/>
    <s v="No"/>
    <x v="0"/>
    <n v="1"/>
    <s v="Male"/>
    <x v="2"/>
    <x v="5"/>
    <x v="3"/>
    <n v="4805"/>
    <n v="19"/>
    <x v="1"/>
    <n v="1"/>
    <n v="9"/>
    <n v="3"/>
    <n v="4"/>
    <x v="7"/>
    <n v="7"/>
    <x v="3"/>
    <s v="Good"/>
    <x v="1"/>
    <x v="0"/>
    <x v="1"/>
    <x v="1"/>
    <x v="1"/>
  </r>
  <r>
    <x v="0"/>
    <s v="No"/>
    <x v="0"/>
    <n v="1"/>
    <s v="Female"/>
    <x v="0"/>
    <x v="5"/>
    <x v="2"/>
    <n v="7644"/>
    <n v="19"/>
    <x v="1"/>
    <n v="2"/>
    <n v="10"/>
    <n v="2"/>
    <n v="3"/>
    <x v="8"/>
    <n v="7"/>
    <x v="3"/>
    <s v="Good"/>
    <x v="1"/>
    <x v="0"/>
    <x v="1"/>
    <x v="1"/>
    <x v="1"/>
  </r>
  <r>
    <x v="0"/>
    <s v="Yes"/>
    <x v="1"/>
    <n v="1"/>
    <s v="Female"/>
    <x v="2"/>
    <x v="4"/>
    <x v="3"/>
    <n v="8926"/>
    <n v="22"/>
    <x v="0"/>
    <n v="1"/>
    <n v="13"/>
    <n v="2"/>
    <n v="4"/>
    <x v="8"/>
    <n v="7"/>
    <x v="3"/>
    <s v="Good"/>
    <x v="1"/>
    <x v="0"/>
    <x v="1"/>
    <x v="1"/>
    <x v="0"/>
  </r>
  <r>
    <x v="0"/>
    <s v="No"/>
    <x v="1"/>
    <n v="1"/>
    <s v="Female"/>
    <x v="2"/>
    <x v="6"/>
    <x v="2"/>
    <n v="5770"/>
    <n v="19"/>
    <x v="1"/>
    <n v="2"/>
    <n v="10"/>
    <n v="3"/>
    <n v="3"/>
    <x v="9"/>
    <n v="7"/>
    <x v="3"/>
    <s v="Good"/>
    <x v="1"/>
    <x v="0"/>
    <x v="1"/>
    <x v="1"/>
    <x v="1"/>
  </r>
  <r>
    <x v="0"/>
    <s v="Yes"/>
    <x v="1"/>
    <n v="1"/>
    <s v="Female"/>
    <x v="2"/>
    <x v="1"/>
    <x v="0"/>
    <n v="4508"/>
    <n v="22"/>
    <x v="0"/>
    <n v="0"/>
    <n v="14"/>
    <n v="4"/>
    <n v="3"/>
    <x v="17"/>
    <n v="7"/>
    <x v="3"/>
    <s v="Good"/>
    <x v="1"/>
    <x v="0"/>
    <x v="1"/>
    <x v="1"/>
    <x v="0"/>
  </r>
  <r>
    <x v="0"/>
    <s v="Yes"/>
    <x v="0"/>
    <n v="1"/>
    <s v="Male"/>
    <x v="0"/>
    <x v="5"/>
    <x v="2"/>
    <n v="10325"/>
    <n v="11"/>
    <x v="1"/>
    <n v="1"/>
    <n v="16"/>
    <n v="6"/>
    <n v="3"/>
    <x v="14"/>
    <n v="7"/>
    <x v="3"/>
    <s v="Good"/>
    <x v="1"/>
    <x v="0"/>
    <x v="1"/>
    <x v="1"/>
    <x v="1"/>
  </r>
  <r>
    <x v="0"/>
    <s v="Yes"/>
    <x v="0"/>
    <n v="1"/>
    <s v="Male"/>
    <x v="4"/>
    <x v="5"/>
    <x v="0"/>
    <n v="13695"/>
    <n v="17"/>
    <x v="1"/>
    <n v="0"/>
    <n v="24"/>
    <n v="2"/>
    <n v="2"/>
    <x v="27"/>
    <n v="7"/>
    <x v="3"/>
    <s v="Bad"/>
    <x v="1"/>
    <x v="0"/>
    <x v="1"/>
    <x v="1"/>
    <x v="1"/>
  </r>
  <r>
    <x v="0"/>
    <s v="No"/>
    <x v="1"/>
    <n v="1"/>
    <s v="Male"/>
    <x v="3"/>
    <x v="7"/>
    <x v="0"/>
    <n v="19436"/>
    <n v="19"/>
    <x v="1"/>
    <n v="1"/>
    <n v="22"/>
    <n v="5"/>
    <n v="3"/>
    <x v="26"/>
    <n v="7"/>
    <x v="3"/>
    <s v="Good"/>
    <x v="1"/>
    <x v="0"/>
    <x v="1"/>
    <x v="1"/>
    <x v="1"/>
  </r>
  <r>
    <x v="0"/>
    <s v="No"/>
    <x v="1"/>
    <n v="1"/>
    <s v="Female"/>
    <x v="2"/>
    <x v="6"/>
    <x v="2"/>
    <n v="5906"/>
    <n v="13"/>
    <x v="1"/>
    <n v="2"/>
    <n v="10"/>
    <n v="2"/>
    <n v="2"/>
    <x v="8"/>
    <n v="8"/>
    <x v="3"/>
    <s v="Bad"/>
    <x v="1"/>
    <x v="0"/>
    <x v="1"/>
    <x v="1"/>
    <x v="1"/>
  </r>
  <r>
    <x v="0"/>
    <s v="No"/>
    <x v="0"/>
    <n v="1"/>
    <s v="Female"/>
    <x v="0"/>
    <x v="5"/>
    <x v="2"/>
    <n v="8998"/>
    <n v="14"/>
    <x v="1"/>
    <n v="0"/>
    <n v="9"/>
    <n v="2"/>
    <n v="3"/>
    <x v="8"/>
    <n v="8"/>
    <x v="3"/>
    <s v="Good"/>
    <x v="1"/>
    <x v="0"/>
    <x v="1"/>
    <x v="1"/>
    <x v="1"/>
  </r>
  <r>
    <x v="0"/>
    <s v="No"/>
    <x v="1"/>
    <n v="1"/>
    <s v="Male"/>
    <x v="2"/>
    <x v="2"/>
    <x v="2"/>
    <n v="5126"/>
    <n v="12"/>
    <x v="1"/>
    <n v="2"/>
    <n v="10"/>
    <n v="1"/>
    <n v="2"/>
    <x v="9"/>
    <n v="8"/>
    <x v="3"/>
    <s v="Bad"/>
    <x v="1"/>
    <x v="0"/>
    <x v="1"/>
    <x v="1"/>
    <x v="1"/>
  </r>
  <r>
    <x v="0"/>
    <s v="No"/>
    <x v="1"/>
    <n v="1"/>
    <s v="Male"/>
    <x v="2"/>
    <x v="1"/>
    <x v="2"/>
    <n v="4285"/>
    <n v="17"/>
    <x v="1"/>
    <n v="0"/>
    <n v="10"/>
    <n v="2"/>
    <n v="3"/>
    <x v="9"/>
    <n v="8"/>
    <x v="3"/>
    <s v="Good"/>
    <x v="1"/>
    <x v="0"/>
    <x v="1"/>
    <x v="1"/>
    <x v="1"/>
  </r>
  <r>
    <x v="0"/>
    <s v="No"/>
    <x v="1"/>
    <n v="1"/>
    <s v="Female"/>
    <x v="0"/>
    <x v="4"/>
    <x v="3"/>
    <n v="8606"/>
    <n v="19"/>
    <x v="1"/>
    <n v="0"/>
    <n v="11"/>
    <n v="3"/>
    <n v="1"/>
    <x v="13"/>
    <n v="8"/>
    <x v="3"/>
    <s v="Bad"/>
    <x v="1"/>
    <x v="0"/>
    <x v="1"/>
    <x v="1"/>
    <x v="1"/>
  </r>
  <r>
    <x v="0"/>
    <s v="Yes"/>
    <x v="0"/>
    <n v="1"/>
    <s v="Female"/>
    <x v="0"/>
    <x v="5"/>
    <x v="1"/>
    <n v="7336"/>
    <n v="13"/>
    <x v="1"/>
    <n v="1"/>
    <n v="11"/>
    <n v="3"/>
    <n v="1"/>
    <x v="13"/>
    <n v="8"/>
    <x v="3"/>
    <s v="Bad"/>
    <x v="1"/>
    <x v="0"/>
    <x v="1"/>
    <x v="1"/>
    <x v="1"/>
  </r>
  <r>
    <x v="0"/>
    <s v="No"/>
    <x v="1"/>
    <n v="1"/>
    <s v="Male"/>
    <x v="1"/>
    <x v="2"/>
    <x v="0"/>
    <n v="2519"/>
    <n v="21"/>
    <x v="0"/>
    <n v="0"/>
    <n v="16"/>
    <n v="6"/>
    <n v="3"/>
    <x v="13"/>
    <n v="8"/>
    <x v="3"/>
    <s v="Good"/>
    <x v="1"/>
    <x v="0"/>
    <x v="1"/>
    <x v="1"/>
    <x v="0"/>
  </r>
  <r>
    <x v="0"/>
    <s v="No"/>
    <x v="1"/>
    <n v="1"/>
    <s v="Male"/>
    <x v="1"/>
    <x v="2"/>
    <x v="2"/>
    <n v="3812"/>
    <n v="13"/>
    <x v="1"/>
    <n v="0"/>
    <n v="11"/>
    <n v="3"/>
    <n v="4"/>
    <x v="13"/>
    <n v="8"/>
    <x v="3"/>
    <s v="Good"/>
    <x v="1"/>
    <x v="0"/>
    <x v="1"/>
    <x v="1"/>
    <x v="1"/>
  </r>
  <r>
    <x v="0"/>
    <s v="No"/>
    <x v="1"/>
    <n v="1"/>
    <s v="Female"/>
    <x v="2"/>
    <x v="2"/>
    <x v="2"/>
    <n v="4011"/>
    <n v="23"/>
    <x v="0"/>
    <n v="0"/>
    <n v="12"/>
    <n v="2"/>
    <n v="3"/>
    <x v="25"/>
    <n v="8"/>
    <x v="3"/>
    <s v="Good"/>
    <x v="1"/>
    <x v="0"/>
    <x v="1"/>
    <x v="1"/>
    <x v="0"/>
  </r>
  <r>
    <x v="0"/>
    <s v="No"/>
    <x v="1"/>
    <n v="1"/>
    <s v="Female"/>
    <x v="2"/>
    <x v="6"/>
    <x v="2"/>
    <n v="6474"/>
    <n v="13"/>
    <x v="1"/>
    <n v="1"/>
    <n v="14"/>
    <n v="2"/>
    <n v="2"/>
    <x v="23"/>
    <n v="8"/>
    <x v="3"/>
    <s v="Bad"/>
    <x v="1"/>
    <x v="0"/>
    <x v="1"/>
    <x v="1"/>
    <x v="1"/>
  </r>
  <r>
    <x v="0"/>
    <s v="No"/>
    <x v="1"/>
    <n v="1"/>
    <s v="Male"/>
    <x v="1"/>
    <x v="2"/>
    <x v="0"/>
    <n v="3221"/>
    <n v="11"/>
    <x v="1"/>
    <n v="3"/>
    <n v="20"/>
    <n v="3"/>
    <n v="3"/>
    <x v="16"/>
    <n v="8"/>
    <x v="3"/>
    <s v="Good"/>
    <x v="1"/>
    <x v="0"/>
    <x v="1"/>
    <x v="1"/>
    <x v="1"/>
  </r>
  <r>
    <x v="0"/>
    <s v="No"/>
    <x v="0"/>
    <n v="1"/>
    <s v="Female"/>
    <x v="4"/>
    <x v="0"/>
    <x v="2"/>
    <n v="15427"/>
    <n v="16"/>
    <x v="1"/>
    <n v="0"/>
    <n v="31"/>
    <n v="3"/>
    <n v="3"/>
    <x v="30"/>
    <n v="8"/>
    <x v="3"/>
    <s v="Good"/>
    <x v="1"/>
    <x v="0"/>
    <x v="1"/>
    <x v="1"/>
    <x v="1"/>
  </r>
  <r>
    <x v="0"/>
    <s v="No"/>
    <x v="1"/>
    <n v="1"/>
    <s v="Female"/>
    <x v="4"/>
    <x v="7"/>
    <x v="2"/>
    <n v="14275"/>
    <n v="18"/>
    <x v="1"/>
    <n v="0"/>
    <n v="33"/>
    <n v="0"/>
    <n v="3"/>
    <x v="25"/>
    <n v="9"/>
    <x v="3"/>
    <s v="Good"/>
    <x v="1"/>
    <x v="0"/>
    <x v="1"/>
    <x v="1"/>
    <x v="1"/>
  </r>
  <r>
    <x v="0"/>
    <s v="No"/>
    <x v="0"/>
    <n v="1"/>
    <s v="Male"/>
    <x v="2"/>
    <x v="5"/>
    <x v="1"/>
    <n v="4759"/>
    <n v="18"/>
    <x v="1"/>
    <n v="0"/>
    <n v="15"/>
    <n v="2"/>
    <n v="3"/>
    <x v="17"/>
    <n v="9"/>
    <x v="3"/>
    <s v="Good"/>
    <x v="1"/>
    <x v="0"/>
    <x v="1"/>
    <x v="1"/>
    <x v="1"/>
  </r>
  <r>
    <x v="0"/>
    <s v="No"/>
    <x v="1"/>
    <n v="1"/>
    <s v="Male"/>
    <x v="0"/>
    <x v="7"/>
    <x v="0"/>
    <n v="11691"/>
    <n v="11"/>
    <x v="1"/>
    <n v="0"/>
    <n v="14"/>
    <n v="3"/>
    <n v="4"/>
    <x v="17"/>
    <n v="9"/>
    <x v="3"/>
    <s v="Good"/>
    <x v="1"/>
    <x v="0"/>
    <x v="1"/>
    <x v="1"/>
    <x v="1"/>
  </r>
  <r>
    <x v="0"/>
    <s v="No"/>
    <x v="1"/>
    <n v="1"/>
    <s v="Male"/>
    <x v="2"/>
    <x v="1"/>
    <x v="0"/>
    <n v="4332"/>
    <n v="12"/>
    <x v="1"/>
    <n v="0"/>
    <n v="20"/>
    <n v="2"/>
    <n v="3"/>
    <x v="16"/>
    <n v="9"/>
    <x v="3"/>
    <s v="Good"/>
    <x v="1"/>
    <x v="0"/>
    <x v="1"/>
    <x v="1"/>
    <x v="1"/>
  </r>
  <r>
    <x v="0"/>
    <s v="No"/>
    <x v="0"/>
    <n v="1"/>
    <s v="Male"/>
    <x v="3"/>
    <x v="0"/>
    <x v="3"/>
    <n v="18213"/>
    <n v="11"/>
    <x v="1"/>
    <n v="1"/>
    <n v="26"/>
    <n v="5"/>
    <n v="3"/>
    <x v="21"/>
    <n v="9"/>
    <x v="3"/>
    <s v="Good"/>
    <x v="1"/>
    <x v="0"/>
    <x v="1"/>
    <x v="1"/>
    <x v="1"/>
  </r>
  <r>
    <x v="0"/>
    <s v="No"/>
    <x v="2"/>
    <n v="1"/>
    <s v="Male"/>
    <x v="1"/>
    <x v="8"/>
    <x v="3"/>
    <n v="2592"/>
    <n v="13"/>
    <x v="1"/>
    <n v="3"/>
    <n v="13"/>
    <n v="3"/>
    <n v="3"/>
    <x v="13"/>
    <n v="10"/>
    <x v="3"/>
    <s v="Good"/>
    <x v="1"/>
    <x v="0"/>
    <x v="1"/>
    <x v="1"/>
    <x v="1"/>
  </r>
  <r>
    <x v="0"/>
    <s v="No"/>
    <x v="1"/>
    <n v="1"/>
    <s v="Female"/>
    <x v="2"/>
    <x v="6"/>
    <x v="1"/>
    <n v="4306"/>
    <n v="12"/>
    <x v="1"/>
    <n v="1"/>
    <n v="13"/>
    <n v="5"/>
    <n v="1"/>
    <x v="17"/>
    <n v="10"/>
    <x v="3"/>
    <s v="Bad"/>
    <x v="1"/>
    <x v="0"/>
    <x v="1"/>
    <x v="1"/>
    <x v="1"/>
  </r>
  <r>
    <x v="0"/>
    <s v="No"/>
    <x v="1"/>
    <n v="1"/>
    <s v="Male"/>
    <x v="0"/>
    <x v="4"/>
    <x v="2"/>
    <n v="9613"/>
    <n v="17"/>
    <x v="1"/>
    <n v="3"/>
    <n v="19"/>
    <n v="5"/>
    <n v="2"/>
    <x v="15"/>
    <n v="10"/>
    <x v="3"/>
    <s v="Bad"/>
    <x v="1"/>
    <x v="0"/>
    <x v="1"/>
    <x v="1"/>
    <x v="1"/>
  </r>
  <r>
    <x v="0"/>
    <s v="No"/>
    <x v="1"/>
    <n v="1"/>
    <s v="Male"/>
    <x v="4"/>
    <x v="7"/>
    <x v="3"/>
    <n v="14336"/>
    <n v="11"/>
    <x v="1"/>
    <n v="1"/>
    <n v="25"/>
    <n v="3"/>
    <n v="3"/>
    <x v="30"/>
    <n v="10"/>
    <x v="3"/>
    <s v="Good"/>
    <x v="1"/>
    <x v="0"/>
    <x v="1"/>
    <x v="1"/>
    <x v="1"/>
  </r>
  <r>
    <x v="0"/>
    <s v="No"/>
    <x v="1"/>
    <n v="1"/>
    <s v="Male"/>
    <x v="2"/>
    <x v="2"/>
    <x v="3"/>
    <n v="5914"/>
    <n v="16"/>
    <x v="1"/>
    <n v="0"/>
    <n v="16"/>
    <n v="3"/>
    <n v="4"/>
    <x v="17"/>
    <n v="11"/>
    <x v="3"/>
    <s v="Good"/>
    <x v="1"/>
    <x v="0"/>
    <x v="1"/>
    <x v="1"/>
    <x v="1"/>
  </r>
  <r>
    <x v="0"/>
    <s v="No"/>
    <x v="1"/>
    <n v="1"/>
    <s v="Female"/>
    <x v="4"/>
    <x v="0"/>
    <x v="2"/>
    <n v="16752"/>
    <n v="11"/>
    <x v="1"/>
    <n v="1"/>
    <n v="26"/>
    <n v="3"/>
    <n v="2"/>
    <x v="10"/>
    <n v="14"/>
    <x v="3"/>
    <s v="Bad"/>
    <x v="1"/>
    <x v="0"/>
    <x v="1"/>
    <x v="1"/>
    <x v="1"/>
  </r>
  <r>
    <x v="0"/>
    <s v="No"/>
    <x v="2"/>
    <n v="1"/>
    <s v="Male"/>
    <x v="2"/>
    <x v="8"/>
    <x v="3"/>
    <n v="4071"/>
    <n v="13"/>
    <x v="1"/>
    <n v="0"/>
    <n v="19"/>
    <n v="4"/>
    <n v="2"/>
    <x v="9"/>
    <n v="0"/>
    <x v="4"/>
    <s v="Bad"/>
    <x v="1"/>
    <x v="0"/>
    <x v="0"/>
    <x v="0"/>
    <x v="1"/>
  </r>
  <r>
    <x v="0"/>
    <s v="No"/>
    <x v="1"/>
    <n v="1"/>
    <s v="Female"/>
    <x v="2"/>
    <x v="4"/>
    <x v="0"/>
    <n v="6142"/>
    <n v="11"/>
    <x v="1"/>
    <n v="0"/>
    <n v="10"/>
    <n v="2"/>
    <n v="3"/>
    <x v="4"/>
    <n v="1"/>
    <x v="4"/>
    <s v="Good"/>
    <x v="1"/>
    <x v="0"/>
    <x v="0"/>
    <x v="0"/>
    <x v="1"/>
  </r>
  <r>
    <x v="0"/>
    <s v="No"/>
    <x v="1"/>
    <n v="1"/>
    <s v="Male"/>
    <x v="1"/>
    <x v="1"/>
    <x v="0"/>
    <n v="2911"/>
    <n v="17"/>
    <x v="1"/>
    <n v="1"/>
    <n v="5"/>
    <n v="1"/>
    <n v="2"/>
    <x v="4"/>
    <n v="2"/>
    <x v="4"/>
    <s v="Bad"/>
    <x v="1"/>
    <x v="0"/>
    <x v="0"/>
    <x v="0"/>
    <x v="1"/>
  </r>
  <r>
    <x v="0"/>
    <s v="No"/>
    <x v="1"/>
    <n v="1"/>
    <s v="Female"/>
    <x v="3"/>
    <x v="0"/>
    <x v="1"/>
    <n v="19943"/>
    <n v="13"/>
    <x v="1"/>
    <n v="1"/>
    <n v="28"/>
    <n v="2"/>
    <n v="3"/>
    <x v="4"/>
    <n v="2"/>
    <x v="4"/>
    <s v="Good"/>
    <x v="1"/>
    <x v="0"/>
    <x v="0"/>
    <x v="0"/>
    <x v="1"/>
  </r>
  <r>
    <x v="0"/>
    <s v="No"/>
    <x v="0"/>
    <n v="1"/>
    <s v="Female"/>
    <x v="2"/>
    <x v="5"/>
    <x v="2"/>
    <n v="5769"/>
    <n v="11"/>
    <x v="1"/>
    <n v="0"/>
    <n v="6"/>
    <n v="3"/>
    <n v="3"/>
    <x v="5"/>
    <n v="2"/>
    <x v="4"/>
    <s v="Good"/>
    <x v="1"/>
    <x v="0"/>
    <x v="0"/>
    <x v="0"/>
    <x v="1"/>
  </r>
  <r>
    <x v="0"/>
    <s v="No"/>
    <x v="1"/>
    <n v="1"/>
    <s v="Female"/>
    <x v="1"/>
    <x v="2"/>
    <x v="3"/>
    <n v="2837"/>
    <n v="13"/>
    <x v="1"/>
    <n v="0"/>
    <n v="6"/>
    <n v="3"/>
    <n v="3"/>
    <x v="5"/>
    <n v="2"/>
    <x v="4"/>
    <s v="Good"/>
    <x v="1"/>
    <x v="0"/>
    <x v="0"/>
    <x v="0"/>
    <x v="1"/>
  </r>
  <r>
    <x v="0"/>
    <s v="No"/>
    <x v="0"/>
    <n v="1"/>
    <s v="Female"/>
    <x v="0"/>
    <x v="5"/>
    <x v="2"/>
    <n v="10377"/>
    <n v="11"/>
    <x v="1"/>
    <n v="1"/>
    <n v="16"/>
    <n v="6"/>
    <n v="2"/>
    <x v="17"/>
    <n v="2"/>
    <x v="4"/>
    <s v="Bad"/>
    <x v="1"/>
    <x v="0"/>
    <x v="0"/>
    <x v="0"/>
    <x v="1"/>
  </r>
  <r>
    <x v="0"/>
    <s v="No"/>
    <x v="1"/>
    <n v="1"/>
    <s v="Female"/>
    <x v="1"/>
    <x v="1"/>
    <x v="1"/>
    <n v="2782"/>
    <n v="13"/>
    <x v="1"/>
    <n v="2"/>
    <n v="6"/>
    <n v="3"/>
    <n v="2"/>
    <x v="4"/>
    <n v="3"/>
    <x v="4"/>
    <s v="Bad"/>
    <x v="1"/>
    <x v="0"/>
    <x v="0"/>
    <x v="0"/>
    <x v="1"/>
  </r>
  <r>
    <x v="0"/>
    <s v="No"/>
    <x v="2"/>
    <n v="1"/>
    <s v="Female"/>
    <x v="4"/>
    <x v="0"/>
    <x v="2"/>
    <n v="17328"/>
    <n v="12"/>
    <x v="1"/>
    <n v="0"/>
    <n v="23"/>
    <n v="3"/>
    <n v="3"/>
    <x v="4"/>
    <n v="3"/>
    <x v="4"/>
    <s v="Good"/>
    <x v="1"/>
    <x v="0"/>
    <x v="0"/>
    <x v="0"/>
    <x v="1"/>
  </r>
  <r>
    <x v="0"/>
    <s v="No"/>
    <x v="1"/>
    <n v="1"/>
    <s v="Female"/>
    <x v="4"/>
    <x v="6"/>
    <x v="2"/>
    <n v="13726"/>
    <n v="13"/>
    <x v="1"/>
    <n v="0"/>
    <n v="30"/>
    <n v="4"/>
    <n v="3"/>
    <x v="4"/>
    <n v="3"/>
    <x v="4"/>
    <s v="Good"/>
    <x v="1"/>
    <x v="0"/>
    <x v="0"/>
    <x v="0"/>
    <x v="1"/>
  </r>
  <r>
    <x v="0"/>
    <s v="No"/>
    <x v="0"/>
    <n v="1"/>
    <s v="Female"/>
    <x v="1"/>
    <x v="3"/>
    <x v="0"/>
    <n v="2430"/>
    <n v="23"/>
    <x v="0"/>
    <n v="2"/>
    <n v="6"/>
    <n v="5"/>
    <n v="3"/>
    <x v="4"/>
    <n v="3"/>
    <x v="4"/>
    <s v="Good"/>
    <x v="1"/>
    <x v="0"/>
    <x v="0"/>
    <x v="0"/>
    <x v="0"/>
  </r>
  <r>
    <x v="0"/>
    <s v="No"/>
    <x v="1"/>
    <n v="1"/>
    <s v="Female"/>
    <x v="1"/>
    <x v="1"/>
    <x v="3"/>
    <n v="2368"/>
    <n v="19"/>
    <x v="1"/>
    <n v="0"/>
    <n v="5"/>
    <n v="3"/>
    <n v="2"/>
    <x v="4"/>
    <n v="4"/>
    <x v="4"/>
    <s v="Bad"/>
    <x v="1"/>
    <x v="0"/>
    <x v="0"/>
    <x v="0"/>
    <x v="1"/>
  </r>
  <r>
    <x v="0"/>
    <s v="No"/>
    <x v="1"/>
    <n v="1"/>
    <s v="Male"/>
    <x v="1"/>
    <x v="2"/>
    <x v="0"/>
    <n v="4230"/>
    <n v="15"/>
    <x v="1"/>
    <n v="0"/>
    <n v="6"/>
    <n v="2"/>
    <n v="3"/>
    <x v="4"/>
    <n v="4"/>
    <x v="4"/>
    <s v="Good"/>
    <x v="1"/>
    <x v="0"/>
    <x v="0"/>
    <x v="0"/>
    <x v="1"/>
  </r>
  <r>
    <x v="0"/>
    <s v="Yes"/>
    <x v="1"/>
    <n v="1"/>
    <s v="Female"/>
    <x v="1"/>
    <x v="1"/>
    <x v="3"/>
    <n v="4963"/>
    <n v="18"/>
    <x v="1"/>
    <n v="3"/>
    <n v="7"/>
    <n v="2"/>
    <n v="3"/>
    <x v="4"/>
    <n v="4"/>
    <x v="4"/>
    <s v="Good"/>
    <x v="1"/>
    <x v="0"/>
    <x v="0"/>
    <x v="0"/>
    <x v="1"/>
  </r>
  <r>
    <x v="0"/>
    <s v="No"/>
    <x v="1"/>
    <n v="1"/>
    <s v="Male"/>
    <x v="3"/>
    <x v="7"/>
    <x v="2"/>
    <n v="19161"/>
    <n v="15"/>
    <x v="1"/>
    <n v="0"/>
    <n v="28"/>
    <n v="3"/>
    <n v="3"/>
    <x v="4"/>
    <n v="4"/>
    <x v="4"/>
    <s v="Good"/>
    <x v="1"/>
    <x v="0"/>
    <x v="0"/>
    <x v="0"/>
    <x v="1"/>
  </r>
  <r>
    <x v="0"/>
    <s v="No"/>
    <x v="1"/>
    <n v="1"/>
    <s v="Female"/>
    <x v="3"/>
    <x v="0"/>
    <x v="3"/>
    <n v="19926"/>
    <n v="15"/>
    <x v="1"/>
    <n v="0"/>
    <n v="21"/>
    <n v="5"/>
    <n v="3"/>
    <x v="4"/>
    <n v="4"/>
    <x v="4"/>
    <s v="Good"/>
    <x v="1"/>
    <x v="0"/>
    <x v="0"/>
    <x v="0"/>
    <x v="1"/>
  </r>
  <r>
    <x v="0"/>
    <s v="No"/>
    <x v="0"/>
    <n v="1"/>
    <s v="Female"/>
    <x v="2"/>
    <x v="5"/>
    <x v="0"/>
    <n v="6577"/>
    <n v="11"/>
    <x v="1"/>
    <n v="0"/>
    <n v="6"/>
    <n v="6"/>
    <n v="3"/>
    <x v="4"/>
    <n v="4"/>
    <x v="4"/>
    <s v="Good"/>
    <x v="1"/>
    <x v="0"/>
    <x v="0"/>
    <x v="0"/>
    <x v="1"/>
  </r>
  <r>
    <x v="0"/>
    <s v="No"/>
    <x v="0"/>
    <n v="1"/>
    <s v="Female"/>
    <x v="4"/>
    <x v="5"/>
    <x v="3"/>
    <n v="13525"/>
    <n v="14"/>
    <x v="1"/>
    <n v="1"/>
    <n v="23"/>
    <n v="2"/>
    <n v="4"/>
    <x v="16"/>
    <n v="4"/>
    <x v="4"/>
    <s v="Good"/>
    <x v="1"/>
    <x v="0"/>
    <x v="0"/>
    <x v="0"/>
    <x v="1"/>
  </r>
  <r>
    <x v="0"/>
    <s v="No"/>
    <x v="1"/>
    <n v="1"/>
    <s v="Female"/>
    <x v="2"/>
    <x v="6"/>
    <x v="3"/>
    <n v="6447"/>
    <n v="12"/>
    <x v="1"/>
    <n v="1"/>
    <n v="8"/>
    <n v="2"/>
    <n v="2"/>
    <x v="5"/>
    <n v="5"/>
    <x v="4"/>
    <s v="Bad"/>
    <x v="1"/>
    <x v="0"/>
    <x v="1"/>
    <x v="1"/>
    <x v="1"/>
  </r>
  <r>
    <x v="0"/>
    <s v="No"/>
    <x v="1"/>
    <n v="1"/>
    <s v="Male"/>
    <x v="0"/>
    <x v="4"/>
    <x v="3"/>
    <n v="10445"/>
    <n v="19"/>
    <x v="1"/>
    <n v="0"/>
    <n v="18"/>
    <n v="4"/>
    <n v="3"/>
    <x v="7"/>
    <n v="6"/>
    <x v="4"/>
    <s v="Good"/>
    <x v="1"/>
    <x v="0"/>
    <x v="1"/>
    <x v="1"/>
    <x v="1"/>
  </r>
  <r>
    <x v="0"/>
    <s v="No"/>
    <x v="0"/>
    <n v="1"/>
    <s v="Female"/>
    <x v="4"/>
    <x v="0"/>
    <x v="0"/>
    <n v="16307"/>
    <n v="14"/>
    <x v="1"/>
    <n v="1"/>
    <n v="29"/>
    <n v="2"/>
    <n v="2"/>
    <x v="16"/>
    <n v="6"/>
    <x v="4"/>
    <s v="Bad"/>
    <x v="1"/>
    <x v="0"/>
    <x v="1"/>
    <x v="1"/>
    <x v="1"/>
  </r>
  <r>
    <x v="0"/>
    <s v="No"/>
    <x v="1"/>
    <n v="1"/>
    <s v="Male"/>
    <x v="3"/>
    <x v="0"/>
    <x v="0"/>
    <n v="18880"/>
    <n v="11"/>
    <x v="1"/>
    <n v="0"/>
    <n v="24"/>
    <n v="2"/>
    <n v="2"/>
    <x v="21"/>
    <n v="6"/>
    <x v="4"/>
    <s v="Bad"/>
    <x v="1"/>
    <x v="0"/>
    <x v="1"/>
    <x v="1"/>
    <x v="1"/>
  </r>
  <r>
    <x v="0"/>
    <s v="No"/>
    <x v="0"/>
    <n v="1"/>
    <s v="Male"/>
    <x v="2"/>
    <x v="3"/>
    <x v="0"/>
    <n v="2306"/>
    <n v="20"/>
    <x v="0"/>
    <n v="1"/>
    <n v="13"/>
    <n v="3"/>
    <n v="1"/>
    <x v="6"/>
    <n v="7"/>
    <x v="4"/>
    <s v="Bad"/>
    <x v="1"/>
    <x v="0"/>
    <x v="1"/>
    <x v="1"/>
    <x v="0"/>
  </r>
  <r>
    <x v="0"/>
    <s v="No"/>
    <x v="1"/>
    <n v="1"/>
    <s v="Female"/>
    <x v="3"/>
    <x v="0"/>
    <x v="0"/>
    <n v="18606"/>
    <n v="18"/>
    <x v="1"/>
    <n v="1"/>
    <n v="26"/>
    <n v="6"/>
    <n v="3"/>
    <x v="6"/>
    <n v="7"/>
    <x v="4"/>
    <s v="Good"/>
    <x v="1"/>
    <x v="0"/>
    <x v="1"/>
    <x v="1"/>
    <x v="1"/>
  </r>
  <r>
    <x v="0"/>
    <s v="Yes"/>
    <x v="0"/>
    <n v="1"/>
    <s v="Male"/>
    <x v="0"/>
    <x v="5"/>
    <x v="2"/>
    <n v="10096"/>
    <n v="11"/>
    <x v="1"/>
    <n v="1"/>
    <n v="28"/>
    <n v="1"/>
    <n v="4"/>
    <x v="6"/>
    <n v="7"/>
    <x v="4"/>
    <s v="Good"/>
    <x v="1"/>
    <x v="0"/>
    <x v="1"/>
    <x v="1"/>
    <x v="1"/>
  </r>
  <r>
    <x v="0"/>
    <s v="Yes"/>
    <x v="0"/>
    <n v="1"/>
    <s v="Male"/>
    <x v="0"/>
    <x v="5"/>
    <x v="1"/>
    <n v="9582"/>
    <n v="22"/>
    <x v="0"/>
    <n v="0"/>
    <n v="9"/>
    <n v="2"/>
    <n v="3"/>
    <x v="7"/>
    <n v="7"/>
    <x v="4"/>
    <s v="Good"/>
    <x v="1"/>
    <x v="0"/>
    <x v="1"/>
    <x v="1"/>
    <x v="0"/>
  </r>
  <r>
    <x v="0"/>
    <s v="No"/>
    <x v="1"/>
    <n v="1"/>
    <s v="Male"/>
    <x v="2"/>
    <x v="2"/>
    <x v="0"/>
    <n v="5679"/>
    <n v="13"/>
    <x v="1"/>
    <n v="1"/>
    <n v="10"/>
    <n v="3"/>
    <n v="3"/>
    <x v="7"/>
    <n v="7"/>
    <x v="4"/>
    <s v="Good"/>
    <x v="1"/>
    <x v="0"/>
    <x v="1"/>
    <x v="1"/>
    <x v="1"/>
  </r>
  <r>
    <x v="0"/>
    <s v="No"/>
    <x v="0"/>
    <n v="1"/>
    <s v="Male"/>
    <x v="2"/>
    <x v="5"/>
    <x v="3"/>
    <n v="6825"/>
    <n v="11"/>
    <x v="1"/>
    <n v="1"/>
    <n v="10"/>
    <n v="2"/>
    <n v="3"/>
    <x v="8"/>
    <n v="7"/>
    <x v="4"/>
    <s v="Good"/>
    <x v="1"/>
    <x v="0"/>
    <x v="1"/>
    <x v="1"/>
    <x v="1"/>
  </r>
  <r>
    <x v="0"/>
    <s v="No"/>
    <x v="0"/>
    <n v="1"/>
    <s v="Male"/>
    <x v="2"/>
    <x v="5"/>
    <x v="1"/>
    <n v="4385"/>
    <n v="15"/>
    <x v="1"/>
    <n v="1"/>
    <n v="10"/>
    <n v="2"/>
    <n v="3"/>
    <x v="9"/>
    <n v="7"/>
    <x v="4"/>
    <s v="Good"/>
    <x v="1"/>
    <x v="0"/>
    <x v="1"/>
    <x v="1"/>
    <x v="1"/>
  </r>
  <r>
    <x v="0"/>
    <s v="No"/>
    <x v="1"/>
    <n v="1"/>
    <s v="Female"/>
    <x v="0"/>
    <x v="7"/>
    <x v="0"/>
    <n v="11031"/>
    <n v="20"/>
    <x v="0"/>
    <n v="1"/>
    <n v="13"/>
    <n v="2"/>
    <n v="4"/>
    <x v="13"/>
    <n v="7"/>
    <x v="4"/>
    <s v="Good"/>
    <x v="1"/>
    <x v="0"/>
    <x v="1"/>
    <x v="1"/>
    <x v="0"/>
  </r>
  <r>
    <x v="0"/>
    <s v="No"/>
    <x v="1"/>
    <n v="1"/>
    <s v="Female"/>
    <x v="2"/>
    <x v="6"/>
    <x v="1"/>
    <n v="5980"/>
    <n v="12"/>
    <x v="1"/>
    <n v="0"/>
    <n v="17"/>
    <n v="2"/>
    <n v="3"/>
    <x v="12"/>
    <n v="7"/>
    <x v="4"/>
    <s v="Good"/>
    <x v="1"/>
    <x v="0"/>
    <x v="1"/>
    <x v="1"/>
    <x v="1"/>
  </r>
  <r>
    <x v="0"/>
    <s v="No"/>
    <x v="1"/>
    <n v="1"/>
    <s v="Male"/>
    <x v="4"/>
    <x v="4"/>
    <x v="2"/>
    <n v="13496"/>
    <n v="14"/>
    <x v="1"/>
    <n v="0"/>
    <n v="21"/>
    <n v="2"/>
    <n v="3"/>
    <x v="16"/>
    <n v="7"/>
    <x v="4"/>
    <s v="Good"/>
    <x v="1"/>
    <x v="0"/>
    <x v="1"/>
    <x v="1"/>
    <x v="1"/>
  </r>
  <r>
    <x v="0"/>
    <s v="No"/>
    <x v="1"/>
    <n v="1"/>
    <s v="Male"/>
    <x v="3"/>
    <x v="7"/>
    <x v="0"/>
    <n v="19626"/>
    <n v="14"/>
    <x v="1"/>
    <n v="0"/>
    <n v="21"/>
    <n v="2"/>
    <n v="4"/>
    <x v="16"/>
    <n v="7"/>
    <x v="4"/>
    <s v="Good"/>
    <x v="1"/>
    <x v="0"/>
    <x v="1"/>
    <x v="1"/>
    <x v="1"/>
  </r>
  <r>
    <x v="0"/>
    <s v="No"/>
    <x v="1"/>
    <n v="1"/>
    <s v="Male"/>
    <x v="0"/>
    <x v="6"/>
    <x v="2"/>
    <n v="8578"/>
    <n v="14"/>
    <x v="1"/>
    <n v="1"/>
    <n v="12"/>
    <n v="4"/>
    <n v="2"/>
    <x v="8"/>
    <n v="8"/>
    <x v="4"/>
    <s v="Bad"/>
    <x v="1"/>
    <x v="0"/>
    <x v="1"/>
    <x v="1"/>
    <x v="1"/>
  </r>
  <r>
    <x v="0"/>
    <s v="Yes"/>
    <x v="0"/>
    <n v="1"/>
    <s v="Male"/>
    <x v="0"/>
    <x v="5"/>
    <x v="2"/>
    <n v="9619"/>
    <n v="16"/>
    <x v="1"/>
    <n v="0"/>
    <n v="9"/>
    <n v="3"/>
    <n v="3"/>
    <x v="8"/>
    <n v="8"/>
    <x v="4"/>
    <s v="Good"/>
    <x v="1"/>
    <x v="0"/>
    <x v="1"/>
    <x v="1"/>
    <x v="1"/>
  </r>
  <r>
    <x v="0"/>
    <s v="No"/>
    <x v="1"/>
    <n v="1"/>
    <s v="Male"/>
    <x v="2"/>
    <x v="1"/>
    <x v="2"/>
    <n v="3319"/>
    <n v="17"/>
    <x v="1"/>
    <n v="2"/>
    <n v="9"/>
    <n v="3"/>
    <n v="3"/>
    <x v="8"/>
    <n v="8"/>
    <x v="4"/>
    <s v="Good"/>
    <x v="1"/>
    <x v="0"/>
    <x v="1"/>
    <x v="1"/>
    <x v="1"/>
  </r>
  <r>
    <x v="0"/>
    <s v="No"/>
    <x v="1"/>
    <n v="1"/>
    <s v="Male"/>
    <x v="0"/>
    <x v="7"/>
    <x v="3"/>
    <n v="13757"/>
    <n v="11"/>
    <x v="1"/>
    <n v="1"/>
    <n v="16"/>
    <n v="5"/>
    <n v="3"/>
    <x v="8"/>
    <n v="8"/>
    <x v="4"/>
    <s v="Good"/>
    <x v="1"/>
    <x v="0"/>
    <x v="1"/>
    <x v="1"/>
    <x v="1"/>
  </r>
  <r>
    <x v="0"/>
    <s v="Yes"/>
    <x v="1"/>
    <n v="1"/>
    <s v="Female"/>
    <x v="0"/>
    <x v="6"/>
    <x v="3"/>
    <n v="7446"/>
    <n v="11"/>
    <x v="1"/>
    <n v="0"/>
    <n v="10"/>
    <n v="2"/>
    <n v="3"/>
    <x v="9"/>
    <n v="8"/>
    <x v="4"/>
    <s v="Good"/>
    <x v="1"/>
    <x v="0"/>
    <x v="1"/>
    <x v="1"/>
    <x v="1"/>
  </r>
  <r>
    <x v="0"/>
    <s v="No"/>
    <x v="1"/>
    <n v="1"/>
    <s v="Male"/>
    <x v="2"/>
    <x v="2"/>
    <x v="2"/>
    <n v="5309"/>
    <n v="15"/>
    <x v="1"/>
    <n v="2"/>
    <n v="10"/>
    <n v="2"/>
    <n v="3"/>
    <x v="9"/>
    <n v="8"/>
    <x v="4"/>
    <s v="Good"/>
    <x v="1"/>
    <x v="0"/>
    <x v="1"/>
    <x v="1"/>
    <x v="1"/>
  </r>
  <r>
    <x v="0"/>
    <s v="No"/>
    <x v="0"/>
    <n v="1"/>
    <s v="Male"/>
    <x v="2"/>
    <x v="5"/>
    <x v="0"/>
    <n v="6799"/>
    <n v="21"/>
    <x v="0"/>
    <n v="2"/>
    <n v="10"/>
    <n v="5"/>
    <n v="3"/>
    <x v="9"/>
    <n v="8"/>
    <x v="4"/>
    <s v="Good"/>
    <x v="1"/>
    <x v="0"/>
    <x v="1"/>
    <x v="1"/>
    <x v="0"/>
  </r>
  <r>
    <x v="0"/>
    <s v="No"/>
    <x v="1"/>
    <n v="1"/>
    <s v="Female"/>
    <x v="4"/>
    <x v="0"/>
    <x v="0"/>
    <n v="17426"/>
    <n v="25"/>
    <x v="0"/>
    <n v="1"/>
    <n v="36"/>
    <n v="6"/>
    <n v="3"/>
    <x v="9"/>
    <n v="8"/>
    <x v="4"/>
    <s v="Good"/>
    <x v="1"/>
    <x v="0"/>
    <x v="1"/>
    <x v="1"/>
    <x v="0"/>
  </r>
  <r>
    <x v="0"/>
    <s v="No"/>
    <x v="0"/>
    <n v="1"/>
    <s v="Male"/>
    <x v="2"/>
    <x v="5"/>
    <x v="0"/>
    <n v="5484"/>
    <n v="14"/>
    <x v="1"/>
    <n v="1"/>
    <n v="13"/>
    <n v="3"/>
    <n v="2"/>
    <x v="17"/>
    <n v="8"/>
    <x v="4"/>
    <s v="Bad"/>
    <x v="1"/>
    <x v="0"/>
    <x v="1"/>
    <x v="1"/>
    <x v="1"/>
  </r>
  <r>
    <x v="0"/>
    <s v="No"/>
    <x v="1"/>
    <n v="1"/>
    <s v="Male"/>
    <x v="2"/>
    <x v="4"/>
    <x v="2"/>
    <n v="6586"/>
    <n v="17"/>
    <x v="1"/>
    <n v="1"/>
    <n v="17"/>
    <n v="2"/>
    <n v="2"/>
    <x v="14"/>
    <n v="8"/>
    <x v="4"/>
    <s v="Bad"/>
    <x v="1"/>
    <x v="0"/>
    <x v="1"/>
    <x v="1"/>
    <x v="1"/>
  </r>
  <r>
    <x v="0"/>
    <s v="No"/>
    <x v="1"/>
    <n v="1"/>
    <s v="Male"/>
    <x v="0"/>
    <x v="7"/>
    <x v="3"/>
    <n v="12490"/>
    <n v="16"/>
    <x v="1"/>
    <n v="2"/>
    <n v="16"/>
    <n v="5"/>
    <n v="1"/>
    <x v="9"/>
    <n v="9"/>
    <x v="4"/>
    <s v="Bad"/>
    <x v="1"/>
    <x v="0"/>
    <x v="1"/>
    <x v="1"/>
    <x v="1"/>
  </r>
  <r>
    <x v="0"/>
    <s v="No"/>
    <x v="2"/>
    <n v="1"/>
    <s v="Male"/>
    <x v="2"/>
    <x v="8"/>
    <x v="2"/>
    <n v="6347"/>
    <n v="19"/>
    <x v="1"/>
    <n v="0"/>
    <n v="12"/>
    <n v="2"/>
    <n v="1"/>
    <x v="13"/>
    <n v="9"/>
    <x v="4"/>
    <s v="Bad"/>
    <x v="1"/>
    <x v="0"/>
    <x v="1"/>
    <x v="1"/>
    <x v="1"/>
  </r>
  <r>
    <x v="0"/>
    <s v="No"/>
    <x v="1"/>
    <n v="1"/>
    <s v="Female"/>
    <x v="0"/>
    <x v="6"/>
    <x v="2"/>
    <n v="7143"/>
    <n v="14"/>
    <x v="1"/>
    <n v="0"/>
    <n v="11"/>
    <n v="2"/>
    <n v="2"/>
    <x v="13"/>
    <n v="9"/>
    <x v="4"/>
    <s v="Bad"/>
    <x v="1"/>
    <x v="0"/>
    <x v="1"/>
    <x v="1"/>
    <x v="1"/>
  </r>
  <r>
    <x v="0"/>
    <s v="No"/>
    <x v="0"/>
    <n v="1"/>
    <s v="Male"/>
    <x v="4"/>
    <x v="0"/>
    <x v="0"/>
    <n v="17465"/>
    <n v="12"/>
    <x v="1"/>
    <n v="1"/>
    <n v="23"/>
    <n v="3"/>
    <n v="3"/>
    <x v="25"/>
    <n v="9"/>
    <x v="4"/>
    <s v="Good"/>
    <x v="1"/>
    <x v="0"/>
    <x v="1"/>
    <x v="1"/>
    <x v="1"/>
  </r>
  <r>
    <x v="0"/>
    <s v="No"/>
    <x v="1"/>
    <n v="1"/>
    <s v="Male"/>
    <x v="2"/>
    <x v="4"/>
    <x v="1"/>
    <n v="5343"/>
    <n v="20"/>
    <x v="0"/>
    <n v="0"/>
    <n v="14"/>
    <n v="3"/>
    <n v="3"/>
    <x v="17"/>
    <n v="9"/>
    <x v="4"/>
    <s v="Good"/>
    <x v="1"/>
    <x v="0"/>
    <x v="1"/>
    <x v="1"/>
    <x v="0"/>
  </r>
  <r>
    <x v="0"/>
    <s v="No"/>
    <x v="0"/>
    <n v="1"/>
    <s v="Female"/>
    <x v="0"/>
    <x v="5"/>
    <x v="2"/>
    <n v="7918"/>
    <n v="14"/>
    <x v="1"/>
    <n v="1"/>
    <n v="11"/>
    <n v="5"/>
    <n v="3"/>
    <x v="13"/>
    <n v="10"/>
    <x v="4"/>
    <s v="Good"/>
    <x v="1"/>
    <x v="0"/>
    <x v="1"/>
    <x v="1"/>
    <x v="1"/>
  </r>
  <r>
    <x v="0"/>
    <s v="No"/>
    <x v="1"/>
    <n v="1"/>
    <s v="Male"/>
    <x v="0"/>
    <x v="6"/>
    <x v="3"/>
    <n v="10903"/>
    <n v="16"/>
    <x v="1"/>
    <n v="0"/>
    <n v="16"/>
    <n v="2"/>
    <n v="3"/>
    <x v="17"/>
    <n v="10"/>
    <x v="4"/>
    <s v="Good"/>
    <x v="1"/>
    <x v="0"/>
    <x v="1"/>
    <x v="1"/>
    <x v="1"/>
  </r>
  <r>
    <x v="0"/>
    <s v="No"/>
    <x v="1"/>
    <n v="1"/>
    <s v="Male"/>
    <x v="1"/>
    <x v="1"/>
    <x v="2"/>
    <n v="2781"/>
    <n v="13"/>
    <x v="1"/>
    <n v="1"/>
    <n v="15"/>
    <n v="5"/>
    <n v="3"/>
    <x v="23"/>
    <n v="10"/>
    <x v="4"/>
    <s v="Good"/>
    <x v="1"/>
    <x v="0"/>
    <x v="1"/>
    <x v="1"/>
    <x v="1"/>
  </r>
  <r>
    <x v="0"/>
    <s v="No"/>
    <x v="0"/>
    <n v="1"/>
    <s v="Female"/>
    <x v="2"/>
    <x v="5"/>
    <x v="0"/>
    <n v="5593"/>
    <n v="13"/>
    <x v="1"/>
    <n v="1"/>
    <n v="15"/>
    <n v="2"/>
    <n v="3"/>
    <x v="12"/>
    <n v="10"/>
    <x v="4"/>
    <s v="Good"/>
    <x v="1"/>
    <x v="0"/>
    <x v="1"/>
    <x v="1"/>
    <x v="1"/>
  </r>
  <r>
    <x v="0"/>
    <s v="No"/>
    <x v="1"/>
    <n v="1"/>
    <s v="Male"/>
    <x v="2"/>
    <x v="2"/>
    <x v="2"/>
    <n v="3986"/>
    <n v="14"/>
    <x v="1"/>
    <n v="1"/>
    <n v="15"/>
    <n v="3"/>
    <n v="4"/>
    <x v="12"/>
    <n v="10"/>
    <x v="4"/>
    <s v="Good"/>
    <x v="1"/>
    <x v="0"/>
    <x v="1"/>
    <x v="1"/>
    <x v="1"/>
  </r>
  <r>
    <x v="0"/>
    <s v="No"/>
    <x v="1"/>
    <n v="1"/>
    <s v="Male"/>
    <x v="3"/>
    <x v="0"/>
    <x v="1"/>
    <n v="19045"/>
    <n v="14"/>
    <x v="1"/>
    <n v="0"/>
    <n v="37"/>
    <n v="2"/>
    <n v="3"/>
    <x v="29"/>
    <n v="10"/>
    <x v="4"/>
    <s v="Good"/>
    <x v="1"/>
    <x v="0"/>
    <x v="1"/>
    <x v="1"/>
    <x v="1"/>
  </r>
  <r>
    <x v="0"/>
    <s v="No"/>
    <x v="1"/>
    <n v="1"/>
    <s v="Male"/>
    <x v="2"/>
    <x v="4"/>
    <x v="2"/>
    <n v="7725"/>
    <n v="23"/>
    <x v="0"/>
    <n v="1"/>
    <n v="15"/>
    <n v="2"/>
    <n v="1"/>
    <x v="17"/>
    <n v="11"/>
    <x v="4"/>
    <s v="Bad"/>
    <x v="1"/>
    <x v="0"/>
    <x v="1"/>
    <x v="1"/>
    <x v="0"/>
  </r>
  <r>
    <x v="0"/>
    <s v="No"/>
    <x v="1"/>
    <n v="1"/>
    <s v="Female"/>
    <x v="2"/>
    <x v="4"/>
    <x v="2"/>
    <n v="6687"/>
    <n v="11"/>
    <x v="1"/>
    <n v="0"/>
    <n v="14"/>
    <n v="2"/>
    <n v="4"/>
    <x v="23"/>
    <n v="11"/>
    <x v="4"/>
    <s v="Good"/>
    <x v="1"/>
    <x v="0"/>
    <x v="1"/>
    <x v="1"/>
    <x v="1"/>
  </r>
  <r>
    <x v="0"/>
    <s v="No"/>
    <x v="1"/>
    <n v="1"/>
    <s v="Male"/>
    <x v="0"/>
    <x v="4"/>
    <x v="0"/>
    <n v="10999"/>
    <n v="14"/>
    <x v="1"/>
    <n v="0"/>
    <n v="27"/>
    <n v="3"/>
    <n v="3"/>
    <x v="12"/>
    <n v="11"/>
    <x v="4"/>
    <s v="Good"/>
    <x v="1"/>
    <x v="0"/>
    <x v="1"/>
    <x v="1"/>
    <x v="1"/>
  </r>
  <r>
    <x v="0"/>
    <s v="No"/>
    <x v="0"/>
    <n v="1"/>
    <s v="Male"/>
    <x v="4"/>
    <x v="0"/>
    <x v="2"/>
    <n v="16959"/>
    <n v="12"/>
    <x v="1"/>
    <n v="2"/>
    <n v="25"/>
    <n v="3"/>
    <n v="4"/>
    <x v="30"/>
    <n v="12"/>
    <x v="4"/>
    <s v="Good"/>
    <x v="1"/>
    <x v="0"/>
    <x v="1"/>
    <x v="1"/>
    <x v="1"/>
  </r>
  <r>
    <x v="0"/>
    <s v="No"/>
    <x v="1"/>
    <n v="1"/>
    <s v="Female"/>
    <x v="3"/>
    <x v="0"/>
    <x v="0"/>
    <n v="19094"/>
    <n v="11"/>
    <x v="1"/>
    <n v="1"/>
    <n v="26"/>
    <n v="3"/>
    <n v="2"/>
    <x v="23"/>
    <n v="13"/>
    <x v="4"/>
    <s v="Bad"/>
    <x v="1"/>
    <x v="0"/>
    <x v="1"/>
    <x v="1"/>
    <x v="1"/>
  </r>
  <r>
    <x v="0"/>
    <s v="No"/>
    <x v="0"/>
    <n v="1"/>
    <s v="Male"/>
    <x v="2"/>
    <x v="5"/>
    <x v="2"/>
    <n v="6201"/>
    <n v="14"/>
    <x v="1"/>
    <n v="1"/>
    <n v="18"/>
    <n v="1"/>
    <n v="2"/>
    <x v="15"/>
    <n v="14"/>
    <x v="4"/>
    <s v="Bad"/>
    <x v="1"/>
    <x v="0"/>
    <x v="1"/>
    <x v="1"/>
    <x v="1"/>
  </r>
  <r>
    <x v="0"/>
    <s v="No"/>
    <x v="1"/>
    <n v="1"/>
    <s v="Female"/>
    <x v="4"/>
    <x v="0"/>
    <x v="2"/>
    <n v="17174"/>
    <n v="11"/>
    <x v="1"/>
    <n v="1"/>
    <n v="24"/>
    <n v="3"/>
    <n v="3"/>
    <x v="21"/>
    <n v="17"/>
    <x v="4"/>
    <s v="Good"/>
    <x v="1"/>
    <x v="0"/>
    <x v="1"/>
    <x v="1"/>
    <x v="1"/>
  </r>
  <r>
    <x v="0"/>
    <s v="No"/>
    <x v="1"/>
    <n v="1"/>
    <s v="Male"/>
    <x v="1"/>
    <x v="1"/>
    <x v="0"/>
    <n v="2768"/>
    <n v="12"/>
    <x v="1"/>
    <n v="1"/>
    <n v="14"/>
    <n v="3"/>
    <n v="3"/>
    <x v="6"/>
    <n v="3"/>
    <x v="5"/>
    <s v="Good"/>
    <x v="1"/>
    <x v="1"/>
    <x v="0"/>
    <x v="0"/>
    <x v="1"/>
  </r>
  <r>
    <x v="0"/>
    <s v="No"/>
    <x v="2"/>
    <n v="1"/>
    <s v="Male"/>
    <x v="1"/>
    <x v="8"/>
    <x v="0"/>
    <n v="2844"/>
    <n v="13"/>
    <x v="1"/>
    <n v="1"/>
    <n v="7"/>
    <n v="2"/>
    <n v="4"/>
    <x v="6"/>
    <n v="6"/>
    <x v="5"/>
    <s v="Good"/>
    <x v="1"/>
    <x v="1"/>
    <x v="1"/>
    <x v="1"/>
    <x v="1"/>
  </r>
  <r>
    <x v="0"/>
    <s v="No"/>
    <x v="2"/>
    <n v="1"/>
    <s v="Female"/>
    <x v="1"/>
    <x v="8"/>
    <x v="1"/>
    <n v="3423"/>
    <n v="12"/>
    <x v="1"/>
    <n v="0"/>
    <n v="10"/>
    <n v="3"/>
    <n v="4"/>
    <x v="6"/>
    <n v="6"/>
    <x v="5"/>
    <s v="Good"/>
    <x v="1"/>
    <x v="1"/>
    <x v="1"/>
    <x v="1"/>
    <x v="1"/>
  </r>
  <r>
    <x v="0"/>
    <s v="No"/>
    <x v="1"/>
    <n v="1"/>
    <s v="Female"/>
    <x v="4"/>
    <x v="6"/>
    <x v="0"/>
    <n v="13237"/>
    <n v="15"/>
    <x v="1"/>
    <n v="0"/>
    <n v="22"/>
    <n v="3"/>
    <n v="3"/>
    <x v="16"/>
    <n v="6"/>
    <x v="5"/>
    <s v="Good"/>
    <x v="1"/>
    <x v="1"/>
    <x v="1"/>
    <x v="1"/>
    <x v="1"/>
  </r>
  <r>
    <x v="0"/>
    <s v="No"/>
    <x v="1"/>
    <n v="1"/>
    <s v="Female"/>
    <x v="0"/>
    <x v="4"/>
    <x v="2"/>
    <n v="10248"/>
    <n v="14"/>
    <x v="1"/>
    <n v="1"/>
    <n v="24"/>
    <n v="4"/>
    <n v="3"/>
    <x v="21"/>
    <n v="6"/>
    <x v="5"/>
    <s v="Good"/>
    <x v="1"/>
    <x v="1"/>
    <x v="1"/>
    <x v="1"/>
    <x v="1"/>
  </r>
  <r>
    <x v="0"/>
    <s v="No"/>
    <x v="1"/>
    <n v="1"/>
    <s v="Male"/>
    <x v="1"/>
    <x v="2"/>
    <x v="2"/>
    <n v="2570"/>
    <n v="20"/>
    <x v="0"/>
    <n v="0"/>
    <n v="7"/>
    <n v="5"/>
    <n v="3"/>
    <x v="6"/>
    <n v="7"/>
    <x v="5"/>
    <s v="Good"/>
    <x v="1"/>
    <x v="1"/>
    <x v="1"/>
    <x v="1"/>
    <x v="0"/>
  </r>
  <r>
    <x v="0"/>
    <s v="No"/>
    <x v="0"/>
    <n v="1"/>
    <s v="Male"/>
    <x v="1"/>
    <x v="3"/>
    <x v="0"/>
    <n v="2329"/>
    <n v="15"/>
    <x v="1"/>
    <n v="0"/>
    <n v="13"/>
    <n v="2"/>
    <n v="4"/>
    <x v="6"/>
    <n v="7"/>
    <x v="5"/>
    <s v="Good"/>
    <x v="1"/>
    <x v="1"/>
    <x v="1"/>
    <x v="1"/>
    <x v="1"/>
  </r>
  <r>
    <x v="0"/>
    <s v="Yes"/>
    <x v="1"/>
    <n v="1"/>
    <s v="Male"/>
    <x v="1"/>
    <x v="2"/>
    <x v="2"/>
    <n v="3691"/>
    <n v="15"/>
    <x v="1"/>
    <n v="1"/>
    <n v="7"/>
    <n v="3"/>
    <n v="4"/>
    <x v="6"/>
    <n v="7"/>
    <x v="5"/>
    <s v="Good"/>
    <x v="1"/>
    <x v="1"/>
    <x v="1"/>
    <x v="1"/>
    <x v="1"/>
  </r>
  <r>
    <x v="0"/>
    <s v="No"/>
    <x v="0"/>
    <n v="1"/>
    <s v="Male"/>
    <x v="2"/>
    <x v="5"/>
    <x v="2"/>
    <n v="5460"/>
    <n v="22"/>
    <x v="0"/>
    <n v="2"/>
    <n v="13"/>
    <n v="4"/>
    <n v="4"/>
    <x v="6"/>
    <n v="7"/>
    <x v="5"/>
    <s v="Good"/>
    <x v="1"/>
    <x v="1"/>
    <x v="1"/>
    <x v="1"/>
    <x v="0"/>
  </r>
  <r>
    <x v="0"/>
    <s v="No"/>
    <x v="2"/>
    <n v="1"/>
    <s v="Female"/>
    <x v="1"/>
    <x v="8"/>
    <x v="0"/>
    <n v="2942"/>
    <n v="23"/>
    <x v="0"/>
    <n v="1"/>
    <n v="8"/>
    <n v="3"/>
    <n v="3"/>
    <x v="7"/>
    <n v="7"/>
    <x v="5"/>
    <s v="Good"/>
    <x v="1"/>
    <x v="1"/>
    <x v="1"/>
    <x v="1"/>
    <x v="0"/>
  </r>
  <r>
    <x v="0"/>
    <s v="No"/>
    <x v="0"/>
    <n v="1"/>
    <s v="Female"/>
    <x v="2"/>
    <x v="5"/>
    <x v="0"/>
    <n v="5154"/>
    <n v="22"/>
    <x v="0"/>
    <n v="2"/>
    <n v="10"/>
    <n v="3"/>
    <n v="4"/>
    <x v="7"/>
    <n v="7"/>
    <x v="5"/>
    <s v="Good"/>
    <x v="1"/>
    <x v="1"/>
    <x v="1"/>
    <x v="1"/>
    <x v="0"/>
  </r>
  <r>
    <x v="0"/>
    <s v="No"/>
    <x v="1"/>
    <n v="1"/>
    <s v="Male"/>
    <x v="0"/>
    <x v="6"/>
    <x v="2"/>
    <n v="10512"/>
    <n v="12"/>
    <x v="1"/>
    <n v="0"/>
    <n v="25"/>
    <n v="6"/>
    <n v="2"/>
    <x v="8"/>
    <n v="7"/>
    <x v="5"/>
    <s v="Bad"/>
    <x v="1"/>
    <x v="1"/>
    <x v="1"/>
    <x v="1"/>
    <x v="1"/>
  </r>
  <r>
    <x v="0"/>
    <s v="No"/>
    <x v="0"/>
    <n v="1"/>
    <s v="Male"/>
    <x v="2"/>
    <x v="5"/>
    <x v="2"/>
    <n v="5337"/>
    <n v="12"/>
    <x v="1"/>
    <n v="0"/>
    <n v="10"/>
    <n v="3"/>
    <n v="3"/>
    <x v="9"/>
    <n v="7"/>
    <x v="5"/>
    <s v="Good"/>
    <x v="1"/>
    <x v="1"/>
    <x v="1"/>
    <x v="1"/>
    <x v="1"/>
  </r>
  <r>
    <x v="0"/>
    <s v="No"/>
    <x v="0"/>
    <n v="1"/>
    <s v="Female"/>
    <x v="2"/>
    <x v="5"/>
    <x v="2"/>
    <n v="5468"/>
    <n v="14"/>
    <x v="1"/>
    <n v="2"/>
    <n v="13"/>
    <n v="3"/>
    <n v="3"/>
    <x v="25"/>
    <n v="7"/>
    <x v="5"/>
    <s v="Good"/>
    <x v="1"/>
    <x v="1"/>
    <x v="1"/>
    <x v="1"/>
    <x v="1"/>
  </r>
  <r>
    <x v="0"/>
    <s v="No"/>
    <x v="1"/>
    <n v="1"/>
    <s v="Male"/>
    <x v="0"/>
    <x v="7"/>
    <x v="1"/>
    <n v="13348"/>
    <n v="13"/>
    <x v="1"/>
    <n v="1"/>
    <n v="18"/>
    <n v="3"/>
    <n v="4"/>
    <x v="17"/>
    <n v="7"/>
    <x v="5"/>
    <s v="Good"/>
    <x v="1"/>
    <x v="1"/>
    <x v="1"/>
    <x v="1"/>
    <x v="1"/>
  </r>
  <r>
    <x v="0"/>
    <s v="No"/>
    <x v="1"/>
    <n v="1"/>
    <s v="Male"/>
    <x v="2"/>
    <x v="2"/>
    <x v="2"/>
    <n v="6472"/>
    <n v="15"/>
    <x v="1"/>
    <n v="1"/>
    <n v="9"/>
    <n v="2"/>
    <n v="3"/>
    <x v="8"/>
    <n v="8"/>
    <x v="5"/>
    <s v="Good"/>
    <x v="1"/>
    <x v="1"/>
    <x v="1"/>
    <x v="1"/>
    <x v="1"/>
  </r>
  <r>
    <x v="0"/>
    <s v="No"/>
    <x v="0"/>
    <n v="1"/>
    <s v="Male"/>
    <x v="1"/>
    <x v="3"/>
    <x v="2"/>
    <n v="2793"/>
    <n v="17"/>
    <x v="1"/>
    <n v="1"/>
    <n v="13"/>
    <n v="2"/>
    <n v="3"/>
    <x v="8"/>
    <n v="8"/>
    <x v="5"/>
    <s v="Good"/>
    <x v="1"/>
    <x v="1"/>
    <x v="1"/>
    <x v="1"/>
    <x v="1"/>
  </r>
  <r>
    <x v="0"/>
    <s v="No"/>
    <x v="0"/>
    <n v="1"/>
    <s v="Female"/>
    <x v="2"/>
    <x v="3"/>
    <x v="0"/>
    <n v="3540"/>
    <n v="21"/>
    <x v="0"/>
    <n v="1"/>
    <n v="9"/>
    <n v="5"/>
    <n v="3"/>
    <x v="8"/>
    <n v="8"/>
    <x v="5"/>
    <s v="Good"/>
    <x v="1"/>
    <x v="1"/>
    <x v="1"/>
    <x v="1"/>
    <x v="0"/>
  </r>
  <r>
    <x v="0"/>
    <s v="No"/>
    <x v="0"/>
    <n v="1"/>
    <s v="Male"/>
    <x v="2"/>
    <x v="5"/>
    <x v="3"/>
    <n v="6524"/>
    <n v="14"/>
    <x v="1"/>
    <n v="1"/>
    <n v="10"/>
    <n v="3"/>
    <n v="3"/>
    <x v="9"/>
    <n v="8"/>
    <x v="5"/>
    <s v="Good"/>
    <x v="1"/>
    <x v="1"/>
    <x v="1"/>
    <x v="1"/>
    <x v="1"/>
  </r>
  <r>
    <x v="0"/>
    <s v="No"/>
    <x v="0"/>
    <n v="1"/>
    <s v="Male"/>
    <x v="2"/>
    <x v="5"/>
    <x v="0"/>
    <n v="5010"/>
    <n v="16"/>
    <x v="1"/>
    <n v="0"/>
    <n v="12"/>
    <n v="0"/>
    <n v="3"/>
    <x v="13"/>
    <n v="8"/>
    <x v="5"/>
    <s v="Good"/>
    <x v="1"/>
    <x v="1"/>
    <x v="1"/>
    <x v="1"/>
    <x v="1"/>
  </r>
  <r>
    <x v="0"/>
    <s v="No"/>
    <x v="1"/>
    <n v="1"/>
    <s v="Male"/>
    <x v="0"/>
    <x v="6"/>
    <x v="0"/>
    <n v="8474"/>
    <n v="22"/>
    <x v="0"/>
    <n v="0"/>
    <n v="12"/>
    <n v="2"/>
    <n v="3"/>
    <x v="13"/>
    <n v="8"/>
    <x v="5"/>
    <s v="Good"/>
    <x v="1"/>
    <x v="1"/>
    <x v="1"/>
    <x v="1"/>
    <x v="0"/>
  </r>
  <r>
    <x v="0"/>
    <s v="No"/>
    <x v="0"/>
    <n v="1"/>
    <s v="Female"/>
    <x v="2"/>
    <x v="5"/>
    <x v="3"/>
    <n v="5677"/>
    <n v="14"/>
    <x v="1"/>
    <n v="1"/>
    <n v="15"/>
    <n v="4"/>
    <n v="3"/>
    <x v="13"/>
    <n v="8"/>
    <x v="5"/>
    <s v="Good"/>
    <x v="1"/>
    <x v="1"/>
    <x v="1"/>
    <x v="1"/>
    <x v="1"/>
  </r>
  <r>
    <x v="0"/>
    <s v="No"/>
    <x v="1"/>
    <n v="1"/>
    <s v="Female"/>
    <x v="2"/>
    <x v="2"/>
    <x v="3"/>
    <n v="4444"/>
    <n v="13"/>
    <x v="1"/>
    <n v="2"/>
    <n v="15"/>
    <n v="2"/>
    <n v="4"/>
    <x v="13"/>
    <n v="8"/>
    <x v="5"/>
    <s v="Good"/>
    <x v="1"/>
    <x v="1"/>
    <x v="1"/>
    <x v="1"/>
    <x v="1"/>
  </r>
  <r>
    <x v="0"/>
    <s v="No"/>
    <x v="1"/>
    <n v="1"/>
    <s v="Male"/>
    <x v="0"/>
    <x v="4"/>
    <x v="1"/>
    <n v="8321"/>
    <n v="13"/>
    <x v="1"/>
    <n v="1"/>
    <n v="15"/>
    <n v="1"/>
    <n v="3"/>
    <x v="25"/>
    <n v="8"/>
    <x v="5"/>
    <s v="Good"/>
    <x v="1"/>
    <x v="1"/>
    <x v="1"/>
    <x v="1"/>
    <x v="1"/>
  </r>
  <r>
    <x v="0"/>
    <s v="No"/>
    <x v="1"/>
    <n v="1"/>
    <s v="Female"/>
    <x v="0"/>
    <x v="7"/>
    <x v="3"/>
    <n v="11957"/>
    <n v="18"/>
    <x v="1"/>
    <n v="2"/>
    <n v="14"/>
    <n v="3"/>
    <n v="1"/>
    <x v="17"/>
    <n v="8"/>
    <x v="5"/>
    <s v="Bad"/>
    <x v="1"/>
    <x v="1"/>
    <x v="1"/>
    <x v="1"/>
    <x v="1"/>
  </r>
  <r>
    <x v="0"/>
    <s v="Yes"/>
    <x v="1"/>
    <n v="1"/>
    <s v="Female"/>
    <x v="0"/>
    <x v="6"/>
    <x v="1"/>
    <n v="10008"/>
    <n v="14"/>
    <x v="1"/>
    <n v="0"/>
    <n v="31"/>
    <n v="0"/>
    <n v="2"/>
    <x v="9"/>
    <n v="9"/>
    <x v="5"/>
    <s v="Bad"/>
    <x v="1"/>
    <x v="1"/>
    <x v="1"/>
    <x v="1"/>
    <x v="1"/>
  </r>
  <r>
    <x v="0"/>
    <s v="No"/>
    <x v="1"/>
    <n v="1"/>
    <s v="Male"/>
    <x v="0"/>
    <x v="6"/>
    <x v="1"/>
    <n v="7406"/>
    <n v="21"/>
    <x v="0"/>
    <n v="1"/>
    <n v="10"/>
    <n v="5"/>
    <n v="2"/>
    <x v="9"/>
    <n v="9"/>
    <x v="5"/>
    <s v="Bad"/>
    <x v="1"/>
    <x v="1"/>
    <x v="1"/>
    <x v="1"/>
    <x v="0"/>
  </r>
  <r>
    <x v="0"/>
    <s v="No"/>
    <x v="1"/>
    <n v="1"/>
    <s v="Male"/>
    <x v="1"/>
    <x v="1"/>
    <x v="3"/>
    <n v="3579"/>
    <n v="21"/>
    <x v="0"/>
    <n v="1"/>
    <n v="12"/>
    <n v="2"/>
    <n v="3"/>
    <x v="13"/>
    <n v="9"/>
    <x v="5"/>
    <s v="Good"/>
    <x v="1"/>
    <x v="1"/>
    <x v="1"/>
    <x v="1"/>
    <x v="0"/>
  </r>
  <r>
    <x v="0"/>
    <s v="No"/>
    <x v="1"/>
    <n v="1"/>
    <s v="Male"/>
    <x v="2"/>
    <x v="6"/>
    <x v="1"/>
    <n v="5957"/>
    <n v="13"/>
    <x v="1"/>
    <n v="1"/>
    <n v="13"/>
    <n v="3"/>
    <n v="3"/>
    <x v="13"/>
    <n v="9"/>
    <x v="5"/>
    <s v="Good"/>
    <x v="1"/>
    <x v="1"/>
    <x v="1"/>
    <x v="1"/>
    <x v="1"/>
  </r>
  <r>
    <x v="0"/>
    <s v="No"/>
    <x v="1"/>
    <n v="1"/>
    <s v="Female"/>
    <x v="1"/>
    <x v="2"/>
    <x v="2"/>
    <n v="3673"/>
    <n v="13"/>
    <x v="1"/>
    <n v="0"/>
    <n v="12"/>
    <n v="3"/>
    <n v="3"/>
    <x v="25"/>
    <n v="9"/>
    <x v="5"/>
    <s v="Good"/>
    <x v="1"/>
    <x v="1"/>
    <x v="1"/>
    <x v="1"/>
    <x v="1"/>
  </r>
  <r>
    <x v="0"/>
    <s v="No"/>
    <x v="0"/>
    <n v="1"/>
    <s v="Male"/>
    <x v="1"/>
    <x v="3"/>
    <x v="0"/>
    <n v="2308"/>
    <n v="25"/>
    <x v="0"/>
    <n v="1"/>
    <n v="12"/>
    <n v="4"/>
    <n v="3"/>
    <x v="13"/>
    <n v="10"/>
    <x v="5"/>
    <s v="Good"/>
    <x v="1"/>
    <x v="1"/>
    <x v="1"/>
    <x v="1"/>
    <x v="0"/>
  </r>
  <r>
    <x v="0"/>
    <s v="No"/>
    <x v="1"/>
    <n v="1"/>
    <s v="Female"/>
    <x v="0"/>
    <x v="0"/>
    <x v="1"/>
    <n v="11631"/>
    <n v="12"/>
    <x v="1"/>
    <n v="0"/>
    <n v="14"/>
    <n v="6"/>
    <n v="3"/>
    <x v="13"/>
    <n v="10"/>
    <x v="5"/>
    <s v="Good"/>
    <x v="1"/>
    <x v="1"/>
    <x v="1"/>
    <x v="1"/>
    <x v="1"/>
  </r>
  <r>
    <x v="0"/>
    <s v="No"/>
    <x v="0"/>
    <n v="1"/>
    <s v="Female"/>
    <x v="0"/>
    <x v="5"/>
    <x v="2"/>
    <n v="10422"/>
    <n v="19"/>
    <x v="1"/>
    <n v="2"/>
    <n v="14"/>
    <n v="3"/>
    <n v="3"/>
    <x v="23"/>
    <n v="10"/>
    <x v="5"/>
    <s v="Good"/>
    <x v="1"/>
    <x v="1"/>
    <x v="1"/>
    <x v="1"/>
    <x v="1"/>
  </r>
  <r>
    <x v="0"/>
    <s v="No"/>
    <x v="0"/>
    <n v="1"/>
    <s v="Male"/>
    <x v="0"/>
    <x v="5"/>
    <x v="0"/>
    <n v="10609"/>
    <n v="12"/>
    <x v="1"/>
    <n v="2"/>
    <n v="17"/>
    <n v="6"/>
    <n v="2"/>
    <x v="14"/>
    <n v="10"/>
    <x v="5"/>
    <s v="Bad"/>
    <x v="1"/>
    <x v="1"/>
    <x v="1"/>
    <x v="1"/>
    <x v="1"/>
  </r>
  <r>
    <x v="0"/>
    <s v="No"/>
    <x v="1"/>
    <n v="1"/>
    <s v="Female"/>
    <x v="2"/>
    <x v="6"/>
    <x v="1"/>
    <n v="6567"/>
    <n v="14"/>
    <x v="1"/>
    <n v="0"/>
    <n v="16"/>
    <n v="2"/>
    <n v="2"/>
    <x v="12"/>
    <n v="11"/>
    <x v="5"/>
    <s v="Bad"/>
    <x v="1"/>
    <x v="1"/>
    <x v="1"/>
    <x v="1"/>
    <x v="1"/>
  </r>
  <r>
    <x v="0"/>
    <s v="No"/>
    <x v="0"/>
    <n v="1"/>
    <s v="Female"/>
    <x v="2"/>
    <x v="5"/>
    <x v="0"/>
    <n v="5902"/>
    <n v="14"/>
    <x v="1"/>
    <n v="1"/>
    <n v="17"/>
    <n v="1"/>
    <n v="4"/>
    <x v="12"/>
    <n v="11"/>
    <x v="5"/>
    <s v="Good"/>
    <x v="1"/>
    <x v="1"/>
    <x v="1"/>
    <x v="1"/>
    <x v="1"/>
  </r>
  <r>
    <x v="0"/>
    <s v="No"/>
    <x v="0"/>
    <n v="1"/>
    <s v="Female"/>
    <x v="4"/>
    <x v="0"/>
    <x v="3"/>
    <n v="16606"/>
    <n v="12"/>
    <x v="1"/>
    <n v="1"/>
    <n v="23"/>
    <n v="2"/>
    <n v="4"/>
    <x v="17"/>
    <n v="12"/>
    <x v="5"/>
    <s v="Good"/>
    <x v="1"/>
    <x v="1"/>
    <x v="1"/>
    <x v="1"/>
    <x v="1"/>
  </r>
  <r>
    <x v="0"/>
    <s v="No"/>
    <x v="1"/>
    <n v="1"/>
    <s v="Female"/>
    <x v="0"/>
    <x v="7"/>
    <x v="1"/>
    <n v="13582"/>
    <n v="13"/>
    <x v="1"/>
    <n v="1"/>
    <n v="15"/>
    <n v="3"/>
    <n v="3"/>
    <x v="12"/>
    <n v="12"/>
    <x v="5"/>
    <s v="Good"/>
    <x v="1"/>
    <x v="1"/>
    <x v="1"/>
    <x v="1"/>
    <x v="1"/>
  </r>
  <r>
    <x v="0"/>
    <s v="No"/>
    <x v="1"/>
    <n v="1"/>
    <s v="Female"/>
    <x v="1"/>
    <x v="1"/>
    <x v="2"/>
    <n v="2115"/>
    <n v="12"/>
    <x v="1"/>
    <n v="0"/>
    <n v="17"/>
    <n v="3"/>
    <n v="3"/>
    <x v="18"/>
    <n v="12"/>
    <x v="5"/>
    <s v="Good"/>
    <x v="1"/>
    <x v="1"/>
    <x v="1"/>
    <x v="1"/>
    <x v="1"/>
  </r>
  <r>
    <x v="0"/>
    <s v="No"/>
    <x v="0"/>
    <n v="1"/>
    <s v="Male"/>
    <x v="2"/>
    <x v="5"/>
    <x v="3"/>
    <n v="4440"/>
    <n v="15"/>
    <x v="1"/>
    <n v="2"/>
    <n v="16"/>
    <n v="3"/>
    <n v="3"/>
    <x v="12"/>
    <n v="13"/>
    <x v="5"/>
    <s v="Good"/>
    <x v="1"/>
    <x v="1"/>
    <x v="1"/>
    <x v="1"/>
    <x v="1"/>
  </r>
  <r>
    <x v="0"/>
    <s v="No"/>
    <x v="1"/>
    <n v="1"/>
    <s v="Male"/>
    <x v="2"/>
    <x v="2"/>
    <x v="0"/>
    <n v="5207"/>
    <n v="12"/>
    <x v="1"/>
    <n v="1"/>
    <n v="15"/>
    <n v="3"/>
    <n v="3"/>
    <x v="12"/>
    <n v="14"/>
    <x v="5"/>
    <s v="Good"/>
    <x v="1"/>
    <x v="1"/>
    <x v="1"/>
    <x v="1"/>
    <x v="1"/>
  </r>
  <r>
    <x v="0"/>
    <s v="No"/>
    <x v="1"/>
    <n v="1"/>
    <s v="Female"/>
    <x v="2"/>
    <x v="6"/>
    <x v="3"/>
    <n v="5410"/>
    <n v="11"/>
    <x v="1"/>
    <n v="0"/>
    <n v="18"/>
    <n v="2"/>
    <n v="3"/>
    <x v="14"/>
    <n v="14"/>
    <x v="5"/>
    <s v="Good"/>
    <x v="1"/>
    <x v="1"/>
    <x v="1"/>
    <x v="1"/>
    <x v="1"/>
  </r>
  <r>
    <x v="0"/>
    <s v="No"/>
    <x v="1"/>
    <n v="1"/>
    <s v="Female"/>
    <x v="0"/>
    <x v="6"/>
    <x v="0"/>
    <n v="10685"/>
    <n v="20"/>
    <x v="0"/>
    <n v="1"/>
    <n v="17"/>
    <n v="2"/>
    <n v="3"/>
    <x v="18"/>
    <n v="14"/>
    <x v="5"/>
    <s v="Good"/>
    <x v="1"/>
    <x v="1"/>
    <x v="1"/>
    <x v="1"/>
    <x v="0"/>
  </r>
  <r>
    <x v="0"/>
    <s v="No"/>
    <x v="1"/>
    <n v="1"/>
    <s v="Female"/>
    <x v="3"/>
    <x v="7"/>
    <x v="0"/>
    <n v="19973"/>
    <n v="22"/>
    <x v="0"/>
    <n v="2"/>
    <n v="21"/>
    <n v="3"/>
    <n v="3"/>
    <x v="26"/>
    <n v="16"/>
    <x v="5"/>
    <s v="Good"/>
    <x v="1"/>
    <x v="1"/>
    <x v="1"/>
    <x v="1"/>
    <x v="0"/>
  </r>
  <r>
    <x v="0"/>
    <s v="No"/>
    <x v="1"/>
    <n v="1"/>
    <s v="Female"/>
    <x v="4"/>
    <x v="7"/>
    <x v="0"/>
    <n v="17169"/>
    <n v="19"/>
    <x v="1"/>
    <n v="2"/>
    <n v="26"/>
    <n v="2"/>
    <n v="4"/>
    <x v="16"/>
    <n v="17"/>
    <x v="5"/>
    <s v="Good"/>
    <x v="1"/>
    <x v="1"/>
    <x v="1"/>
    <x v="1"/>
    <x v="1"/>
  </r>
  <r>
    <x v="0"/>
    <s v="No"/>
    <x v="1"/>
    <n v="1"/>
    <s v="Female"/>
    <x v="2"/>
    <x v="2"/>
    <x v="2"/>
    <n v="4627"/>
    <n v="12"/>
    <x v="1"/>
    <n v="1"/>
    <n v="10"/>
    <n v="6"/>
    <n v="3"/>
    <x v="8"/>
    <n v="2"/>
    <x v="6"/>
    <s v="Good"/>
    <x v="1"/>
    <x v="1"/>
    <x v="0"/>
    <x v="0"/>
    <x v="1"/>
  </r>
  <r>
    <x v="0"/>
    <s v="Yes"/>
    <x v="1"/>
    <n v="1"/>
    <s v="Male"/>
    <x v="2"/>
    <x v="6"/>
    <x v="0"/>
    <n v="6179"/>
    <n v="15"/>
    <x v="1"/>
    <n v="2"/>
    <n v="10"/>
    <n v="3"/>
    <n v="2"/>
    <x v="9"/>
    <n v="2"/>
    <x v="6"/>
    <s v="Bad"/>
    <x v="1"/>
    <x v="1"/>
    <x v="0"/>
    <x v="0"/>
    <x v="1"/>
  </r>
  <r>
    <x v="0"/>
    <s v="Yes"/>
    <x v="1"/>
    <n v="1"/>
    <s v="Female"/>
    <x v="1"/>
    <x v="1"/>
    <x v="1"/>
    <n v="3919"/>
    <n v="22"/>
    <x v="0"/>
    <n v="0"/>
    <n v="10"/>
    <n v="5"/>
    <n v="3"/>
    <x v="9"/>
    <n v="2"/>
    <x v="6"/>
    <s v="Good"/>
    <x v="1"/>
    <x v="1"/>
    <x v="0"/>
    <x v="0"/>
    <x v="0"/>
  </r>
  <r>
    <x v="0"/>
    <s v="No"/>
    <x v="1"/>
    <n v="1"/>
    <s v="Female"/>
    <x v="0"/>
    <x v="0"/>
    <x v="3"/>
    <n v="11996"/>
    <n v="18"/>
    <x v="1"/>
    <n v="1"/>
    <n v="10"/>
    <n v="6"/>
    <n v="2"/>
    <x v="6"/>
    <n v="7"/>
    <x v="6"/>
    <s v="Bad"/>
    <x v="1"/>
    <x v="1"/>
    <x v="1"/>
    <x v="1"/>
    <x v="1"/>
  </r>
  <r>
    <x v="0"/>
    <s v="No"/>
    <x v="1"/>
    <n v="1"/>
    <s v="Male"/>
    <x v="2"/>
    <x v="1"/>
    <x v="1"/>
    <n v="5974"/>
    <n v="13"/>
    <x v="1"/>
    <n v="2"/>
    <n v="13"/>
    <n v="2"/>
    <n v="3"/>
    <x v="6"/>
    <n v="7"/>
    <x v="6"/>
    <s v="Good"/>
    <x v="1"/>
    <x v="1"/>
    <x v="1"/>
    <x v="1"/>
    <x v="1"/>
  </r>
  <r>
    <x v="0"/>
    <s v="No"/>
    <x v="1"/>
    <n v="1"/>
    <s v="Male"/>
    <x v="0"/>
    <x v="6"/>
    <x v="3"/>
    <n v="10274"/>
    <n v="18"/>
    <x v="1"/>
    <n v="1"/>
    <n v="15"/>
    <n v="2"/>
    <n v="4"/>
    <x v="6"/>
    <n v="7"/>
    <x v="6"/>
    <s v="Good"/>
    <x v="1"/>
    <x v="1"/>
    <x v="1"/>
    <x v="1"/>
    <x v="1"/>
  </r>
  <r>
    <x v="0"/>
    <s v="No"/>
    <x v="1"/>
    <n v="1"/>
    <s v="Female"/>
    <x v="0"/>
    <x v="4"/>
    <x v="2"/>
    <n v="7879"/>
    <n v="19"/>
    <x v="1"/>
    <n v="1"/>
    <n v="9"/>
    <n v="2"/>
    <n v="3"/>
    <x v="7"/>
    <n v="7"/>
    <x v="6"/>
    <s v="Good"/>
    <x v="1"/>
    <x v="1"/>
    <x v="1"/>
    <x v="1"/>
    <x v="1"/>
  </r>
  <r>
    <x v="0"/>
    <s v="No"/>
    <x v="1"/>
    <n v="1"/>
    <s v="Male"/>
    <x v="2"/>
    <x v="4"/>
    <x v="3"/>
    <n v="6385"/>
    <n v="14"/>
    <x v="1"/>
    <n v="2"/>
    <n v="17"/>
    <n v="3"/>
    <n v="3"/>
    <x v="7"/>
    <n v="7"/>
    <x v="6"/>
    <s v="Good"/>
    <x v="1"/>
    <x v="1"/>
    <x v="1"/>
    <x v="1"/>
    <x v="1"/>
  </r>
  <r>
    <x v="0"/>
    <s v="No"/>
    <x v="1"/>
    <n v="1"/>
    <s v="Female"/>
    <x v="2"/>
    <x v="6"/>
    <x v="1"/>
    <n v="6725"/>
    <n v="12"/>
    <x v="1"/>
    <n v="1"/>
    <n v="8"/>
    <n v="2"/>
    <n v="4"/>
    <x v="7"/>
    <n v="7"/>
    <x v="6"/>
    <s v="Good"/>
    <x v="1"/>
    <x v="1"/>
    <x v="1"/>
    <x v="1"/>
    <x v="1"/>
  </r>
  <r>
    <x v="0"/>
    <s v="No"/>
    <x v="1"/>
    <n v="1"/>
    <s v="Male"/>
    <x v="1"/>
    <x v="1"/>
    <x v="1"/>
    <n v="2235"/>
    <n v="14"/>
    <x v="1"/>
    <n v="2"/>
    <n v="9"/>
    <n v="3"/>
    <n v="2"/>
    <x v="8"/>
    <n v="7"/>
    <x v="6"/>
    <s v="Bad"/>
    <x v="1"/>
    <x v="1"/>
    <x v="1"/>
    <x v="1"/>
    <x v="1"/>
  </r>
  <r>
    <x v="0"/>
    <s v="No"/>
    <x v="0"/>
    <n v="1"/>
    <s v="Female"/>
    <x v="2"/>
    <x v="5"/>
    <x v="2"/>
    <n v="4051"/>
    <n v="14"/>
    <x v="1"/>
    <n v="1"/>
    <n v="14"/>
    <n v="2"/>
    <n v="3"/>
    <x v="8"/>
    <n v="7"/>
    <x v="6"/>
    <s v="Good"/>
    <x v="1"/>
    <x v="1"/>
    <x v="1"/>
    <x v="1"/>
    <x v="1"/>
  </r>
  <r>
    <x v="0"/>
    <s v="No"/>
    <x v="1"/>
    <n v="1"/>
    <s v="Male"/>
    <x v="4"/>
    <x v="0"/>
    <x v="1"/>
    <n v="16756"/>
    <n v="15"/>
    <x v="1"/>
    <n v="0"/>
    <n v="31"/>
    <n v="3"/>
    <n v="4"/>
    <x v="8"/>
    <n v="7"/>
    <x v="6"/>
    <s v="Good"/>
    <x v="1"/>
    <x v="1"/>
    <x v="1"/>
    <x v="1"/>
    <x v="1"/>
  </r>
  <r>
    <x v="0"/>
    <s v="No"/>
    <x v="1"/>
    <n v="1"/>
    <s v="Female"/>
    <x v="1"/>
    <x v="2"/>
    <x v="2"/>
    <n v="2564"/>
    <n v="14"/>
    <x v="1"/>
    <n v="0"/>
    <n v="12"/>
    <n v="2"/>
    <n v="2"/>
    <x v="13"/>
    <n v="7"/>
    <x v="6"/>
    <s v="Bad"/>
    <x v="1"/>
    <x v="1"/>
    <x v="1"/>
    <x v="1"/>
    <x v="1"/>
  </r>
  <r>
    <x v="0"/>
    <s v="No"/>
    <x v="0"/>
    <n v="1"/>
    <s v="Female"/>
    <x v="2"/>
    <x v="3"/>
    <x v="2"/>
    <n v="4502"/>
    <n v="15"/>
    <x v="1"/>
    <n v="0"/>
    <n v="17"/>
    <n v="2"/>
    <n v="2"/>
    <x v="17"/>
    <n v="7"/>
    <x v="6"/>
    <s v="Bad"/>
    <x v="1"/>
    <x v="1"/>
    <x v="1"/>
    <x v="1"/>
    <x v="1"/>
  </r>
  <r>
    <x v="0"/>
    <s v="No"/>
    <x v="0"/>
    <n v="1"/>
    <s v="Female"/>
    <x v="2"/>
    <x v="5"/>
    <x v="1"/>
    <n v="4639"/>
    <n v="16"/>
    <x v="1"/>
    <n v="1"/>
    <n v="17"/>
    <n v="2"/>
    <n v="2"/>
    <x v="12"/>
    <n v="7"/>
    <x v="6"/>
    <s v="Bad"/>
    <x v="1"/>
    <x v="1"/>
    <x v="1"/>
    <x v="1"/>
    <x v="1"/>
  </r>
  <r>
    <x v="0"/>
    <s v="No"/>
    <x v="0"/>
    <n v="1"/>
    <s v="Female"/>
    <x v="0"/>
    <x v="5"/>
    <x v="3"/>
    <n v="7525"/>
    <n v="12"/>
    <x v="1"/>
    <n v="1"/>
    <n v="30"/>
    <n v="2"/>
    <n v="3"/>
    <x v="12"/>
    <n v="7"/>
    <x v="6"/>
    <s v="Good"/>
    <x v="1"/>
    <x v="1"/>
    <x v="1"/>
    <x v="1"/>
    <x v="1"/>
  </r>
  <r>
    <x v="0"/>
    <s v="No"/>
    <x v="0"/>
    <n v="1"/>
    <s v="Male"/>
    <x v="4"/>
    <x v="0"/>
    <x v="0"/>
    <n v="17444"/>
    <n v="11"/>
    <x v="1"/>
    <n v="0"/>
    <n v="10"/>
    <n v="2"/>
    <n v="3"/>
    <x v="9"/>
    <n v="8"/>
    <x v="6"/>
    <s v="Good"/>
    <x v="1"/>
    <x v="1"/>
    <x v="1"/>
    <x v="1"/>
    <x v="1"/>
  </r>
  <r>
    <x v="0"/>
    <s v="Yes"/>
    <x v="0"/>
    <n v="1"/>
    <s v="Male"/>
    <x v="2"/>
    <x v="5"/>
    <x v="1"/>
    <n v="9714"/>
    <n v="11"/>
    <x v="1"/>
    <n v="1"/>
    <n v="10"/>
    <n v="4"/>
    <n v="3"/>
    <x v="9"/>
    <n v="8"/>
    <x v="6"/>
    <s v="Good"/>
    <x v="1"/>
    <x v="1"/>
    <x v="1"/>
    <x v="1"/>
    <x v="1"/>
  </r>
  <r>
    <x v="0"/>
    <s v="No"/>
    <x v="1"/>
    <n v="1"/>
    <s v="Male"/>
    <x v="4"/>
    <x v="7"/>
    <x v="1"/>
    <n v="17007"/>
    <n v="14"/>
    <x v="1"/>
    <n v="2"/>
    <n v="16"/>
    <n v="3"/>
    <n v="2"/>
    <x v="23"/>
    <n v="8"/>
    <x v="6"/>
    <s v="Bad"/>
    <x v="1"/>
    <x v="1"/>
    <x v="1"/>
    <x v="1"/>
    <x v="1"/>
  </r>
  <r>
    <x v="0"/>
    <s v="No"/>
    <x v="1"/>
    <n v="1"/>
    <s v="Male"/>
    <x v="2"/>
    <x v="2"/>
    <x v="0"/>
    <n v="3407"/>
    <n v="17"/>
    <x v="1"/>
    <n v="2"/>
    <n v="10"/>
    <n v="3"/>
    <n v="2"/>
    <x v="9"/>
    <n v="9"/>
    <x v="6"/>
    <s v="Bad"/>
    <x v="1"/>
    <x v="1"/>
    <x v="1"/>
    <x v="1"/>
    <x v="1"/>
  </r>
  <r>
    <x v="0"/>
    <s v="No"/>
    <x v="1"/>
    <n v="1"/>
    <s v="Male"/>
    <x v="2"/>
    <x v="1"/>
    <x v="1"/>
    <n v="5577"/>
    <n v="12"/>
    <x v="1"/>
    <n v="2"/>
    <n v="18"/>
    <n v="3"/>
    <n v="3"/>
    <x v="9"/>
    <n v="9"/>
    <x v="6"/>
    <s v="Good"/>
    <x v="1"/>
    <x v="1"/>
    <x v="1"/>
    <x v="1"/>
    <x v="1"/>
  </r>
  <r>
    <x v="0"/>
    <s v="No"/>
    <x v="0"/>
    <n v="1"/>
    <s v="Male"/>
    <x v="0"/>
    <x v="5"/>
    <x v="3"/>
    <n v="8020"/>
    <n v="15"/>
    <x v="1"/>
    <n v="2"/>
    <n v="12"/>
    <n v="3"/>
    <n v="2"/>
    <x v="13"/>
    <n v="9"/>
    <x v="6"/>
    <s v="Bad"/>
    <x v="1"/>
    <x v="1"/>
    <x v="1"/>
    <x v="1"/>
    <x v="1"/>
  </r>
  <r>
    <x v="0"/>
    <s v="No"/>
    <x v="0"/>
    <n v="1"/>
    <s v="Male"/>
    <x v="2"/>
    <x v="5"/>
    <x v="0"/>
    <n v="4717"/>
    <n v="11"/>
    <x v="1"/>
    <n v="0"/>
    <n v="15"/>
    <n v="2"/>
    <n v="3"/>
    <x v="13"/>
    <n v="9"/>
    <x v="6"/>
    <s v="Good"/>
    <x v="1"/>
    <x v="1"/>
    <x v="1"/>
    <x v="1"/>
    <x v="1"/>
  </r>
  <r>
    <x v="0"/>
    <s v="Yes"/>
    <x v="0"/>
    <n v="1"/>
    <s v="Male"/>
    <x v="2"/>
    <x v="5"/>
    <x v="2"/>
    <n v="4581"/>
    <n v="24"/>
    <x v="0"/>
    <n v="0"/>
    <n v="13"/>
    <n v="2"/>
    <n v="4"/>
    <x v="13"/>
    <n v="9"/>
    <x v="6"/>
    <s v="Good"/>
    <x v="1"/>
    <x v="1"/>
    <x v="1"/>
    <x v="1"/>
    <x v="0"/>
  </r>
  <r>
    <x v="0"/>
    <s v="No"/>
    <x v="1"/>
    <n v="1"/>
    <s v="Male"/>
    <x v="2"/>
    <x v="2"/>
    <x v="1"/>
    <n v="3072"/>
    <n v="11"/>
    <x v="1"/>
    <n v="2"/>
    <n v="12"/>
    <n v="4"/>
    <n v="3"/>
    <x v="25"/>
    <n v="9"/>
    <x v="6"/>
    <s v="Good"/>
    <x v="1"/>
    <x v="1"/>
    <x v="1"/>
    <x v="1"/>
    <x v="1"/>
  </r>
  <r>
    <x v="0"/>
    <s v="No"/>
    <x v="1"/>
    <n v="1"/>
    <s v="Male"/>
    <x v="4"/>
    <x v="7"/>
    <x v="0"/>
    <n v="17603"/>
    <n v="24"/>
    <x v="0"/>
    <n v="1"/>
    <n v="14"/>
    <n v="3"/>
    <n v="3"/>
    <x v="23"/>
    <n v="10"/>
    <x v="6"/>
    <s v="Good"/>
    <x v="1"/>
    <x v="1"/>
    <x v="1"/>
    <x v="1"/>
    <x v="0"/>
  </r>
  <r>
    <x v="0"/>
    <s v="No"/>
    <x v="1"/>
    <n v="1"/>
    <s v="Male"/>
    <x v="2"/>
    <x v="1"/>
    <x v="2"/>
    <n v="5747"/>
    <n v="15"/>
    <x v="1"/>
    <n v="0"/>
    <n v="16"/>
    <n v="3"/>
    <n v="3"/>
    <x v="12"/>
    <n v="10"/>
    <x v="6"/>
    <s v="Good"/>
    <x v="1"/>
    <x v="1"/>
    <x v="1"/>
    <x v="1"/>
    <x v="1"/>
  </r>
  <r>
    <x v="0"/>
    <s v="No"/>
    <x v="1"/>
    <n v="1"/>
    <s v="Female"/>
    <x v="0"/>
    <x v="7"/>
    <x v="2"/>
    <n v="13744"/>
    <n v="25"/>
    <x v="0"/>
    <n v="1"/>
    <n v="16"/>
    <n v="2"/>
    <n v="3"/>
    <x v="14"/>
    <n v="11"/>
    <x v="6"/>
    <s v="Good"/>
    <x v="1"/>
    <x v="1"/>
    <x v="1"/>
    <x v="1"/>
    <x v="0"/>
  </r>
  <r>
    <x v="0"/>
    <s v="Yes"/>
    <x v="0"/>
    <n v="1"/>
    <s v="Male"/>
    <x v="0"/>
    <x v="5"/>
    <x v="1"/>
    <n v="10306"/>
    <n v="17"/>
    <x v="1"/>
    <n v="0"/>
    <n v="15"/>
    <n v="3"/>
    <n v="3"/>
    <x v="17"/>
    <n v="12"/>
    <x v="6"/>
    <s v="Good"/>
    <x v="1"/>
    <x v="1"/>
    <x v="1"/>
    <x v="1"/>
    <x v="1"/>
  </r>
  <r>
    <x v="0"/>
    <s v="No"/>
    <x v="1"/>
    <n v="1"/>
    <s v="Female"/>
    <x v="3"/>
    <x v="0"/>
    <x v="0"/>
    <n v="19392"/>
    <n v="13"/>
    <x v="1"/>
    <n v="0"/>
    <n v="21"/>
    <n v="2"/>
    <n v="3"/>
    <x v="14"/>
    <n v="12"/>
    <x v="6"/>
    <s v="Good"/>
    <x v="1"/>
    <x v="1"/>
    <x v="1"/>
    <x v="1"/>
    <x v="1"/>
  </r>
  <r>
    <x v="0"/>
    <s v="No"/>
    <x v="1"/>
    <n v="1"/>
    <s v="Female"/>
    <x v="2"/>
    <x v="6"/>
    <x v="0"/>
    <n v="6162"/>
    <n v="12"/>
    <x v="1"/>
    <n v="1"/>
    <n v="14"/>
    <n v="3"/>
    <n v="3"/>
    <x v="23"/>
    <n v="13"/>
    <x v="6"/>
    <s v="Good"/>
    <x v="1"/>
    <x v="1"/>
    <x v="1"/>
    <x v="1"/>
    <x v="1"/>
  </r>
  <r>
    <x v="0"/>
    <s v="Yes"/>
    <x v="0"/>
    <n v="1"/>
    <s v="Female"/>
    <x v="3"/>
    <x v="0"/>
    <x v="2"/>
    <n v="19845"/>
    <n v="15"/>
    <x v="1"/>
    <n v="1"/>
    <n v="33"/>
    <n v="3"/>
    <n v="3"/>
    <x v="31"/>
    <n v="14"/>
    <x v="6"/>
    <s v="Good"/>
    <x v="1"/>
    <x v="1"/>
    <x v="1"/>
    <x v="1"/>
    <x v="1"/>
  </r>
  <r>
    <x v="0"/>
    <s v="No"/>
    <x v="1"/>
    <n v="1"/>
    <s v="Female"/>
    <x v="1"/>
    <x v="2"/>
    <x v="0"/>
    <n v="2838"/>
    <n v="14"/>
    <x v="1"/>
    <n v="0"/>
    <n v="8"/>
    <n v="6"/>
    <n v="2"/>
    <x v="6"/>
    <n v="0"/>
    <x v="7"/>
    <s v="Bad"/>
    <x v="1"/>
    <x v="1"/>
    <x v="0"/>
    <x v="0"/>
    <x v="1"/>
  </r>
  <r>
    <x v="0"/>
    <s v="No"/>
    <x v="1"/>
    <n v="1"/>
    <s v="Male"/>
    <x v="2"/>
    <x v="1"/>
    <x v="3"/>
    <n v="4485"/>
    <n v="12"/>
    <x v="1"/>
    <n v="0"/>
    <n v="10"/>
    <n v="2"/>
    <n v="3"/>
    <x v="7"/>
    <n v="0"/>
    <x v="7"/>
    <s v="Good"/>
    <x v="1"/>
    <x v="1"/>
    <x v="0"/>
    <x v="0"/>
    <x v="1"/>
  </r>
  <r>
    <x v="0"/>
    <s v="No"/>
    <x v="0"/>
    <n v="1"/>
    <s v="Female"/>
    <x v="2"/>
    <x v="5"/>
    <x v="1"/>
    <n v="5605"/>
    <n v="24"/>
    <x v="0"/>
    <n v="1"/>
    <n v="8"/>
    <n v="3"/>
    <n v="3"/>
    <x v="7"/>
    <n v="0"/>
    <x v="7"/>
    <s v="Good"/>
    <x v="1"/>
    <x v="1"/>
    <x v="0"/>
    <x v="0"/>
    <x v="0"/>
  </r>
  <r>
    <x v="0"/>
    <s v="No"/>
    <x v="1"/>
    <n v="1"/>
    <s v="Male"/>
    <x v="2"/>
    <x v="4"/>
    <x v="2"/>
    <n v="5582"/>
    <n v="21"/>
    <x v="0"/>
    <n v="1"/>
    <n v="10"/>
    <n v="2"/>
    <n v="3"/>
    <x v="8"/>
    <n v="0"/>
    <x v="7"/>
    <s v="Good"/>
    <x v="1"/>
    <x v="1"/>
    <x v="0"/>
    <x v="0"/>
    <x v="0"/>
  </r>
  <r>
    <x v="0"/>
    <s v="No"/>
    <x v="1"/>
    <n v="1"/>
    <s v="Male"/>
    <x v="2"/>
    <x v="6"/>
    <x v="1"/>
    <n v="5151"/>
    <n v="25"/>
    <x v="0"/>
    <n v="1"/>
    <n v="10"/>
    <n v="3"/>
    <n v="3"/>
    <x v="9"/>
    <n v="0"/>
    <x v="7"/>
    <s v="Good"/>
    <x v="1"/>
    <x v="1"/>
    <x v="0"/>
    <x v="0"/>
    <x v="0"/>
  </r>
  <r>
    <x v="0"/>
    <s v="No"/>
    <x v="1"/>
    <n v="1"/>
    <s v="Male"/>
    <x v="3"/>
    <x v="7"/>
    <x v="0"/>
    <n v="19237"/>
    <n v="11"/>
    <x v="1"/>
    <n v="1"/>
    <n v="29"/>
    <n v="2"/>
    <n v="2"/>
    <x v="7"/>
    <n v="1"/>
    <x v="7"/>
    <s v="Bad"/>
    <x v="1"/>
    <x v="1"/>
    <x v="0"/>
    <x v="0"/>
    <x v="1"/>
  </r>
  <r>
    <x v="0"/>
    <s v="Yes"/>
    <x v="1"/>
    <n v="1"/>
    <s v="Female"/>
    <x v="1"/>
    <x v="1"/>
    <x v="0"/>
    <n v="4084"/>
    <n v="12"/>
    <x v="1"/>
    <n v="0"/>
    <n v="7"/>
    <n v="2"/>
    <n v="1"/>
    <x v="6"/>
    <n v="2"/>
    <x v="7"/>
    <s v="Bad"/>
    <x v="1"/>
    <x v="1"/>
    <x v="0"/>
    <x v="0"/>
    <x v="1"/>
  </r>
  <r>
    <x v="0"/>
    <s v="No"/>
    <x v="1"/>
    <n v="1"/>
    <s v="Male"/>
    <x v="2"/>
    <x v="4"/>
    <x v="0"/>
    <n v="5063"/>
    <n v="14"/>
    <x v="1"/>
    <n v="1"/>
    <n v="8"/>
    <n v="3"/>
    <n v="2"/>
    <x v="7"/>
    <n v="2"/>
    <x v="7"/>
    <s v="Bad"/>
    <x v="1"/>
    <x v="1"/>
    <x v="0"/>
    <x v="0"/>
    <x v="1"/>
  </r>
  <r>
    <x v="0"/>
    <s v="No"/>
    <x v="1"/>
    <n v="1"/>
    <s v="Female"/>
    <x v="1"/>
    <x v="1"/>
    <x v="1"/>
    <n v="2367"/>
    <n v="12"/>
    <x v="1"/>
    <n v="1"/>
    <n v="10"/>
    <n v="3"/>
    <n v="2"/>
    <x v="7"/>
    <n v="2"/>
    <x v="7"/>
    <s v="Bad"/>
    <x v="1"/>
    <x v="1"/>
    <x v="0"/>
    <x v="0"/>
    <x v="1"/>
  </r>
  <r>
    <x v="0"/>
    <s v="Yes"/>
    <x v="1"/>
    <n v="1"/>
    <s v="Male"/>
    <x v="2"/>
    <x v="1"/>
    <x v="3"/>
    <n v="4941"/>
    <n v="15"/>
    <x v="1"/>
    <n v="0"/>
    <n v="11"/>
    <n v="3"/>
    <n v="2"/>
    <x v="7"/>
    <n v="2"/>
    <x v="7"/>
    <s v="Bad"/>
    <x v="1"/>
    <x v="1"/>
    <x v="0"/>
    <x v="0"/>
    <x v="1"/>
  </r>
  <r>
    <x v="0"/>
    <s v="Yes"/>
    <x v="1"/>
    <n v="1"/>
    <s v="Female"/>
    <x v="1"/>
    <x v="1"/>
    <x v="0"/>
    <n v="2394"/>
    <n v="13"/>
    <x v="1"/>
    <n v="0"/>
    <n v="8"/>
    <n v="2"/>
    <n v="3"/>
    <x v="7"/>
    <n v="2"/>
    <x v="7"/>
    <s v="Good"/>
    <x v="1"/>
    <x v="1"/>
    <x v="0"/>
    <x v="0"/>
    <x v="1"/>
  </r>
  <r>
    <x v="0"/>
    <s v="Yes"/>
    <x v="1"/>
    <n v="1"/>
    <s v="Female"/>
    <x v="1"/>
    <x v="1"/>
    <x v="3"/>
    <n v="2022"/>
    <n v="19"/>
    <x v="1"/>
    <n v="1"/>
    <n v="10"/>
    <n v="3"/>
    <n v="2"/>
    <x v="9"/>
    <n v="2"/>
    <x v="7"/>
    <s v="Bad"/>
    <x v="1"/>
    <x v="1"/>
    <x v="0"/>
    <x v="0"/>
    <x v="1"/>
  </r>
  <r>
    <x v="0"/>
    <s v="No"/>
    <x v="2"/>
    <n v="1"/>
    <s v="Male"/>
    <x v="3"/>
    <x v="0"/>
    <x v="3"/>
    <n v="19717"/>
    <n v="14"/>
    <x v="1"/>
    <n v="0"/>
    <n v="36"/>
    <n v="4"/>
    <n v="3"/>
    <x v="6"/>
    <n v="3"/>
    <x v="7"/>
    <s v="Good"/>
    <x v="1"/>
    <x v="1"/>
    <x v="0"/>
    <x v="0"/>
    <x v="1"/>
  </r>
  <r>
    <x v="0"/>
    <s v="No"/>
    <x v="1"/>
    <n v="1"/>
    <s v="Male"/>
    <x v="2"/>
    <x v="6"/>
    <x v="0"/>
    <n v="5321"/>
    <n v="11"/>
    <x v="1"/>
    <n v="1"/>
    <n v="10"/>
    <n v="1"/>
    <n v="3"/>
    <x v="7"/>
    <n v="3"/>
    <x v="7"/>
    <s v="Good"/>
    <x v="1"/>
    <x v="1"/>
    <x v="0"/>
    <x v="0"/>
    <x v="1"/>
  </r>
  <r>
    <x v="0"/>
    <s v="No"/>
    <x v="1"/>
    <n v="1"/>
    <s v="Female"/>
    <x v="2"/>
    <x v="4"/>
    <x v="1"/>
    <n v="4448"/>
    <n v="12"/>
    <x v="1"/>
    <n v="1"/>
    <n v="15"/>
    <n v="3"/>
    <n v="3"/>
    <x v="6"/>
    <n v="4"/>
    <x v="7"/>
    <s v="Good"/>
    <x v="1"/>
    <x v="1"/>
    <x v="0"/>
    <x v="0"/>
    <x v="1"/>
  </r>
  <r>
    <x v="0"/>
    <s v="No"/>
    <x v="1"/>
    <n v="1"/>
    <s v="Female"/>
    <x v="1"/>
    <x v="1"/>
    <x v="3"/>
    <n v="3936"/>
    <n v="11"/>
    <x v="1"/>
    <n v="1"/>
    <n v="8"/>
    <n v="2"/>
    <n v="1"/>
    <x v="7"/>
    <n v="4"/>
    <x v="7"/>
    <s v="Bad"/>
    <x v="1"/>
    <x v="1"/>
    <x v="0"/>
    <x v="0"/>
    <x v="1"/>
  </r>
  <r>
    <x v="0"/>
    <s v="No"/>
    <x v="0"/>
    <n v="1"/>
    <s v="Male"/>
    <x v="0"/>
    <x v="5"/>
    <x v="0"/>
    <n v="7264"/>
    <n v="11"/>
    <x v="1"/>
    <n v="1"/>
    <n v="10"/>
    <n v="2"/>
    <n v="4"/>
    <x v="7"/>
    <n v="4"/>
    <x v="7"/>
    <s v="Good"/>
    <x v="1"/>
    <x v="1"/>
    <x v="0"/>
    <x v="0"/>
    <x v="1"/>
  </r>
  <r>
    <x v="0"/>
    <s v="No"/>
    <x v="0"/>
    <n v="1"/>
    <s v="Male"/>
    <x v="2"/>
    <x v="5"/>
    <x v="1"/>
    <n v="5473"/>
    <n v="12"/>
    <x v="1"/>
    <n v="0"/>
    <n v="9"/>
    <n v="5"/>
    <n v="4"/>
    <x v="7"/>
    <n v="4"/>
    <x v="7"/>
    <s v="Good"/>
    <x v="1"/>
    <x v="1"/>
    <x v="0"/>
    <x v="0"/>
    <x v="1"/>
  </r>
  <r>
    <x v="0"/>
    <s v="No"/>
    <x v="0"/>
    <n v="1"/>
    <s v="Female"/>
    <x v="0"/>
    <x v="5"/>
    <x v="0"/>
    <n v="10686"/>
    <n v="11"/>
    <x v="1"/>
    <n v="1"/>
    <n v="13"/>
    <n v="4"/>
    <n v="3"/>
    <x v="8"/>
    <n v="4"/>
    <x v="7"/>
    <s v="Good"/>
    <x v="1"/>
    <x v="1"/>
    <x v="0"/>
    <x v="0"/>
    <x v="1"/>
  </r>
  <r>
    <x v="0"/>
    <s v="No"/>
    <x v="0"/>
    <n v="1"/>
    <s v="Male"/>
    <x v="0"/>
    <x v="5"/>
    <x v="3"/>
    <n v="8834"/>
    <n v="13"/>
    <x v="1"/>
    <n v="1"/>
    <n v="9"/>
    <n v="6"/>
    <n v="3"/>
    <x v="8"/>
    <n v="5"/>
    <x v="7"/>
    <s v="Good"/>
    <x v="1"/>
    <x v="1"/>
    <x v="1"/>
    <x v="1"/>
    <x v="1"/>
  </r>
  <r>
    <x v="0"/>
    <s v="No"/>
    <x v="1"/>
    <n v="1"/>
    <s v="Female"/>
    <x v="1"/>
    <x v="1"/>
    <x v="2"/>
    <n v="2011"/>
    <n v="13"/>
    <x v="1"/>
    <n v="1"/>
    <n v="10"/>
    <n v="5"/>
    <n v="3"/>
    <x v="9"/>
    <n v="5"/>
    <x v="7"/>
    <s v="Good"/>
    <x v="1"/>
    <x v="1"/>
    <x v="1"/>
    <x v="1"/>
    <x v="1"/>
  </r>
  <r>
    <x v="0"/>
    <s v="No"/>
    <x v="1"/>
    <n v="1"/>
    <s v="Female"/>
    <x v="1"/>
    <x v="1"/>
    <x v="1"/>
    <n v="4774"/>
    <n v="19"/>
    <x v="1"/>
    <n v="1"/>
    <n v="8"/>
    <n v="2"/>
    <n v="2"/>
    <x v="6"/>
    <n v="6"/>
    <x v="7"/>
    <s v="Bad"/>
    <x v="1"/>
    <x v="1"/>
    <x v="1"/>
    <x v="1"/>
    <x v="1"/>
  </r>
  <r>
    <x v="0"/>
    <s v="No"/>
    <x v="1"/>
    <n v="1"/>
    <s v="Male"/>
    <x v="4"/>
    <x v="0"/>
    <x v="1"/>
    <n v="17181"/>
    <n v="13"/>
    <x v="1"/>
    <n v="1"/>
    <n v="21"/>
    <n v="2"/>
    <n v="2"/>
    <x v="6"/>
    <n v="6"/>
    <x v="7"/>
    <s v="Bad"/>
    <x v="1"/>
    <x v="1"/>
    <x v="1"/>
    <x v="1"/>
    <x v="1"/>
  </r>
  <r>
    <x v="0"/>
    <s v="No"/>
    <x v="0"/>
    <n v="1"/>
    <s v="Female"/>
    <x v="2"/>
    <x v="5"/>
    <x v="2"/>
    <n v="4537"/>
    <n v="22"/>
    <x v="0"/>
    <n v="1"/>
    <n v="8"/>
    <n v="2"/>
    <n v="3"/>
    <x v="6"/>
    <n v="6"/>
    <x v="7"/>
    <s v="Good"/>
    <x v="1"/>
    <x v="1"/>
    <x v="1"/>
    <x v="1"/>
    <x v="0"/>
  </r>
  <r>
    <x v="0"/>
    <s v="No"/>
    <x v="0"/>
    <n v="1"/>
    <s v="Male"/>
    <x v="0"/>
    <x v="5"/>
    <x v="0"/>
    <n v="8237"/>
    <n v="11"/>
    <x v="1"/>
    <n v="1"/>
    <n v="11"/>
    <n v="3"/>
    <n v="3"/>
    <x v="6"/>
    <n v="6"/>
    <x v="7"/>
    <s v="Good"/>
    <x v="1"/>
    <x v="1"/>
    <x v="1"/>
    <x v="1"/>
    <x v="1"/>
  </r>
  <r>
    <x v="0"/>
    <s v="Yes"/>
    <x v="1"/>
    <n v="1"/>
    <s v="Male"/>
    <x v="0"/>
    <x v="0"/>
    <x v="0"/>
    <n v="13610"/>
    <n v="12"/>
    <x v="1"/>
    <n v="0"/>
    <n v="15"/>
    <n v="2"/>
    <n v="4"/>
    <x v="6"/>
    <n v="6"/>
    <x v="7"/>
    <s v="Good"/>
    <x v="1"/>
    <x v="1"/>
    <x v="1"/>
    <x v="1"/>
    <x v="1"/>
  </r>
  <r>
    <x v="0"/>
    <s v="No"/>
    <x v="1"/>
    <n v="1"/>
    <s v="Female"/>
    <x v="1"/>
    <x v="2"/>
    <x v="1"/>
    <n v="2593"/>
    <n v="11"/>
    <x v="1"/>
    <n v="1"/>
    <n v="10"/>
    <n v="4"/>
    <n v="3"/>
    <x v="8"/>
    <n v="6"/>
    <x v="7"/>
    <s v="Good"/>
    <x v="1"/>
    <x v="1"/>
    <x v="1"/>
    <x v="1"/>
    <x v="1"/>
  </r>
  <r>
    <x v="0"/>
    <s v="No"/>
    <x v="0"/>
    <n v="1"/>
    <s v="Female"/>
    <x v="4"/>
    <x v="5"/>
    <x v="1"/>
    <n v="13212"/>
    <n v="11"/>
    <x v="1"/>
    <n v="3"/>
    <n v="36"/>
    <n v="0"/>
    <n v="2"/>
    <x v="6"/>
    <n v="7"/>
    <x v="7"/>
    <s v="Bad"/>
    <x v="1"/>
    <x v="1"/>
    <x v="1"/>
    <x v="1"/>
    <x v="1"/>
  </r>
  <r>
    <x v="0"/>
    <s v="No"/>
    <x v="0"/>
    <n v="1"/>
    <s v="Female"/>
    <x v="4"/>
    <x v="0"/>
    <x v="3"/>
    <n v="16872"/>
    <n v="12"/>
    <x v="1"/>
    <n v="1"/>
    <n v="28"/>
    <n v="2"/>
    <n v="2"/>
    <x v="6"/>
    <n v="7"/>
    <x v="7"/>
    <s v="Bad"/>
    <x v="1"/>
    <x v="1"/>
    <x v="1"/>
    <x v="1"/>
    <x v="1"/>
  </r>
  <r>
    <x v="0"/>
    <s v="No"/>
    <x v="0"/>
    <n v="1"/>
    <s v="Male"/>
    <x v="2"/>
    <x v="5"/>
    <x v="1"/>
    <n v="8396"/>
    <n v="14"/>
    <x v="1"/>
    <n v="1"/>
    <n v="8"/>
    <n v="3"/>
    <n v="2"/>
    <x v="6"/>
    <n v="7"/>
    <x v="7"/>
    <s v="Bad"/>
    <x v="1"/>
    <x v="1"/>
    <x v="1"/>
    <x v="1"/>
    <x v="1"/>
  </r>
  <r>
    <x v="0"/>
    <s v="Yes"/>
    <x v="0"/>
    <n v="1"/>
    <s v="Male"/>
    <x v="2"/>
    <x v="5"/>
    <x v="0"/>
    <n v="6172"/>
    <n v="18"/>
    <x v="1"/>
    <n v="0"/>
    <n v="12"/>
    <n v="3"/>
    <n v="2"/>
    <x v="6"/>
    <n v="7"/>
    <x v="7"/>
    <s v="Bad"/>
    <x v="1"/>
    <x v="1"/>
    <x v="1"/>
    <x v="1"/>
    <x v="1"/>
  </r>
  <r>
    <x v="0"/>
    <s v="No"/>
    <x v="1"/>
    <n v="1"/>
    <s v="Male"/>
    <x v="2"/>
    <x v="4"/>
    <x v="0"/>
    <n v="5237"/>
    <n v="13"/>
    <x v="1"/>
    <n v="2"/>
    <n v="17"/>
    <n v="3"/>
    <n v="2"/>
    <x v="6"/>
    <n v="7"/>
    <x v="7"/>
    <s v="Bad"/>
    <x v="1"/>
    <x v="1"/>
    <x v="1"/>
    <x v="1"/>
    <x v="1"/>
  </r>
  <r>
    <x v="0"/>
    <s v="No"/>
    <x v="1"/>
    <n v="1"/>
    <s v="Male"/>
    <x v="1"/>
    <x v="2"/>
    <x v="1"/>
    <n v="2867"/>
    <n v="13"/>
    <x v="1"/>
    <n v="0"/>
    <n v="8"/>
    <n v="6"/>
    <n v="2"/>
    <x v="6"/>
    <n v="7"/>
    <x v="7"/>
    <s v="Bad"/>
    <x v="1"/>
    <x v="1"/>
    <x v="1"/>
    <x v="1"/>
    <x v="1"/>
  </r>
  <r>
    <x v="0"/>
    <s v="Yes"/>
    <x v="1"/>
    <n v="1"/>
    <s v="Female"/>
    <x v="1"/>
    <x v="2"/>
    <x v="0"/>
    <n v="3339"/>
    <n v="13"/>
    <x v="1"/>
    <n v="2"/>
    <n v="10"/>
    <n v="2"/>
    <n v="3"/>
    <x v="6"/>
    <n v="7"/>
    <x v="7"/>
    <s v="Good"/>
    <x v="1"/>
    <x v="1"/>
    <x v="1"/>
    <x v="1"/>
    <x v="1"/>
  </r>
  <r>
    <x v="0"/>
    <s v="No"/>
    <x v="1"/>
    <n v="1"/>
    <s v="Female"/>
    <x v="0"/>
    <x v="6"/>
    <x v="1"/>
    <n v="10252"/>
    <n v="21"/>
    <x v="0"/>
    <n v="1"/>
    <n v="17"/>
    <n v="2"/>
    <n v="3"/>
    <x v="6"/>
    <n v="7"/>
    <x v="7"/>
    <s v="Good"/>
    <x v="1"/>
    <x v="1"/>
    <x v="1"/>
    <x v="1"/>
    <x v="0"/>
  </r>
  <r>
    <x v="0"/>
    <s v="No"/>
    <x v="1"/>
    <n v="1"/>
    <s v="Male"/>
    <x v="1"/>
    <x v="2"/>
    <x v="2"/>
    <n v="2544"/>
    <n v="18"/>
    <x v="1"/>
    <n v="1"/>
    <n v="8"/>
    <n v="3"/>
    <n v="3"/>
    <x v="6"/>
    <n v="7"/>
    <x v="7"/>
    <s v="Good"/>
    <x v="1"/>
    <x v="1"/>
    <x v="1"/>
    <x v="1"/>
    <x v="1"/>
  </r>
  <r>
    <x v="0"/>
    <s v="No"/>
    <x v="1"/>
    <n v="1"/>
    <s v="Male"/>
    <x v="2"/>
    <x v="6"/>
    <x v="1"/>
    <n v="5377"/>
    <n v="13"/>
    <x v="1"/>
    <n v="3"/>
    <n v="10"/>
    <n v="3"/>
    <n v="3"/>
    <x v="6"/>
    <n v="7"/>
    <x v="7"/>
    <s v="Good"/>
    <x v="1"/>
    <x v="1"/>
    <x v="1"/>
    <x v="1"/>
    <x v="1"/>
  </r>
  <r>
    <x v="0"/>
    <s v="No"/>
    <x v="0"/>
    <n v="1"/>
    <s v="Male"/>
    <x v="2"/>
    <x v="5"/>
    <x v="2"/>
    <n v="5675"/>
    <n v="20"/>
    <x v="0"/>
    <n v="1"/>
    <n v="7"/>
    <n v="5"/>
    <n v="3"/>
    <x v="6"/>
    <n v="7"/>
    <x v="7"/>
    <s v="Good"/>
    <x v="1"/>
    <x v="1"/>
    <x v="1"/>
    <x v="1"/>
    <x v="0"/>
  </r>
  <r>
    <x v="0"/>
    <s v="No"/>
    <x v="1"/>
    <n v="1"/>
    <s v="Female"/>
    <x v="0"/>
    <x v="7"/>
    <x v="2"/>
    <n v="11159"/>
    <n v="15"/>
    <x v="1"/>
    <n v="0"/>
    <n v="10"/>
    <n v="6"/>
    <n v="3"/>
    <x v="6"/>
    <n v="7"/>
    <x v="7"/>
    <s v="Good"/>
    <x v="1"/>
    <x v="1"/>
    <x v="1"/>
    <x v="1"/>
    <x v="1"/>
  </r>
  <r>
    <x v="0"/>
    <s v="Yes"/>
    <x v="0"/>
    <n v="1"/>
    <s v="Male"/>
    <x v="0"/>
    <x v="5"/>
    <x v="3"/>
    <n v="8446"/>
    <n v="19"/>
    <x v="1"/>
    <n v="0"/>
    <n v="10"/>
    <n v="2"/>
    <n v="2"/>
    <x v="7"/>
    <n v="7"/>
    <x v="7"/>
    <s v="Bad"/>
    <x v="1"/>
    <x v="1"/>
    <x v="1"/>
    <x v="1"/>
    <x v="1"/>
  </r>
  <r>
    <x v="0"/>
    <s v="No"/>
    <x v="0"/>
    <n v="1"/>
    <s v="Male"/>
    <x v="2"/>
    <x v="5"/>
    <x v="2"/>
    <n v="5304"/>
    <n v="23"/>
    <x v="0"/>
    <n v="1"/>
    <n v="10"/>
    <n v="2"/>
    <n v="2"/>
    <x v="7"/>
    <n v="7"/>
    <x v="7"/>
    <s v="Bad"/>
    <x v="1"/>
    <x v="1"/>
    <x v="1"/>
    <x v="1"/>
    <x v="0"/>
  </r>
  <r>
    <x v="0"/>
    <s v="No"/>
    <x v="0"/>
    <n v="1"/>
    <s v="Male"/>
    <x v="2"/>
    <x v="5"/>
    <x v="2"/>
    <n v="6929"/>
    <n v="11"/>
    <x v="1"/>
    <n v="1"/>
    <n v="10"/>
    <n v="3"/>
    <n v="2"/>
    <x v="7"/>
    <n v="7"/>
    <x v="7"/>
    <s v="Bad"/>
    <x v="1"/>
    <x v="1"/>
    <x v="1"/>
    <x v="1"/>
    <x v="1"/>
  </r>
  <r>
    <x v="0"/>
    <s v="No"/>
    <x v="1"/>
    <n v="1"/>
    <s v="Male"/>
    <x v="1"/>
    <x v="2"/>
    <x v="3"/>
    <n v="2088"/>
    <n v="12"/>
    <x v="1"/>
    <n v="0"/>
    <n v="13"/>
    <n v="3"/>
    <n v="2"/>
    <x v="7"/>
    <n v="7"/>
    <x v="7"/>
    <s v="Bad"/>
    <x v="1"/>
    <x v="1"/>
    <x v="1"/>
    <x v="1"/>
    <x v="1"/>
  </r>
  <r>
    <x v="0"/>
    <s v="Yes"/>
    <x v="0"/>
    <n v="1"/>
    <s v="Male"/>
    <x v="2"/>
    <x v="5"/>
    <x v="2"/>
    <n v="5828"/>
    <n v="12"/>
    <x v="1"/>
    <n v="0"/>
    <n v="8"/>
    <n v="0"/>
    <n v="3"/>
    <x v="7"/>
    <n v="7"/>
    <x v="7"/>
    <s v="Good"/>
    <x v="1"/>
    <x v="1"/>
    <x v="1"/>
    <x v="1"/>
    <x v="1"/>
  </r>
  <r>
    <x v="0"/>
    <s v="No"/>
    <x v="1"/>
    <n v="1"/>
    <s v="Male"/>
    <x v="1"/>
    <x v="1"/>
    <x v="1"/>
    <n v="2559"/>
    <n v="13"/>
    <x v="1"/>
    <n v="0"/>
    <n v="8"/>
    <n v="0"/>
    <n v="3"/>
    <x v="7"/>
    <n v="7"/>
    <x v="7"/>
    <s v="Good"/>
    <x v="1"/>
    <x v="1"/>
    <x v="1"/>
    <x v="1"/>
    <x v="1"/>
  </r>
  <r>
    <x v="0"/>
    <s v="No"/>
    <x v="0"/>
    <n v="1"/>
    <s v="Male"/>
    <x v="2"/>
    <x v="5"/>
    <x v="2"/>
    <n v="5249"/>
    <n v="18"/>
    <x v="1"/>
    <n v="1"/>
    <n v="13"/>
    <n v="0"/>
    <n v="3"/>
    <x v="7"/>
    <n v="7"/>
    <x v="7"/>
    <s v="Good"/>
    <x v="1"/>
    <x v="1"/>
    <x v="1"/>
    <x v="1"/>
    <x v="1"/>
  </r>
  <r>
    <x v="0"/>
    <s v="Yes"/>
    <x v="1"/>
    <n v="1"/>
    <s v="Female"/>
    <x v="0"/>
    <x v="4"/>
    <x v="2"/>
    <n v="7553"/>
    <n v="12"/>
    <x v="1"/>
    <n v="0"/>
    <n v="9"/>
    <n v="1"/>
    <n v="3"/>
    <x v="7"/>
    <n v="7"/>
    <x v="7"/>
    <s v="Good"/>
    <x v="1"/>
    <x v="1"/>
    <x v="1"/>
    <x v="1"/>
    <x v="1"/>
  </r>
  <r>
    <x v="0"/>
    <s v="No"/>
    <x v="1"/>
    <n v="1"/>
    <s v="Male"/>
    <x v="2"/>
    <x v="2"/>
    <x v="0"/>
    <n v="5429"/>
    <n v="13"/>
    <x v="1"/>
    <n v="2"/>
    <n v="10"/>
    <n v="1"/>
    <n v="3"/>
    <x v="7"/>
    <n v="7"/>
    <x v="7"/>
    <s v="Good"/>
    <x v="1"/>
    <x v="1"/>
    <x v="1"/>
    <x v="1"/>
    <x v="1"/>
  </r>
  <r>
    <x v="0"/>
    <s v="No"/>
    <x v="0"/>
    <n v="1"/>
    <s v="Female"/>
    <x v="2"/>
    <x v="5"/>
    <x v="3"/>
    <n v="4779"/>
    <n v="20"/>
    <x v="0"/>
    <n v="0"/>
    <n v="8"/>
    <n v="2"/>
    <n v="3"/>
    <x v="7"/>
    <n v="7"/>
    <x v="7"/>
    <s v="Good"/>
    <x v="1"/>
    <x v="1"/>
    <x v="1"/>
    <x v="1"/>
    <x v="0"/>
  </r>
  <r>
    <x v="0"/>
    <s v="No"/>
    <x v="1"/>
    <n v="1"/>
    <s v="Female"/>
    <x v="1"/>
    <x v="2"/>
    <x v="0"/>
    <n v="4025"/>
    <n v="12"/>
    <x v="1"/>
    <n v="0"/>
    <n v="10"/>
    <n v="2"/>
    <n v="3"/>
    <x v="7"/>
    <n v="7"/>
    <x v="7"/>
    <s v="Good"/>
    <x v="1"/>
    <x v="1"/>
    <x v="1"/>
    <x v="1"/>
    <x v="1"/>
  </r>
  <r>
    <x v="0"/>
    <s v="No"/>
    <x v="0"/>
    <n v="1"/>
    <s v="Female"/>
    <x v="2"/>
    <x v="5"/>
    <x v="0"/>
    <n v="6439"/>
    <n v="14"/>
    <x v="1"/>
    <n v="1"/>
    <n v="18"/>
    <n v="2"/>
    <n v="3"/>
    <x v="7"/>
    <n v="7"/>
    <x v="7"/>
    <s v="Good"/>
    <x v="1"/>
    <x v="1"/>
    <x v="1"/>
    <x v="1"/>
    <x v="1"/>
  </r>
  <r>
    <x v="0"/>
    <s v="No"/>
    <x v="0"/>
    <n v="1"/>
    <s v="Male"/>
    <x v="2"/>
    <x v="5"/>
    <x v="0"/>
    <n v="5296"/>
    <n v="17"/>
    <x v="1"/>
    <n v="1"/>
    <n v="8"/>
    <n v="3"/>
    <n v="3"/>
    <x v="7"/>
    <n v="7"/>
    <x v="7"/>
    <s v="Good"/>
    <x v="1"/>
    <x v="1"/>
    <x v="1"/>
    <x v="1"/>
    <x v="1"/>
  </r>
  <r>
    <x v="0"/>
    <s v="Yes"/>
    <x v="0"/>
    <n v="1"/>
    <s v="Male"/>
    <x v="2"/>
    <x v="5"/>
    <x v="3"/>
    <n v="9355"/>
    <n v="18"/>
    <x v="1"/>
    <n v="0"/>
    <n v="8"/>
    <n v="5"/>
    <n v="3"/>
    <x v="7"/>
    <n v="7"/>
    <x v="7"/>
    <s v="Good"/>
    <x v="1"/>
    <x v="1"/>
    <x v="1"/>
    <x v="1"/>
    <x v="1"/>
  </r>
  <r>
    <x v="0"/>
    <s v="No"/>
    <x v="1"/>
    <n v="1"/>
    <s v="Female"/>
    <x v="0"/>
    <x v="4"/>
    <x v="3"/>
    <n v="8621"/>
    <n v="14"/>
    <x v="1"/>
    <n v="0"/>
    <n v="9"/>
    <n v="3"/>
    <n v="4"/>
    <x v="7"/>
    <n v="7"/>
    <x v="7"/>
    <s v="Good"/>
    <x v="1"/>
    <x v="1"/>
    <x v="1"/>
    <x v="1"/>
    <x v="1"/>
  </r>
  <r>
    <x v="0"/>
    <s v="Yes"/>
    <x v="0"/>
    <n v="1"/>
    <s v="Male"/>
    <x v="2"/>
    <x v="5"/>
    <x v="2"/>
    <n v="5160"/>
    <n v="16"/>
    <x v="1"/>
    <n v="0"/>
    <n v="12"/>
    <n v="3"/>
    <n v="2"/>
    <x v="8"/>
    <n v="7"/>
    <x v="7"/>
    <s v="Bad"/>
    <x v="1"/>
    <x v="1"/>
    <x v="1"/>
    <x v="1"/>
    <x v="1"/>
  </r>
  <r>
    <x v="0"/>
    <s v="No"/>
    <x v="1"/>
    <n v="1"/>
    <s v="Male"/>
    <x v="2"/>
    <x v="6"/>
    <x v="2"/>
    <n v="4724"/>
    <n v="13"/>
    <x v="1"/>
    <n v="1"/>
    <n v="9"/>
    <n v="3"/>
    <n v="3"/>
    <x v="8"/>
    <n v="7"/>
    <x v="7"/>
    <s v="Good"/>
    <x v="1"/>
    <x v="1"/>
    <x v="1"/>
    <x v="1"/>
    <x v="1"/>
  </r>
  <r>
    <x v="0"/>
    <s v="Yes"/>
    <x v="0"/>
    <n v="1"/>
    <s v="Female"/>
    <x v="1"/>
    <x v="3"/>
    <x v="0"/>
    <n v="2655"/>
    <n v="11"/>
    <x v="1"/>
    <n v="2"/>
    <n v="19"/>
    <n v="3"/>
    <n v="3"/>
    <x v="8"/>
    <n v="7"/>
    <x v="7"/>
    <s v="Good"/>
    <x v="1"/>
    <x v="1"/>
    <x v="1"/>
    <x v="1"/>
    <x v="1"/>
  </r>
  <r>
    <x v="0"/>
    <s v="No"/>
    <x v="2"/>
    <n v="1"/>
    <s v="Male"/>
    <x v="0"/>
    <x v="8"/>
    <x v="3"/>
    <n v="10725"/>
    <n v="15"/>
    <x v="1"/>
    <n v="1"/>
    <n v="16"/>
    <n v="1"/>
    <n v="4"/>
    <x v="8"/>
    <n v="7"/>
    <x v="7"/>
    <s v="Good"/>
    <x v="1"/>
    <x v="1"/>
    <x v="1"/>
    <x v="1"/>
    <x v="1"/>
  </r>
  <r>
    <x v="0"/>
    <s v="Yes"/>
    <x v="0"/>
    <n v="1"/>
    <s v="Male"/>
    <x v="2"/>
    <x v="5"/>
    <x v="2"/>
    <n v="5813"/>
    <n v="18"/>
    <x v="1"/>
    <n v="0"/>
    <n v="10"/>
    <n v="2"/>
    <n v="3"/>
    <x v="9"/>
    <n v="7"/>
    <x v="7"/>
    <s v="Good"/>
    <x v="1"/>
    <x v="1"/>
    <x v="1"/>
    <x v="1"/>
    <x v="1"/>
  </r>
  <r>
    <x v="0"/>
    <s v="No"/>
    <x v="1"/>
    <n v="1"/>
    <s v="Male"/>
    <x v="0"/>
    <x v="6"/>
    <x v="0"/>
    <n v="9434"/>
    <n v="15"/>
    <x v="1"/>
    <n v="1"/>
    <n v="10"/>
    <n v="2"/>
    <n v="3"/>
    <x v="9"/>
    <n v="7"/>
    <x v="7"/>
    <s v="Good"/>
    <x v="1"/>
    <x v="1"/>
    <x v="1"/>
    <x v="1"/>
    <x v="1"/>
  </r>
  <r>
    <x v="0"/>
    <s v="No"/>
    <x v="2"/>
    <n v="1"/>
    <s v="Male"/>
    <x v="4"/>
    <x v="0"/>
    <x v="2"/>
    <n v="16437"/>
    <n v="21"/>
    <x v="0"/>
    <n v="0"/>
    <n v="21"/>
    <n v="2"/>
    <n v="3"/>
    <x v="26"/>
    <n v="7"/>
    <x v="7"/>
    <s v="Good"/>
    <x v="1"/>
    <x v="1"/>
    <x v="1"/>
    <x v="1"/>
    <x v="0"/>
  </r>
  <r>
    <x v="0"/>
    <s v="No"/>
    <x v="1"/>
    <n v="1"/>
    <s v="Male"/>
    <x v="4"/>
    <x v="0"/>
    <x v="2"/>
    <n v="17099"/>
    <n v="15"/>
    <x v="1"/>
    <n v="1"/>
    <n v="26"/>
    <n v="2"/>
    <n v="2"/>
    <x v="8"/>
    <n v="8"/>
    <x v="7"/>
    <s v="Bad"/>
    <x v="1"/>
    <x v="1"/>
    <x v="1"/>
    <x v="1"/>
    <x v="1"/>
  </r>
  <r>
    <x v="0"/>
    <s v="No"/>
    <x v="1"/>
    <n v="1"/>
    <s v="Male"/>
    <x v="2"/>
    <x v="6"/>
    <x v="3"/>
    <n v="4434"/>
    <n v="13"/>
    <x v="1"/>
    <n v="1"/>
    <n v="10"/>
    <n v="3"/>
    <n v="2"/>
    <x v="8"/>
    <n v="8"/>
    <x v="7"/>
    <s v="Bad"/>
    <x v="1"/>
    <x v="1"/>
    <x v="1"/>
    <x v="1"/>
    <x v="1"/>
  </r>
  <r>
    <x v="0"/>
    <s v="No"/>
    <x v="1"/>
    <n v="1"/>
    <s v="Male"/>
    <x v="2"/>
    <x v="6"/>
    <x v="2"/>
    <n v="6162"/>
    <n v="22"/>
    <x v="0"/>
    <n v="1"/>
    <n v="9"/>
    <n v="3"/>
    <n v="3"/>
    <x v="8"/>
    <n v="8"/>
    <x v="7"/>
    <s v="Good"/>
    <x v="1"/>
    <x v="1"/>
    <x v="1"/>
    <x v="1"/>
    <x v="0"/>
  </r>
  <r>
    <x v="0"/>
    <s v="No"/>
    <x v="0"/>
    <n v="1"/>
    <s v="Female"/>
    <x v="0"/>
    <x v="5"/>
    <x v="1"/>
    <n v="8412"/>
    <n v="11"/>
    <x v="1"/>
    <n v="0"/>
    <n v="10"/>
    <n v="3"/>
    <n v="3"/>
    <x v="8"/>
    <n v="8"/>
    <x v="7"/>
    <s v="Good"/>
    <x v="1"/>
    <x v="1"/>
    <x v="1"/>
    <x v="1"/>
    <x v="1"/>
  </r>
  <r>
    <x v="0"/>
    <s v="No"/>
    <x v="0"/>
    <n v="1"/>
    <s v="Male"/>
    <x v="2"/>
    <x v="5"/>
    <x v="3"/>
    <n v="9924"/>
    <n v="11"/>
    <x v="1"/>
    <n v="1"/>
    <n v="10"/>
    <n v="3"/>
    <n v="3"/>
    <x v="8"/>
    <n v="8"/>
    <x v="7"/>
    <s v="Good"/>
    <x v="1"/>
    <x v="1"/>
    <x v="1"/>
    <x v="1"/>
    <x v="1"/>
  </r>
  <r>
    <x v="0"/>
    <s v="No"/>
    <x v="1"/>
    <n v="1"/>
    <s v="Female"/>
    <x v="2"/>
    <x v="2"/>
    <x v="2"/>
    <n v="6674"/>
    <n v="11"/>
    <x v="1"/>
    <n v="3"/>
    <n v="10"/>
    <n v="6"/>
    <n v="3"/>
    <x v="8"/>
    <n v="8"/>
    <x v="7"/>
    <s v="Good"/>
    <x v="1"/>
    <x v="1"/>
    <x v="1"/>
    <x v="1"/>
    <x v="1"/>
  </r>
  <r>
    <x v="0"/>
    <s v="Yes"/>
    <x v="0"/>
    <n v="1"/>
    <s v="Female"/>
    <x v="0"/>
    <x v="5"/>
    <x v="2"/>
    <n v="7654"/>
    <n v="18"/>
    <x v="1"/>
    <n v="2"/>
    <n v="9"/>
    <n v="3"/>
    <n v="4"/>
    <x v="8"/>
    <n v="8"/>
    <x v="7"/>
    <s v="Good"/>
    <x v="1"/>
    <x v="1"/>
    <x v="1"/>
    <x v="1"/>
    <x v="1"/>
  </r>
  <r>
    <x v="0"/>
    <s v="No"/>
    <x v="1"/>
    <n v="1"/>
    <s v="Male"/>
    <x v="1"/>
    <x v="1"/>
    <x v="1"/>
    <n v="3143"/>
    <n v="19"/>
    <x v="1"/>
    <n v="1"/>
    <n v="14"/>
    <n v="1"/>
    <n v="3"/>
    <x v="9"/>
    <n v="8"/>
    <x v="7"/>
    <s v="Good"/>
    <x v="1"/>
    <x v="1"/>
    <x v="1"/>
    <x v="1"/>
    <x v="1"/>
  </r>
  <r>
    <x v="0"/>
    <s v="No"/>
    <x v="1"/>
    <n v="1"/>
    <s v="Male"/>
    <x v="0"/>
    <x v="4"/>
    <x v="3"/>
    <n v="7441"/>
    <n v="12"/>
    <x v="1"/>
    <n v="3"/>
    <n v="10"/>
    <n v="4"/>
    <n v="3"/>
    <x v="9"/>
    <n v="8"/>
    <x v="7"/>
    <s v="Good"/>
    <x v="1"/>
    <x v="1"/>
    <x v="1"/>
    <x v="1"/>
    <x v="1"/>
  </r>
  <r>
    <x v="0"/>
    <s v="No"/>
    <x v="1"/>
    <n v="1"/>
    <s v="Female"/>
    <x v="2"/>
    <x v="1"/>
    <x v="3"/>
    <n v="5433"/>
    <n v="12"/>
    <x v="1"/>
    <n v="1"/>
    <n v="11"/>
    <n v="2"/>
    <n v="3"/>
    <x v="13"/>
    <n v="8"/>
    <x v="7"/>
    <s v="Good"/>
    <x v="1"/>
    <x v="1"/>
    <x v="1"/>
    <x v="1"/>
    <x v="1"/>
  </r>
  <r>
    <x v="0"/>
    <s v="No"/>
    <x v="1"/>
    <n v="1"/>
    <s v="Female"/>
    <x v="0"/>
    <x v="6"/>
    <x v="2"/>
    <n v="8858"/>
    <n v="11"/>
    <x v="1"/>
    <n v="0"/>
    <n v="15"/>
    <n v="2"/>
    <n v="2"/>
    <x v="23"/>
    <n v="8"/>
    <x v="7"/>
    <s v="Bad"/>
    <x v="1"/>
    <x v="1"/>
    <x v="1"/>
    <x v="1"/>
    <x v="1"/>
  </r>
  <r>
    <x v="0"/>
    <s v="Yes"/>
    <x v="1"/>
    <n v="1"/>
    <s v="Male"/>
    <x v="1"/>
    <x v="1"/>
    <x v="2"/>
    <n v="2686"/>
    <n v="13"/>
    <x v="1"/>
    <n v="0"/>
    <n v="10"/>
    <n v="2"/>
    <n v="2"/>
    <x v="9"/>
    <n v="9"/>
    <x v="7"/>
    <s v="Bad"/>
    <x v="1"/>
    <x v="1"/>
    <x v="1"/>
    <x v="1"/>
    <x v="1"/>
  </r>
  <r>
    <x v="0"/>
    <s v="No"/>
    <x v="0"/>
    <n v="1"/>
    <s v="Female"/>
    <x v="0"/>
    <x v="5"/>
    <x v="2"/>
    <n v="9419"/>
    <n v="12"/>
    <x v="1"/>
    <n v="1"/>
    <n v="12"/>
    <n v="2"/>
    <n v="3"/>
    <x v="9"/>
    <n v="9"/>
    <x v="7"/>
    <s v="Good"/>
    <x v="1"/>
    <x v="1"/>
    <x v="1"/>
    <x v="1"/>
    <x v="1"/>
  </r>
  <r>
    <x v="0"/>
    <s v="No"/>
    <x v="0"/>
    <n v="1"/>
    <s v="Female"/>
    <x v="4"/>
    <x v="0"/>
    <x v="3"/>
    <n v="16835"/>
    <n v="23"/>
    <x v="0"/>
    <n v="0"/>
    <n v="37"/>
    <n v="2"/>
    <n v="3"/>
    <x v="9"/>
    <n v="9"/>
    <x v="7"/>
    <s v="Good"/>
    <x v="1"/>
    <x v="1"/>
    <x v="1"/>
    <x v="1"/>
    <x v="0"/>
  </r>
  <r>
    <x v="0"/>
    <s v="No"/>
    <x v="0"/>
    <n v="1"/>
    <s v="Female"/>
    <x v="0"/>
    <x v="5"/>
    <x v="1"/>
    <n v="7637"/>
    <n v="11"/>
    <x v="1"/>
    <n v="0"/>
    <n v="28"/>
    <n v="3"/>
    <n v="2"/>
    <x v="26"/>
    <n v="16"/>
    <x v="7"/>
    <s v="Bad"/>
    <x v="1"/>
    <x v="1"/>
    <x v="1"/>
    <x v="1"/>
    <x v="1"/>
  </r>
  <r>
    <x v="0"/>
    <s v="No"/>
    <x v="0"/>
    <n v="1"/>
    <s v="Male"/>
    <x v="2"/>
    <x v="5"/>
    <x v="0"/>
    <n v="4568"/>
    <n v="20"/>
    <x v="0"/>
    <n v="0"/>
    <n v="10"/>
    <n v="2"/>
    <n v="3"/>
    <x v="8"/>
    <n v="5"/>
    <x v="8"/>
    <s v="Good"/>
    <x v="1"/>
    <x v="1"/>
    <x v="1"/>
    <x v="1"/>
    <x v="0"/>
  </r>
  <r>
    <x v="0"/>
    <s v="No"/>
    <x v="1"/>
    <n v="1"/>
    <s v="Female"/>
    <x v="0"/>
    <x v="0"/>
    <x v="3"/>
    <n v="11878"/>
    <n v="11"/>
    <x v="1"/>
    <n v="2"/>
    <n v="12"/>
    <n v="2"/>
    <n v="3"/>
    <x v="9"/>
    <n v="6"/>
    <x v="8"/>
    <s v="Good"/>
    <x v="1"/>
    <x v="1"/>
    <x v="1"/>
    <x v="1"/>
    <x v="1"/>
  </r>
  <r>
    <x v="0"/>
    <s v="No"/>
    <x v="1"/>
    <n v="1"/>
    <s v="Female"/>
    <x v="4"/>
    <x v="7"/>
    <x v="3"/>
    <n v="16704"/>
    <n v="11"/>
    <x v="1"/>
    <n v="0"/>
    <n v="21"/>
    <n v="2"/>
    <n v="3"/>
    <x v="26"/>
    <n v="6"/>
    <x v="8"/>
    <s v="Good"/>
    <x v="1"/>
    <x v="1"/>
    <x v="1"/>
    <x v="1"/>
    <x v="1"/>
  </r>
  <r>
    <x v="0"/>
    <s v="No"/>
    <x v="1"/>
    <n v="1"/>
    <s v="Female"/>
    <x v="2"/>
    <x v="4"/>
    <x v="2"/>
    <n v="5855"/>
    <n v="11"/>
    <x v="1"/>
    <n v="2"/>
    <n v="10"/>
    <n v="2"/>
    <n v="1"/>
    <x v="8"/>
    <n v="7"/>
    <x v="8"/>
    <s v="Bad"/>
    <x v="1"/>
    <x v="1"/>
    <x v="1"/>
    <x v="1"/>
    <x v="1"/>
  </r>
  <r>
    <x v="0"/>
    <s v="No"/>
    <x v="1"/>
    <n v="1"/>
    <s v="Female"/>
    <x v="2"/>
    <x v="4"/>
    <x v="2"/>
    <n v="4878"/>
    <n v="13"/>
    <x v="1"/>
    <n v="1"/>
    <n v="10"/>
    <n v="6"/>
    <n v="3"/>
    <x v="8"/>
    <n v="7"/>
    <x v="8"/>
    <s v="Good"/>
    <x v="1"/>
    <x v="1"/>
    <x v="1"/>
    <x v="1"/>
    <x v="1"/>
  </r>
  <r>
    <x v="0"/>
    <s v="No"/>
    <x v="1"/>
    <n v="1"/>
    <s v="Male"/>
    <x v="2"/>
    <x v="2"/>
    <x v="0"/>
    <n v="3491"/>
    <n v="13"/>
    <x v="1"/>
    <n v="3"/>
    <n v="10"/>
    <n v="4"/>
    <n v="2"/>
    <x v="9"/>
    <n v="7"/>
    <x v="8"/>
    <s v="Bad"/>
    <x v="1"/>
    <x v="1"/>
    <x v="1"/>
    <x v="1"/>
    <x v="1"/>
  </r>
  <r>
    <x v="0"/>
    <s v="No"/>
    <x v="0"/>
    <n v="1"/>
    <s v="Female"/>
    <x v="2"/>
    <x v="5"/>
    <x v="1"/>
    <n v="8381"/>
    <n v="20"/>
    <x v="0"/>
    <n v="0"/>
    <n v="18"/>
    <n v="2"/>
    <n v="4"/>
    <x v="23"/>
    <n v="7"/>
    <x v="8"/>
    <s v="Good"/>
    <x v="1"/>
    <x v="1"/>
    <x v="1"/>
    <x v="1"/>
    <x v="0"/>
  </r>
  <r>
    <x v="0"/>
    <s v="No"/>
    <x v="1"/>
    <n v="1"/>
    <s v="Male"/>
    <x v="4"/>
    <x v="7"/>
    <x v="3"/>
    <n v="16598"/>
    <n v="12"/>
    <x v="1"/>
    <n v="0"/>
    <n v="35"/>
    <n v="2"/>
    <n v="2"/>
    <x v="8"/>
    <n v="8"/>
    <x v="8"/>
    <s v="Bad"/>
    <x v="1"/>
    <x v="1"/>
    <x v="1"/>
    <x v="1"/>
    <x v="1"/>
  </r>
  <r>
    <x v="0"/>
    <s v="No"/>
    <x v="1"/>
    <n v="1"/>
    <s v="Male"/>
    <x v="2"/>
    <x v="1"/>
    <x v="2"/>
    <n v="4661"/>
    <n v="13"/>
    <x v="1"/>
    <n v="0"/>
    <n v="9"/>
    <n v="4"/>
    <n v="3"/>
    <x v="8"/>
    <n v="8"/>
    <x v="8"/>
    <s v="Good"/>
    <x v="1"/>
    <x v="1"/>
    <x v="1"/>
    <x v="1"/>
    <x v="1"/>
  </r>
  <r>
    <x v="0"/>
    <s v="No"/>
    <x v="0"/>
    <n v="1"/>
    <s v="Male"/>
    <x v="0"/>
    <x v="5"/>
    <x v="0"/>
    <n v="9241"/>
    <n v="12"/>
    <x v="1"/>
    <n v="0"/>
    <n v="10"/>
    <n v="3"/>
    <n v="3"/>
    <x v="9"/>
    <n v="8"/>
    <x v="8"/>
    <s v="Good"/>
    <x v="1"/>
    <x v="1"/>
    <x v="1"/>
    <x v="1"/>
    <x v="1"/>
  </r>
  <r>
    <x v="0"/>
    <s v="No"/>
    <x v="1"/>
    <n v="1"/>
    <s v="Male"/>
    <x v="2"/>
    <x v="1"/>
    <x v="1"/>
    <n v="5003"/>
    <n v="21"/>
    <x v="0"/>
    <n v="0"/>
    <n v="10"/>
    <n v="6"/>
    <n v="3"/>
    <x v="9"/>
    <n v="8"/>
    <x v="8"/>
    <s v="Good"/>
    <x v="1"/>
    <x v="1"/>
    <x v="1"/>
    <x v="1"/>
    <x v="0"/>
  </r>
  <r>
    <x v="0"/>
    <s v="No"/>
    <x v="1"/>
    <n v="1"/>
    <s v="Male"/>
    <x v="1"/>
    <x v="1"/>
    <x v="2"/>
    <n v="2691"/>
    <n v="12"/>
    <x v="1"/>
    <n v="1"/>
    <n v="10"/>
    <n v="4"/>
    <n v="2"/>
    <x v="9"/>
    <n v="9"/>
    <x v="8"/>
    <s v="Bad"/>
    <x v="1"/>
    <x v="1"/>
    <x v="1"/>
    <x v="1"/>
    <x v="1"/>
  </r>
  <r>
    <x v="0"/>
    <s v="No"/>
    <x v="1"/>
    <n v="1"/>
    <s v="Female"/>
    <x v="0"/>
    <x v="6"/>
    <x v="1"/>
    <n v="9980"/>
    <n v="11"/>
    <x v="1"/>
    <n v="1"/>
    <n v="10"/>
    <n v="1"/>
    <n v="3"/>
    <x v="9"/>
    <n v="9"/>
    <x v="8"/>
    <s v="Good"/>
    <x v="1"/>
    <x v="1"/>
    <x v="1"/>
    <x v="1"/>
    <x v="1"/>
  </r>
  <r>
    <x v="0"/>
    <s v="No"/>
    <x v="1"/>
    <n v="1"/>
    <s v="Female"/>
    <x v="0"/>
    <x v="6"/>
    <x v="0"/>
    <n v="8943"/>
    <n v="24"/>
    <x v="0"/>
    <n v="1"/>
    <n v="10"/>
    <n v="2"/>
    <n v="3"/>
    <x v="9"/>
    <n v="9"/>
    <x v="8"/>
    <s v="Good"/>
    <x v="1"/>
    <x v="1"/>
    <x v="1"/>
    <x v="1"/>
    <x v="0"/>
  </r>
  <r>
    <x v="0"/>
    <s v="No"/>
    <x v="1"/>
    <n v="1"/>
    <s v="Female"/>
    <x v="1"/>
    <x v="1"/>
    <x v="2"/>
    <n v="2929"/>
    <n v="12"/>
    <x v="1"/>
    <n v="0"/>
    <n v="10"/>
    <n v="3"/>
    <n v="3"/>
    <x v="9"/>
    <n v="9"/>
    <x v="8"/>
    <s v="Good"/>
    <x v="1"/>
    <x v="1"/>
    <x v="1"/>
    <x v="1"/>
    <x v="1"/>
  </r>
  <r>
    <x v="0"/>
    <s v="No"/>
    <x v="0"/>
    <n v="1"/>
    <s v="Male"/>
    <x v="0"/>
    <x v="5"/>
    <x v="0"/>
    <n v="7083"/>
    <n v="14"/>
    <x v="1"/>
    <n v="0"/>
    <n v="10"/>
    <n v="3"/>
    <n v="3"/>
    <x v="9"/>
    <n v="9"/>
    <x v="8"/>
    <s v="Good"/>
    <x v="1"/>
    <x v="1"/>
    <x v="1"/>
    <x v="1"/>
    <x v="1"/>
  </r>
  <r>
    <x v="0"/>
    <s v="No"/>
    <x v="0"/>
    <n v="1"/>
    <s v="Male"/>
    <x v="2"/>
    <x v="5"/>
    <x v="2"/>
    <n v="7847"/>
    <n v="17"/>
    <x v="1"/>
    <n v="1"/>
    <n v="10"/>
    <n v="3"/>
    <n v="3"/>
    <x v="9"/>
    <n v="9"/>
    <x v="8"/>
    <s v="Good"/>
    <x v="1"/>
    <x v="1"/>
    <x v="1"/>
    <x v="1"/>
    <x v="1"/>
  </r>
  <r>
    <x v="0"/>
    <s v="No"/>
    <x v="1"/>
    <n v="1"/>
    <s v="Female"/>
    <x v="0"/>
    <x v="7"/>
    <x v="2"/>
    <n v="13458"/>
    <n v="12"/>
    <x v="1"/>
    <n v="0"/>
    <n v="15"/>
    <n v="1"/>
    <n v="3"/>
    <x v="12"/>
    <n v="14"/>
    <x v="8"/>
    <s v="Good"/>
    <x v="1"/>
    <x v="1"/>
    <x v="1"/>
    <x v="1"/>
    <x v="1"/>
  </r>
  <r>
    <x v="0"/>
    <s v="No"/>
    <x v="0"/>
    <n v="1"/>
    <s v="Male"/>
    <x v="0"/>
    <x v="5"/>
    <x v="2"/>
    <n v="9980"/>
    <n v="14"/>
    <x v="1"/>
    <n v="0"/>
    <n v="10"/>
    <n v="3"/>
    <n v="2"/>
    <x v="9"/>
    <n v="3"/>
    <x v="9"/>
    <s v="Bad"/>
    <x v="1"/>
    <x v="1"/>
    <x v="0"/>
    <x v="0"/>
    <x v="1"/>
  </r>
  <r>
    <x v="0"/>
    <s v="No"/>
    <x v="1"/>
    <n v="1"/>
    <s v="Female"/>
    <x v="2"/>
    <x v="2"/>
    <x v="2"/>
    <n v="2406"/>
    <n v="11"/>
    <x v="1"/>
    <n v="0"/>
    <n v="10"/>
    <n v="2"/>
    <n v="3"/>
    <x v="9"/>
    <n v="3"/>
    <x v="9"/>
    <s v="Good"/>
    <x v="1"/>
    <x v="1"/>
    <x v="0"/>
    <x v="0"/>
    <x v="1"/>
  </r>
  <r>
    <x v="0"/>
    <s v="Yes"/>
    <x v="1"/>
    <n v="1"/>
    <s v="Male"/>
    <x v="0"/>
    <x v="0"/>
    <x v="3"/>
    <n v="11849"/>
    <n v="12"/>
    <x v="1"/>
    <n v="1"/>
    <n v="10"/>
    <n v="2"/>
    <n v="2"/>
    <x v="9"/>
    <n v="7"/>
    <x v="9"/>
    <s v="Bad"/>
    <x v="1"/>
    <x v="1"/>
    <x v="1"/>
    <x v="1"/>
    <x v="1"/>
  </r>
  <r>
    <x v="0"/>
    <s v="No"/>
    <x v="0"/>
    <n v="1"/>
    <s v="Male"/>
    <x v="0"/>
    <x v="5"/>
    <x v="2"/>
    <n v="10793"/>
    <n v="18"/>
    <x v="1"/>
    <n v="1"/>
    <n v="13"/>
    <n v="5"/>
    <n v="3"/>
    <x v="17"/>
    <n v="7"/>
    <x v="9"/>
    <s v="Good"/>
    <x v="1"/>
    <x v="1"/>
    <x v="1"/>
    <x v="1"/>
    <x v="1"/>
  </r>
  <r>
    <x v="0"/>
    <s v="No"/>
    <x v="0"/>
    <n v="1"/>
    <s v="Female"/>
    <x v="0"/>
    <x v="5"/>
    <x v="0"/>
    <n v="9852"/>
    <n v="19"/>
    <x v="1"/>
    <n v="1"/>
    <n v="10"/>
    <n v="5"/>
    <n v="2"/>
    <x v="9"/>
    <n v="8"/>
    <x v="9"/>
    <s v="Bad"/>
    <x v="1"/>
    <x v="1"/>
    <x v="1"/>
    <x v="1"/>
    <x v="1"/>
  </r>
  <r>
    <x v="0"/>
    <s v="Yes"/>
    <x v="1"/>
    <n v="1"/>
    <s v="Male"/>
    <x v="1"/>
    <x v="1"/>
    <x v="1"/>
    <n v="3348"/>
    <n v="11"/>
    <x v="1"/>
    <n v="0"/>
    <n v="10"/>
    <n v="3"/>
    <n v="3"/>
    <x v="9"/>
    <n v="8"/>
    <x v="9"/>
    <s v="Good"/>
    <x v="1"/>
    <x v="1"/>
    <x v="1"/>
    <x v="1"/>
    <x v="1"/>
  </r>
  <r>
    <x v="0"/>
    <s v="No"/>
    <x v="0"/>
    <n v="1"/>
    <s v="Female"/>
    <x v="2"/>
    <x v="5"/>
    <x v="1"/>
    <n v="6125"/>
    <n v="12"/>
    <x v="1"/>
    <n v="0"/>
    <n v="10"/>
    <n v="6"/>
    <n v="4"/>
    <x v="9"/>
    <n v="8"/>
    <x v="9"/>
    <s v="Good"/>
    <x v="1"/>
    <x v="1"/>
    <x v="1"/>
    <x v="1"/>
    <x v="1"/>
  </r>
  <r>
    <x v="0"/>
    <s v="Yes"/>
    <x v="0"/>
    <n v="1"/>
    <s v="Male"/>
    <x v="0"/>
    <x v="5"/>
    <x v="2"/>
    <n v="10400"/>
    <n v="11"/>
    <x v="1"/>
    <n v="0"/>
    <n v="14"/>
    <n v="2"/>
    <n v="2"/>
    <x v="23"/>
    <n v="8"/>
    <x v="9"/>
    <s v="Bad"/>
    <x v="1"/>
    <x v="1"/>
    <x v="1"/>
    <x v="1"/>
    <x v="1"/>
  </r>
  <r>
    <x v="0"/>
    <s v="No"/>
    <x v="1"/>
    <n v="1"/>
    <s v="Female"/>
    <x v="3"/>
    <x v="0"/>
    <x v="0"/>
    <n v="19033"/>
    <n v="14"/>
    <x v="1"/>
    <n v="1"/>
    <n v="21"/>
    <n v="2"/>
    <n v="3"/>
    <x v="16"/>
    <n v="8"/>
    <x v="9"/>
    <s v="Good"/>
    <x v="1"/>
    <x v="1"/>
    <x v="1"/>
    <x v="1"/>
    <x v="1"/>
  </r>
  <r>
    <x v="0"/>
    <s v="Yes"/>
    <x v="1"/>
    <n v="1"/>
    <s v="Male"/>
    <x v="1"/>
    <x v="2"/>
    <x v="0"/>
    <n v="2339"/>
    <n v="11"/>
    <x v="1"/>
    <n v="1"/>
    <n v="14"/>
    <n v="4"/>
    <n v="1"/>
    <x v="9"/>
    <n v="9"/>
    <x v="9"/>
    <s v="Bad"/>
    <x v="1"/>
    <x v="1"/>
    <x v="1"/>
    <x v="1"/>
    <x v="1"/>
  </r>
  <r>
    <x v="0"/>
    <s v="No"/>
    <x v="1"/>
    <n v="1"/>
    <s v="Male"/>
    <x v="0"/>
    <x v="4"/>
    <x v="1"/>
    <n v="10673"/>
    <n v="13"/>
    <x v="1"/>
    <n v="1"/>
    <n v="21"/>
    <n v="5"/>
    <n v="2"/>
    <x v="9"/>
    <n v="9"/>
    <x v="9"/>
    <s v="Bad"/>
    <x v="1"/>
    <x v="1"/>
    <x v="1"/>
    <x v="1"/>
    <x v="1"/>
  </r>
  <r>
    <x v="0"/>
    <s v="No"/>
    <x v="0"/>
    <n v="1"/>
    <s v="Male"/>
    <x v="0"/>
    <x v="5"/>
    <x v="0"/>
    <n v="7596"/>
    <n v="13"/>
    <x v="1"/>
    <n v="2"/>
    <n v="10"/>
    <n v="2"/>
    <n v="3"/>
    <x v="9"/>
    <n v="9"/>
    <x v="9"/>
    <s v="Good"/>
    <x v="1"/>
    <x v="1"/>
    <x v="1"/>
    <x v="1"/>
    <x v="1"/>
  </r>
  <r>
    <x v="0"/>
    <s v="No"/>
    <x v="1"/>
    <n v="1"/>
    <s v="Male"/>
    <x v="2"/>
    <x v="1"/>
    <x v="2"/>
    <n v="3697"/>
    <n v="14"/>
    <x v="1"/>
    <n v="2"/>
    <n v="12"/>
    <n v="3"/>
    <n v="3"/>
    <x v="9"/>
    <n v="9"/>
    <x v="9"/>
    <s v="Good"/>
    <x v="1"/>
    <x v="1"/>
    <x v="1"/>
    <x v="1"/>
    <x v="1"/>
  </r>
  <r>
    <x v="0"/>
    <s v="No"/>
    <x v="1"/>
    <n v="1"/>
    <s v="Female"/>
    <x v="2"/>
    <x v="2"/>
    <x v="0"/>
    <n v="6323"/>
    <n v="11"/>
    <x v="1"/>
    <n v="1"/>
    <n v="10"/>
    <n v="2"/>
    <n v="4"/>
    <x v="9"/>
    <n v="9"/>
    <x v="9"/>
    <s v="Good"/>
    <x v="1"/>
    <x v="1"/>
    <x v="1"/>
    <x v="1"/>
    <x v="1"/>
  </r>
  <r>
    <x v="0"/>
    <s v="No"/>
    <x v="1"/>
    <n v="1"/>
    <s v="Female"/>
    <x v="3"/>
    <x v="0"/>
    <x v="0"/>
    <n v="19187"/>
    <n v="14"/>
    <x v="1"/>
    <n v="1"/>
    <n v="23"/>
    <n v="5"/>
    <n v="3"/>
    <x v="27"/>
    <n v="9"/>
    <x v="9"/>
    <s v="Good"/>
    <x v="1"/>
    <x v="1"/>
    <x v="1"/>
    <x v="1"/>
    <x v="1"/>
  </r>
  <r>
    <x v="0"/>
    <s v="No"/>
    <x v="0"/>
    <n v="1"/>
    <s v="Female"/>
    <x v="4"/>
    <x v="5"/>
    <x v="2"/>
    <n v="12031"/>
    <n v="11"/>
    <x v="1"/>
    <n v="1"/>
    <n v="21"/>
    <n v="2"/>
    <n v="2"/>
    <x v="16"/>
    <n v="9"/>
    <x v="9"/>
    <s v="Bad"/>
    <x v="1"/>
    <x v="1"/>
    <x v="1"/>
    <x v="1"/>
    <x v="1"/>
  </r>
  <r>
    <x v="0"/>
    <s v="No"/>
    <x v="1"/>
    <n v="1"/>
    <s v="Male"/>
    <x v="0"/>
    <x v="2"/>
    <x v="1"/>
    <n v="5210"/>
    <n v="18"/>
    <x v="1"/>
    <n v="1"/>
    <n v="24"/>
    <n v="2"/>
    <n v="3"/>
    <x v="22"/>
    <n v="9"/>
    <x v="9"/>
    <s v="Good"/>
    <x v="1"/>
    <x v="1"/>
    <x v="1"/>
    <x v="1"/>
    <x v="1"/>
  </r>
  <r>
    <x v="0"/>
    <s v="No"/>
    <x v="2"/>
    <n v="1"/>
    <s v="Male"/>
    <x v="3"/>
    <x v="0"/>
    <x v="3"/>
    <n v="18200"/>
    <n v="11"/>
    <x v="1"/>
    <n v="1"/>
    <n v="32"/>
    <n v="2"/>
    <n v="3"/>
    <x v="31"/>
    <n v="5"/>
    <x v="10"/>
    <s v="Good"/>
    <x v="1"/>
    <x v="1"/>
    <x v="1"/>
    <x v="1"/>
    <x v="1"/>
  </r>
  <r>
    <x v="0"/>
    <s v="Yes"/>
    <x v="0"/>
    <n v="1"/>
    <s v="Female"/>
    <x v="2"/>
    <x v="5"/>
    <x v="3"/>
    <n v="4599"/>
    <n v="23"/>
    <x v="0"/>
    <n v="0"/>
    <n v="16"/>
    <n v="2"/>
    <n v="4"/>
    <x v="12"/>
    <n v="9"/>
    <x v="10"/>
    <s v="Good"/>
    <x v="1"/>
    <x v="1"/>
    <x v="1"/>
    <x v="1"/>
    <x v="0"/>
  </r>
  <r>
    <x v="0"/>
    <s v="No"/>
    <x v="1"/>
    <n v="1"/>
    <s v="Male"/>
    <x v="2"/>
    <x v="4"/>
    <x v="2"/>
    <n v="4152"/>
    <n v="19"/>
    <x v="1"/>
    <n v="3"/>
    <n v="11"/>
    <n v="3"/>
    <n v="3"/>
    <x v="13"/>
    <n v="10"/>
    <x v="10"/>
    <s v="Good"/>
    <x v="1"/>
    <x v="1"/>
    <x v="1"/>
    <x v="1"/>
    <x v="1"/>
  </r>
  <r>
    <x v="0"/>
    <s v="No"/>
    <x v="1"/>
    <n v="1"/>
    <s v="Female"/>
    <x v="0"/>
    <x v="4"/>
    <x v="0"/>
    <n v="10388"/>
    <n v="11"/>
    <x v="1"/>
    <n v="1"/>
    <n v="16"/>
    <n v="3"/>
    <n v="2"/>
    <x v="14"/>
    <n v="10"/>
    <x v="10"/>
    <s v="Bad"/>
    <x v="1"/>
    <x v="1"/>
    <x v="1"/>
    <x v="1"/>
    <x v="1"/>
  </r>
  <r>
    <x v="0"/>
    <s v="No"/>
    <x v="1"/>
    <n v="1"/>
    <s v="Female"/>
    <x v="2"/>
    <x v="1"/>
    <x v="0"/>
    <n v="4449"/>
    <n v="15"/>
    <x v="1"/>
    <n v="2"/>
    <n v="15"/>
    <n v="2"/>
    <n v="3"/>
    <x v="17"/>
    <n v="11"/>
    <x v="10"/>
    <s v="Good"/>
    <x v="1"/>
    <x v="1"/>
    <x v="1"/>
    <x v="1"/>
    <x v="1"/>
  </r>
  <r>
    <x v="0"/>
    <s v="No"/>
    <x v="1"/>
    <n v="1"/>
    <s v="Male"/>
    <x v="1"/>
    <x v="2"/>
    <x v="2"/>
    <n v="3210"/>
    <n v="11"/>
    <x v="1"/>
    <n v="1"/>
    <n v="16"/>
    <n v="4"/>
    <n v="3"/>
    <x v="12"/>
    <n v="13"/>
    <x v="10"/>
    <s v="Good"/>
    <x v="1"/>
    <x v="1"/>
    <x v="1"/>
    <x v="1"/>
    <x v="1"/>
  </r>
  <r>
    <x v="0"/>
    <s v="Yes"/>
    <x v="0"/>
    <n v="1"/>
    <s v="Male"/>
    <x v="0"/>
    <x v="5"/>
    <x v="0"/>
    <n v="10609"/>
    <n v="11"/>
    <x v="1"/>
    <n v="0"/>
    <n v="17"/>
    <n v="2"/>
    <n v="1"/>
    <x v="23"/>
    <n v="1"/>
    <x v="11"/>
    <s v="Bad"/>
    <x v="1"/>
    <x v="1"/>
    <x v="0"/>
    <x v="0"/>
    <x v="1"/>
  </r>
  <r>
    <x v="0"/>
    <s v="No"/>
    <x v="0"/>
    <n v="1"/>
    <s v="Male"/>
    <x v="2"/>
    <x v="5"/>
    <x v="3"/>
    <n v="6151"/>
    <n v="13"/>
    <x v="1"/>
    <n v="0"/>
    <n v="19"/>
    <n v="4"/>
    <n v="3"/>
    <x v="27"/>
    <n v="2"/>
    <x v="11"/>
    <s v="Good"/>
    <x v="1"/>
    <x v="1"/>
    <x v="0"/>
    <x v="0"/>
    <x v="1"/>
  </r>
  <r>
    <x v="0"/>
    <s v="No"/>
    <x v="0"/>
    <n v="1"/>
    <s v="Female"/>
    <x v="4"/>
    <x v="5"/>
    <x v="0"/>
    <n v="13770"/>
    <n v="12"/>
    <x v="1"/>
    <n v="2"/>
    <n v="28"/>
    <n v="2"/>
    <n v="2"/>
    <x v="21"/>
    <n v="2"/>
    <x v="11"/>
    <s v="Bad"/>
    <x v="1"/>
    <x v="1"/>
    <x v="0"/>
    <x v="0"/>
    <x v="1"/>
  </r>
  <r>
    <x v="0"/>
    <s v="No"/>
    <x v="1"/>
    <n v="1"/>
    <s v="Male"/>
    <x v="4"/>
    <x v="4"/>
    <x v="3"/>
    <n v="13503"/>
    <n v="22"/>
    <x v="0"/>
    <n v="1"/>
    <n v="22"/>
    <n v="3"/>
    <n v="2"/>
    <x v="21"/>
    <n v="3"/>
    <x v="11"/>
    <s v="Bad"/>
    <x v="1"/>
    <x v="1"/>
    <x v="0"/>
    <x v="0"/>
    <x v="0"/>
  </r>
  <r>
    <x v="0"/>
    <s v="No"/>
    <x v="1"/>
    <n v="1"/>
    <s v="Female"/>
    <x v="0"/>
    <x v="4"/>
    <x v="0"/>
    <n v="10938"/>
    <n v="25"/>
    <x v="0"/>
    <n v="0"/>
    <n v="20"/>
    <n v="1"/>
    <n v="3"/>
    <x v="27"/>
    <n v="6"/>
    <x v="11"/>
    <s v="Good"/>
    <x v="1"/>
    <x v="1"/>
    <x v="1"/>
    <x v="1"/>
    <x v="0"/>
  </r>
  <r>
    <x v="0"/>
    <s v="No"/>
    <x v="1"/>
    <n v="1"/>
    <s v="Female"/>
    <x v="4"/>
    <x v="6"/>
    <x v="2"/>
    <n v="12742"/>
    <n v="16"/>
    <x v="1"/>
    <n v="1"/>
    <n v="21"/>
    <n v="3"/>
    <n v="3"/>
    <x v="26"/>
    <n v="6"/>
    <x v="11"/>
    <s v="Good"/>
    <x v="1"/>
    <x v="1"/>
    <x v="1"/>
    <x v="1"/>
    <x v="1"/>
  </r>
  <r>
    <x v="0"/>
    <s v="Yes"/>
    <x v="1"/>
    <n v="1"/>
    <s v="Male"/>
    <x v="4"/>
    <x v="4"/>
    <x v="2"/>
    <n v="12169"/>
    <n v="11"/>
    <x v="1"/>
    <n v="3"/>
    <n v="21"/>
    <n v="4"/>
    <n v="3"/>
    <x v="15"/>
    <n v="7"/>
    <x v="11"/>
    <s v="Good"/>
    <x v="1"/>
    <x v="1"/>
    <x v="1"/>
    <x v="1"/>
    <x v="1"/>
  </r>
  <r>
    <x v="0"/>
    <s v="No"/>
    <x v="1"/>
    <n v="1"/>
    <s v="Male"/>
    <x v="4"/>
    <x v="0"/>
    <x v="1"/>
    <n v="16823"/>
    <n v="11"/>
    <x v="1"/>
    <n v="1"/>
    <n v="22"/>
    <n v="3"/>
    <n v="3"/>
    <x v="27"/>
    <n v="7"/>
    <x v="11"/>
    <s v="Good"/>
    <x v="1"/>
    <x v="1"/>
    <x v="1"/>
    <x v="1"/>
    <x v="1"/>
  </r>
  <r>
    <x v="0"/>
    <s v="No"/>
    <x v="1"/>
    <n v="1"/>
    <s v="Female"/>
    <x v="2"/>
    <x v="4"/>
    <x v="0"/>
    <n v="4553"/>
    <n v="11"/>
    <x v="1"/>
    <n v="0"/>
    <n v="20"/>
    <n v="4"/>
    <n v="3"/>
    <x v="16"/>
    <n v="7"/>
    <x v="11"/>
    <s v="Good"/>
    <x v="1"/>
    <x v="1"/>
    <x v="1"/>
    <x v="1"/>
    <x v="1"/>
  </r>
  <r>
    <x v="0"/>
    <s v="No"/>
    <x v="1"/>
    <n v="1"/>
    <s v="Male"/>
    <x v="4"/>
    <x v="0"/>
    <x v="2"/>
    <n v="16792"/>
    <n v="23"/>
    <x v="0"/>
    <n v="1"/>
    <n v="22"/>
    <n v="1"/>
    <n v="3"/>
    <x v="16"/>
    <n v="8"/>
    <x v="11"/>
    <s v="Good"/>
    <x v="1"/>
    <x v="1"/>
    <x v="1"/>
    <x v="1"/>
    <x v="0"/>
  </r>
  <r>
    <x v="0"/>
    <s v="No"/>
    <x v="0"/>
    <n v="1"/>
    <s v="Male"/>
    <x v="4"/>
    <x v="5"/>
    <x v="1"/>
    <n v="13341"/>
    <n v="12"/>
    <x v="1"/>
    <n v="0"/>
    <n v="21"/>
    <n v="3"/>
    <n v="3"/>
    <x v="16"/>
    <n v="8"/>
    <x v="11"/>
    <s v="Good"/>
    <x v="1"/>
    <x v="1"/>
    <x v="1"/>
    <x v="1"/>
    <x v="1"/>
  </r>
  <r>
    <x v="0"/>
    <s v="No"/>
    <x v="1"/>
    <n v="1"/>
    <s v="Female"/>
    <x v="3"/>
    <x v="0"/>
    <x v="1"/>
    <n v="19566"/>
    <n v="11"/>
    <x v="1"/>
    <n v="0"/>
    <n v="33"/>
    <n v="5"/>
    <n v="1"/>
    <x v="32"/>
    <n v="8"/>
    <x v="11"/>
    <s v="Bad"/>
    <x v="1"/>
    <x v="1"/>
    <x v="1"/>
    <x v="1"/>
    <x v="1"/>
  </r>
  <r>
    <x v="0"/>
    <s v="No"/>
    <x v="1"/>
    <n v="1"/>
    <s v="Male"/>
    <x v="4"/>
    <x v="0"/>
    <x v="1"/>
    <n v="17068"/>
    <n v="14"/>
    <x v="1"/>
    <n v="0"/>
    <n v="21"/>
    <n v="3"/>
    <n v="3"/>
    <x v="26"/>
    <n v="9"/>
    <x v="11"/>
    <s v="Good"/>
    <x v="1"/>
    <x v="1"/>
    <x v="1"/>
    <x v="1"/>
    <x v="1"/>
  </r>
  <r>
    <x v="0"/>
    <s v="No"/>
    <x v="1"/>
    <n v="1"/>
    <s v="Male"/>
    <x v="0"/>
    <x v="4"/>
    <x v="2"/>
    <n v="10322"/>
    <n v="20"/>
    <x v="0"/>
    <n v="1"/>
    <n v="14"/>
    <n v="6"/>
    <n v="3"/>
    <x v="13"/>
    <n v="10"/>
    <x v="11"/>
    <s v="Good"/>
    <x v="1"/>
    <x v="1"/>
    <x v="1"/>
    <x v="1"/>
    <x v="0"/>
  </r>
  <r>
    <x v="0"/>
    <s v="No"/>
    <x v="0"/>
    <n v="1"/>
    <s v="Male"/>
    <x v="3"/>
    <x v="0"/>
    <x v="3"/>
    <n v="19847"/>
    <n v="24"/>
    <x v="0"/>
    <n v="1"/>
    <n v="31"/>
    <n v="5"/>
    <n v="2"/>
    <x v="32"/>
    <n v="10"/>
    <x v="11"/>
    <s v="Bad"/>
    <x v="1"/>
    <x v="1"/>
    <x v="1"/>
    <x v="1"/>
    <x v="0"/>
  </r>
  <r>
    <x v="0"/>
    <s v="No"/>
    <x v="1"/>
    <n v="1"/>
    <s v="Female"/>
    <x v="2"/>
    <x v="4"/>
    <x v="0"/>
    <n v="6377"/>
    <n v="20"/>
    <x v="0"/>
    <n v="3"/>
    <n v="15"/>
    <n v="0"/>
    <n v="3"/>
    <x v="25"/>
    <n v="11"/>
    <x v="11"/>
    <s v="Good"/>
    <x v="1"/>
    <x v="1"/>
    <x v="1"/>
    <x v="1"/>
    <x v="0"/>
  </r>
  <r>
    <x v="0"/>
    <s v="No"/>
    <x v="0"/>
    <n v="1"/>
    <s v="Female"/>
    <x v="4"/>
    <x v="5"/>
    <x v="2"/>
    <n v="13320"/>
    <n v="18"/>
    <x v="1"/>
    <n v="1"/>
    <n v="23"/>
    <n v="2"/>
    <n v="3"/>
    <x v="25"/>
    <n v="11"/>
    <x v="11"/>
    <s v="Good"/>
    <x v="1"/>
    <x v="1"/>
    <x v="1"/>
    <x v="1"/>
    <x v="1"/>
  </r>
  <r>
    <x v="0"/>
    <s v="No"/>
    <x v="1"/>
    <n v="1"/>
    <s v="Male"/>
    <x v="2"/>
    <x v="1"/>
    <x v="2"/>
    <n v="6646"/>
    <n v="13"/>
    <x v="1"/>
    <n v="0"/>
    <n v="17"/>
    <n v="3"/>
    <n v="3"/>
    <x v="18"/>
    <n v="11"/>
    <x v="11"/>
    <s v="Good"/>
    <x v="1"/>
    <x v="1"/>
    <x v="1"/>
    <x v="1"/>
    <x v="1"/>
  </r>
  <r>
    <x v="0"/>
    <s v="No"/>
    <x v="0"/>
    <n v="1"/>
    <s v="Female"/>
    <x v="2"/>
    <x v="5"/>
    <x v="3"/>
    <n v="5228"/>
    <n v="11"/>
    <x v="1"/>
    <n v="0"/>
    <n v="13"/>
    <n v="2"/>
    <n v="3"/>
    <x v="17"/>
    <n v="12"/>
    <x v="11"/>
    <s v="Good"/>
    <x v="1"/>
    <x v="1"/>
    <x v="1"/>
    <x v="1"/>
    <x v="1"/>
  </r>
  <r>
    <x v="0"/>
    <s v="No"/>
    <x v="0"/>
    <n v="1"/>
    <s v="Male"/>
    <x v="2"/>
    <x v="5"/>
    <x v="2"/>
    <n v="5406"/>
    <n v="24"/>
    <x v="0"/>
    <n v="1"/>
    <n v="15"/>
    <n v="4"/>
    <n v="2"/>
    <x v="12"/>
    <n v="12"/>
    <x v="11"/>
    <s v="Bad"/>
    <x v="1"/>
    <x v="1"/>
    <x v="1"/>
    <x v="1"/>
    <x v="0"/>
  </r>
  <r>
    <x v="0"/>
    <s v="No"/>
    <x v="0"/>
    <n v="1"/>
    <s v="Female"/>
    <x v="4"/>
    <x v="0"/>
    <x v="1"/>
    <n v="16595"/>
    <n v="16"/>
    <x v="1"/>
    <n v="1"/>
    <n v="22"/>
    <n v="2"/>
    <n v="3"/>
    <x v="15"/>
    <n v="16"/>
    <x v="11"/>
    <s v="Good"/>
    <x v="1"/>
    <x v="1"/>
    <x v="1"/>
    <x v="1"/>
    <x v="1"/>
  </r>
  <r>
    <x v="0"/>
    <s v="No"/>
    <x v="0"/>
    <n v="1"/>
    <s v="Male"/>
    <x v="2"/>
    <x v="5"/>
    <x v="0"/>
    <n v="4907"/>
    <n v="25"/>
    <x v="0"/>
    <n v="0"/>
    <n v="20"/>
    <n v="3"/>
    <n v="3"/>
    <x v="16"/>
    <n v="16"/>
    <x v="11"/>
    <s v="Good"/>
    <x v="1"/>
    <x v="1"/>
    <x v="1"/>
    <x v="1"/>
    <x v="0"/>
  </r>
  <r>
    <x v="0"/>
    <s v="No"/>
    <x v="1"/>
    <n v="1"/>
    <s v="Male"/>
    <x v="3"/>
    <x v="0"/>
    <x v="2"/>
    <n v="19232"/>
    <n v="11"/>
    <x v="1"/>
    <n v="0"/>
    <n v="22"/>
    <n v="3"/>
    <n v="3"/>
    <x v="21"/>
    <n v="17"/>
    <x v="11"/>
    <s v="Good"/>
    <x v="1"/>
    <x v="1"/>
    <x v="1"/>
    <x v="1"/>
    <x v="1"/>
  </r>
  <r>
    <x v="0"/>
    <s v="No"/>
    <x v="1"/>
    <n v="1"/>
    <s v="Male"/>
    <x v="3"/>
    <x v="0"/>
    <x v="0"/>
    <n v="19999"/>
    <n v="14"/>
    <x v="1"/>
    <n v="1"/>
    <n v="34"/>
    <n v="5"/>
    <n v="3"/>
    <x v="20"/>
    <n v="18"/>
    <x v="11"/>
    <s v="Good"/>
    <x v="1"/>
    <x v="1"/>
    <x v="1"/>
    <x v="1"/>
    <x v="1"/>
  </r>
  <r>
    <x v="0"/>
    <s v="No"/>
    <x v="2"/>
    <n v="1"/>
    <s v="Male"/>
    <x v="3"/>
    <x v="0"/>
    <x v="2"/>
    <n v="19141"/>
    <n v="15"/>
    <x v="1"/>
    <n v="3"/>
    <n v="23"/>
    <n v="2"/>
    <n v="2"/>
    <x v="26"/>
    <n v="6"/>
    <x v="12"/>
    <s v="Bad"/>
    <x v="1"/>
    <x v="1"/>
    <x v="1"/>
    <x v="1"/>
    <x v="1"/>
  </r>
  <r>
    <x v="0"/>
    <s v="No"/>
    <x v="1"/>
    <n v="1"/>
    <s v="Female"/>
    <x v="1"/>
    <x v="2"/>
    <x v="1"/>
    <n v="3034"/>
    <n v="12"/>
    <x v="1"/>
    <n v="1"/>
    <n v="18"/>
    <n v="2"/>
    <n v="2"/>
    <x v="15"/>
    <n v="7"/>
    <x v="12"/>
    <s v="Bad"/>
    <x v="1"/>
    <x v="1"/>
    <x v="1"/>
    <x v="1"/>
    <x v="1"/>
  </r>
  <r>
    <x v="0"/>
    <s v="No"/>
    <x v="0"/>
    <n v="1"/>
    <s v="Female"/>
    <x v="0"/>
    <x v="5"/>
    <x v="2"/>
    <n v="8865"/>
    <n v="12"/>
    <x v="1"/>
    <n v="0"/>
    <n v="23"/>
    <n v="2"/>
    <n v="3"/>
    <x v="27"/>
    <n v="7"/>
    <x v="12"/>
    <s v="Good"/>
    <x v="1"/>
    <x v="1"/>
    <x v="1"/>
    <x v="1"/>
    <x v="1"/>
  </r>
  <r>
    <x v="0"/>
    <s v="No"/>
    <x v="1"/>
    <n v="1"/>
    <s v="Female"/>
    <x v="4"/>
    <x v="7"/>
    <x v="2"/>
    <n v="17328"/>
    <n v="19"/>
    <x v="1"/>
    <n v="0"/>
    <n v="29"/>
    <n v="3"/>
    <n v="2"/>
    <x v="16"/>
    <n v="7"/>
    <x v="12"/>
    <s v="Bad"/>
    <x v="1"/>
    <x v="1"/>
    <x v="1"/>
    <x v="1"/>
    <x v="1"/>
  </r>
  <r>
    <x v="0"/>
    <s v="No"/>
    <x v="0"/>
    <n v="1"/>
    <s v="Male"/>
    <x v="3"/>
    <x v="0"/>
    <x v="3"/>
    <n v="19833"/>
    <n v="14"/>
    <x v="1"/>
    <n v="0"/>
    <n v="21"/>
    <n v="3"/>
    <n v="2"/>
    <x v="26"/>
    <n v="8"/>
    <x v="12"/>
    <s v="Bad"/>
    <x v="1"/>
    <x v="1"/>
    <x v="1"/>
    <x v="1"/>
    <x v="1"/>
  </r>
  <r>
    <x v="0"/>
    <s v="No"/>
    <x v="1"/>
    <n v="1"/>
    <s v="Male"/>
    <x v="4"/>
    <x v="4"/>
    <x v="0"/>
    <n v="11245"/>
    <n v="15"/>
    <x v="1"/>
    <n v="1"/>
    <n v="32"/>
    <n v="3"/>
    <n v="3"/>
    <x v="33"/>
    <n v="8"/>
    <x v="12"/>
    <s v="Good"/>
    <x v="1"/>
    <x v="1"/>
    <x v="1"/>
    <x v="1"/>
    <x v="1"/>
  </r>
  <r>
    <x v="0"/>
    <s v="No"/>
    <x v="1"/>
    <n v="1"/>
    <s v="Male"/>
    <x v="3"/>
    <x v="7"/>
    <x v="3"/>
    <n v="19665"/>
    <n v="12"/>
    <x v="1"/>
    <n v="0"/>
    <n v="29"/>
    <n v="3"/>
    <n v="3"/>
    <x v="21"/>
    <n v="10"/>
    <x v="12"/>
    <s v="Good"/>
    <x v="1"/>
    <x v="1"/>
    <x v="1"/>
    <x v="1"/>
    <x v="1"/>
  </r>
  <r>
    <x v="0"/>
    <s v="No"/>
    <x v="1"/>
    <n v="1"/>
    <s v="Female"/>
    <x v="0"/>
    <x v="4"/>
    <x v="1"/>
    <n v="7484"/>
    <n v="20"/>
    <x v="0"/>
    <n v="0"/>
    <n v="23"/>
    <n v="1"/>
    <n v="2"/>
    <x v="17"/>
    <n v="12"/>
    <x v="12"/>
    <s v="Bad"/>
    <x v="1"/>
    <x v="1"/>
    <x v="1"/>
    <x v="1"/>
    <x v="0"/>
  </r>
  <r>
    <x v="0"/>
    <s v="No"/>
    <x v="1"/>
    <n v="1"/>
    <s v="Female"/>
    <x v="0"/>
    <x v="4"/>
    <x v="0"/>
    <n v="10096"/>
    <n v="13"/>
    <x v="1"/>
    <n v="3"/>
    <n v="17"/>
    <n v="2"/>
    <n v="3"/>
    <x v="18"/>
    <n v="14"/>
    <x v="12"/>
    <s v="Good"/>
    <x v="1"/>
    <x v="1"/>
    <x v="1"/>
    <x v="1"/>
    <x v="1"/>
  </r>
  <r>
    <x v="0"/>
    <s v="No"/>
    <x v="1"/>
    <n v="1"/>
    <s v="Male"/>
    <x v="0"/>
    <x v="4"/>
    <x v="0"/>
    <n v="8633"/>
    <n v="23"/>
    <x v="0"/>
    <n v="0"/>
    <n v="25"/>
    <n v="3"/>
    <n v="3"/>
    <x v="18"/>
    <n v="14"/>
    <x v="12"/>
    <s v="Good"/>
    <x v="1"/>
    <x v="1"/>
    <x v="1"/>
    <x v="1"/>
    <x v="0"/>
  </r>
  <r>
    <x v="0"/>
    <s v="No"/>
    <x v="1"/>
    <n v="1"/>
    <s v="Female"/>
    <x v="3"/>
    <x v="7"/>
    <x v="0"/>
    <n v="18740"/>
    <n v="12"/>
    <x v="1"/>
    <n v="1"/>
    <n v="29"/>
    <n v="2"/>
    <n v="2"/>
    <x v="34"/>
    <n v="3"/>
    <x v="13"/>
    <s v="Bad"/>
    <x v="1"/>
    <x v="1"/>
    <x v="0"/>
    <x v="0"/>
    <x v="1"/>
  </r>
  <r>
    <x v="0"/>
    <s v="No"/>
    <x v="1"/>
    <n v="1"/>
    <s v="Male"/>
    <x v="4"/>
    <x v="0"/>
    <x v="1"/>
    <n v="17665"/>
    <n v="17"/>
    <x v="1"/>
    <n v="1"/>
    <n v="23"/>
    <n v="3"/>
    <n v="3"/>
    <x v="21"/>
    <n v="6"/>
    <x v="13"/>
    <s v="Good"/>
    <x v="1"/>
    <x v="1"/>
    <x v="1"/>
    <x v="1"/>
    <x v="1"/>
  </r>
  <r>
    <x v="0"/>
    <s v="No"/>
    <x v="1"/>
    <n v="1"/>
    <s v="Male"/>
    <x v="4"/>
    <x v="7"/>
    <x v="2"/>
    <n v="14411"/>
    <n v="13"/>
    <x v="1"/>
    <n v="0"/>
    <n v="32"/>
    <n v="2"/>
    <n v="3"/>
    <x v="31"/>
    <n v="6"/>
    <x v="13"/>
    <s v="Good"/>
    <x v="1"/>
    <x v="1"/>
    <x v="1"/>
    <x v="1"/>
    <x v="1"/>
  </r>
  <r>
    <x v="0"/>
    <s v="No"/>
    <x v="1"/>
    <n v="1"/>
    <s v="Male"/>
    <x v="0"/>
    <x v="4"/>
    <x v="2"/>
    <n v="10124"/>
    <n v="14"/>
    <x v="1"/>
    <n v="1"/>
    <n v="24"/>
    <n v="3"/>
    <n v="1"/>
    <x v="16"/>
    <n v="8"/>
    <x v="13"/>
    <s v="Bad"/>
    <x v="1"/>
    <x v="1"/>
    <x v="1"/>
    <x v="1"/>
    <x v="1"/>
  </r>
  <r>
    <x v="0"/>
    <s v="Yes"/>
    <x v="0"/>
    <n v="1"/>
    <s v="Male"/>
    <x v="4"/>
    <x v="5"/>
    <x v="1"/>
    <n v="13758"/>
    <n v="12"/>
    <x v="1"/>
    <n v="0"/>
    <n v="22"/>
    <n v="2"/>
    <n v="2"/>
    <x v="26"/>
    <n v="9"/>
    <x v="13"/>
    <s v="Bad"/>
    <x v="1"/>
    <x v="1"/>
    <x v="1"/>
    <x v="1"/>
    <x v="1"/>
  </r>
  <r>
    <x v="0"/>
    <s v="No"/>
    <x v="1"/>
    <n v="1"/>
    <s v="Male"/>
    <x v="3"/>
    <x v="0"/>
    <x v="2"/>
    <n v="19272"/>
    <n v="15"/>
    <x v="1"/>
    <n v="1"/>
    <n v="21"/>
    <n v="2"/>
    <n v="3"/>
    <x v="26"/>
    <n v="9"/>
    <x v="13"/>
    <s v="Good"/>
    <x v="1"/>
    <x v="1"/>
    <x v="1"/>
    <x v="1"/>
    <x v="1"/>
  </r>
  <r>
    <x v="0"/>
    <s v="No"/>
    <x v="1"/>
    <n v="1"/>
    <s v="Male"/>
    <x v="2"/>
    <x v="1"/>
    <x v="2"/>
    <n v="4541"/>
    <n v="25"/>
    <x v="0"/>
    <n v="0"/>
    <n v="20"/>
    <n v="3"/>
    <n v="3"/>
    <x v="16"/>
    <n v="11"/>
    <x v="13"/>
    <s v="Good"/>
    <x v="1"/>
    <x v="1"/>
    <x v="1"/>
    <x v="1"/>
    <x v="0"/>
  </r>
  <r>
    <x v="0"/>
    <s v="No"/>
    <x v="0"/>
    <n v="1"/>
    <s v="Female"/>
    <x v="0"/>
    <x v="5"/>
    <x v="1"/>
    <n v="10266"/>
    <n v="19"/>
    <x v="1"/>
    <n v="0"/>
    <n v="22"/>
    <n v="5"/>
    <n v="4"/>
    <x v="15"/>
    <n v="13"/>
    <x v="13"/>
    <s v="Good"/>
    <x v="1"/>
    <x v="1"/>
    <x v="1"/>
    <x v="1"/>
    <x v="1"/>
  </r>
  <r>
    <x v="0"/>
    <s v="No"/>
    <x v="0"/>
    <n v="1"/>
    <s v="Female"/>
    <x v="0"/>
    <x v="5"/>
    <x v="0"/>
    <n v="10447"/>
    <n v="13"/>
    <x v="1"/>
    <n v="1"/>
    <n v="23"/>
    <n v="3"/>
    <n v="4"/>
    <x v="21"/>
    <n v="14"/>
    <x v="13"/>
    <s v="Good"/>
    <x v="1"/>
    <x v="1"/>
    <x v="1"/>
    <x v="1"/>
    <x v="1"/>
  </r>
  <r>
    <x v="0"/>
    <s v="Yes"/>
    <x v="1"/>
    <n v="1"/>
    <s v="Male"/>
    <x v="3"/>
    <x v="7"/>
    <x v="3"/>
    <n v="19246"/>
    <n v="12"/>
    <x v="1"/>
    <n v="0"/>
    <n v="40"/>
    <n v="2"/>
    <n v="3"/>
    <x v="19"/>
    <n v="15"/>
    <x v="13"/>
    <s v="Good"/>
    <x v="1"/>
    <x v="1"/>
    <x v="1"/>
    <x v="1"/>
    <x v="1"/>
  </r>
  <r>
    <x v="0"/>
    <s v="Yes"/>
    <x v="0"/>
    <n v="1"/>
    <s v="Male"/>
    <x v="4"/>
    <x v="5"/>
    <x v="0"/>
    <n v="12936"/>
    <n v="11"/>
    <x v="1"/>
    <n v="0"/>
    <n v="25"/>
    <n v="3"/>
    <n v="1"/>
    <x v="35"/>
    <n v="5"/>
    <x v="14"/>
    <s v="Bad"/>
    <x v="1"/>
    <x v="1"/>
    <x v="1"/>
    <x v="1"/>
    <x v="1"/>
  </r>
  <r>
    <x v="0"/>
    <s v="No"/>
    <x v="1"/>
    <n v="1"/>
    <s v="Male"/>
    <x v="4"/>
    <x v="7"/>
    <x v="1"/>
    <n v="16328"/>
    <n v="13"/>
    <x v="1"/>
    <n v="1"/>
    <n v="24"/>
    <n v="1"/>
    <n v="4"/>
    <x v="16"/>
    <n v="6"/>
    <x v="14"/>
    <s v="Good"/>
    <x v="1"/>
    <x v="1"/>
    <x v="1"/>
    <x v="1"/>
    <x v="1"/>
  </r>
  <r>
    <x v="0"/>
    <s v="No"/>
    <x v="1"/>
    <n v="1"/>
    <s v="Male"/>
    <x v="4"/>
    <x v="0"/>
    <x v="1"/>
    <n v="17924"/>
    <n v="11"/>
    <x v="1"/>
    <n v="1"/>
    <n v="31"/>
    <n v="3"/>
    <n v="3"/>
    <x v="19"/>
    <n v="6"/>
    <x v="14"/>
    <s v="Good"/>
    <x v="1"/>
    <x v="1"/>
    <x v="1"/>
    <x v="1"/>
    <x v="1"/>
  </r>
  <r>
    <x v="0"/>
    <s v="No"/>
    <x v="1"/>
    <n v="1"/>
    <s v="Male"/>
    <x v="3"/>
    <x v="0"/>
    <x v="2"/>
    <n v="18430"/>
    <n v="13"/>
    <x v="1"/>
    <n v="1"/>
    <n v="24"/>
    <n v="4"/>
    <n v="2"/>
    <x v="22"/>
    <n v="7"/>
    <x v="14"/>
    <s v="Bad"/>
    <x v="1"/>
    <x v="1"/>
    <x v="1"/>
    <x v="1"/>
    <x v="1"/>
  </r>
  <r>
    <x v="0"/>
    <s v="No"/>
    <x v="0"/>
    <n v="1"/>
    <s v="Male"/>
    <x v="4"/>
    <x v="0"/>
    <x v="3"/>
    <n v="16291"/>
    <n v="22"/>
    <x v="0"/>
    <n v="1"/>
    <n v="37"/>
    <n v="0"/>
    <n v="2"/>
    <x v="14"/>
    <n v="9"/>
    <x v="14"/>
    <s v="Bad"/>
    <x v="1"/>
    <x v="1"/>
    <x v="1"/>
    <x v="1"/>
    <x v="0"/>
  </r>
  <r>
    <x v="0"/>
    <s v="No"/>
    <x v="1"/>
    <n v="1"/>
    <s v="Male"/>
    <x v="3"/>
    <x v="0"/>
    <x v="1"/>
    <n v="19190"/>
    <n v="14"/>
    <x v="1"/>
    <n v="2"/>
    <n v="26"/>
    <n v="4"/>
    <n v="2"/>
    <x v="30"/>
    <n v="9"/>
    <x v="14"/>
    <s v="Bad"/>
    <x v="1"/>
    <x v="1"/>
    <x v="1"/>
    <x v="1"/>
    <x v="1"/>
  </r>
  <r>
    <x v="0"/>
    <s v="No"/>
    <x v="1"/>
    <n v="1"/>
    <s v="Female"/>
    <x v="0"/>
    <x v="6"/>
    <x v="3"/>
    <n v="10333"/>
    <n v="12"/>
    <x v="1"/>
    <n v="1"/>
    <n v="28"/>
    <n v="4"/>
    <n v="3"/>
    <x v="21"/>
    <n v="11"/>
    <x v="14"/>
    <s v="Good"/>
    <x v="1"/>
    <x v="1"/>
    <x v="1"/>
    <x v="1"/>
    <x v="1"/>
  </r>
  <r>
    <x v="0"/>
    <s v="No"/>
    <x v="1"/>
    <n v="1"/>
    <s v="Female"/>
    <x v="0"/>
    <x v="6"/>
    <x v="0"/>
    <n v="10435"/>
    <n v="13"/>
    <x v="1"/>
    <n v="2"/>
    <n v="18"/>
    <n v="2"/>
    <n v="3"/>
    <x v="15"/>
    <n v="15"/>
    <x v="14"/>
    <s v="Good"/>
    <x v="1"/>
    <x v="1"/>
    <x v="1"/>
    <x v="1"/>
    <x v="1"/>
  </r>
  <r>
    <x v="0"/>
    <s v="No"/>
    <x v="1"/>
    <n v="1"/>
    <s v="Male"/>
    <x v="0"/>
    <x v="4"/>
    <x v="0"/>
    <n v="10748"/>
    <n v="23"/>
    <x v="0"/>
    <n v="1"/>
    <n v="25"/>
    <n v="3"/>
    <n v="2"/>
    <x v="35"/>
    <n v="15"/>
    <x v="14"/>
    <s v="Bad"/>
    <x v="1"/>
    <x v="1"/>
    <x v="1"/>
    <x v="1"/>
    <x v="0"/>
  </r>
  <r>
    <x v="0"/>
    <s v="No"/>
    <x v="0"/>
    <n v="1"/>
    <s v="Female"/>
    <x v="0"/>
    <x v="5"/>
    <x v="2"/>
    <n v="10231"/>
    <n v="14"/>
    <x v="1"/>
    <n v="0"/>
    <n v="23"/>
    <n v="3"/>
    <n v="4"/>
    <x v="26"/>
    <n v="7"/>
    <x v="15"/>
    <s v="Good"/>
    <x v="1"/>
    <x v="1"/>
    <x v="1"/>
    <x v="1"/>
    <x v="1"/>
  </r>
  <r>
    <x v="0"/>
    <s v="No"/>
    <x v="0"/>
    <n v="1"/>
    <s v="Male"/>
    <x v="3"/>
    <x v="0"/>
    <x v="0"/>
    <n v="19068"/>
    <n v="18"/>
    <x v="1"/>
    <n v="0"/>
    <n v="33"/>
    <n v="2"/>
    <n v="4"/>
    <x v="20"/>
    <n v="7"/>
    <x v="15"/>
    <s v="Good"/>
    <x v="1"/>
    <x v="1"/>
    <x v="1"/>
    <x v="1"/>
    <x v="1"/>
  </r>
  <r>
    <x v="0"/>
    <s v="No"/>
    <x v="1"/>
    <n v="1"/>
    <s v="Female"/>
    <x v="4"/>
    <x v="0"/>
    <x v="3"/>
    <n v="17123"/>
    <n v="13"/>
    <x v="1"/>
    <n v="2"/>
    <n v="21"/>
    <n v="4"/>
    <n v="3"/>
    <x v="27"/>
    <n v="9"/>
    <x v="15"/>
    <s v="Good"/>
    <x v="1"/>
    <x v="1"/>
    <x v="1"/>
    <x v="1"/>
    <x v="1"/>
  </r>
  <r>
    <x v="0"/>
    <s v="No"/>
    <x v="1"/>
    <n v="1"/>
    <s v="Male"/>
    <x v="4"/>
    <x v="4"/>
    <x v="3"/>
    <n v="13577"/>
    <n v="15"/>
    <x v="1"/>
    <n v="1"/>
    <n v="34"/>
    <n v="3"/>
    <n v="3"/>
    <x v="20"/>
    <n v="9"/>
    <x v="15"/>
    <s v="Good"/>
    <x v="1"/>
    <x v="1"/>
    <x v="1"/>
    <x v="1"/>
    <x v="1"/>
  </r>
  <r>
    <x v="0"/>
    <s v="No"/>
    <x v="1"/>
    <n v="1"/>
    <s v="Male"/>
    <x v="4"/>
    <x v="0"/>
    <x v="0"/>
    <n v="17046"/>
    <n v="15"/>
    <x v="1"/>
    <n v="1"/>
    <n v="28"/>
    <n v="2"/>
    <n v="3"/>
    <x v="34"/>
    <n v="10"/>
    <x v="15"/>
    <s v="Good"/>
    <x v="1"/>
    <x v="1"/>
    <x v="1"/>
    <x v="1"/>
    <x v="1"/>
  </r>
  <r>
    <x v="0"/>
    <s v="Yes"/>
    <x v="1"/>
    <n v="1"/>
    <s v="Female"/>
    <x v="0"/>
    <x v="4"/>
    <x v="2"/>
    <n v="10312"/>
    <n v="12"/>
    <x v="1"/>
    <n v="1"/>
    <n v="40"/>
    <n v="3"/>
    <n v="2"/>
    <x v="36"/>
    <n v="10"/>
    <x v="15"/>
    <s v="Bad"/>
    <x v="1"/>
    <x v="1"/>
    <x v="1"/>
    <x v="1"/>
    <x v="1"/>
  </r>
  <r>
    <x v="0"/>
    <s v="Yes"/>
    <x v="1"/>
    <n v="1"/>
    <s v="Female"/>
    <x v="1"/>
    <x v="2"/>
    <x v="1"/>
    <n v="2743"/>
    <n v="16"/>
    <x v="1"/>
    <n v="0"/>
    <n v="18"/>
    <n v="1"/>
    <n v="3"/>
    <x v="18"/>
    <n v="13"/>
    <x v="15"/>
    <s v="Good"/>
    <x v="1"/>
    <x v="1"/>
    <x v="1"/>
    <x v="1"/>
    <x v="1"/>
  </r>
  <r>
    <x v="0"/>
    <s v="No"/>
    <x v="0"/>
    <n v="1"/>
    <s v="Male"/>
    <x v="4"/>
    <x v="0"/>
    <x v="0"/>
    <n v="14852"/>
    <n v="13"/>
    <x v="1"/>
    <n v="1"/>
    <n v="22"/>
    <n v="3"/>
    <n v="4"/>
    <x v="18"/>
    <n v="13"/>
    <x v="15"/>
    <s v="Good"/>
    <x v="1"/>
    <x v="1"/>
    <x v="1"/>
    <x v="1"/>
    <x v="1"/>
  </r>
  <r>
    <x v="0"/>
    <s v="No"/>
    <x v="0"/>
    <n v="1"/>
    <s v="Female"/>
    <x v="0"/>
    <x v="5"/>
    <x v="1"/>
    <n v="10453"/>
    <n v="25"/>
    <x v="0"/>
    <n v="3"/>
    <n v="24"/>
    <n v="2"/>
    <n v="3"/>
    <x v="22"/>
    <n v="13"/>
    <x v="15"/>
    <s v="Good"/>
    <x v="1"/>
    <x v="1"/>
    <x v="1"/>
    <x v="1"/>
    <x v="0"/>
  </r>
  <r>
    <x v="0"/>
    <s v="Yes"/>
    <x v="1"/>
    <n v="1"/>
    <s v="Female"/>
    <x v="3"/>
    <x v="7"/>
    <x v="0"/>
    <n v="19545"/>
    <n v="12"/>
    <x v="1"/>
    <n v="0"/>
    <n v="23"/>
    <n v="0"/>
    <n v="3"/>
    <x v="21"/>
    <n v="15"/>
    <x v="15"/>
    <s v="Good"/>
    <x v="1"/>
    <x v="1"/>
    <x v="1"/>
    <x v="1"/>
    <x v="1"/>
  </r>
  <r>
    <x v="0"/>
    <s v="No"/>
    <x v="0"/>
    <n v="1"/>
    <s v="Female"/>
    <x v="4"/>
    <x v="0"/>
    <x v="1"/>
    <n v="17048"/>
    <n v="23"/>
    <x v="0"/>
    <n v="0"/>
    <n v="28"/>
    <n v="2"/>
    <n v="3"/>
    <x v="10"/>
    <n v="15"/>
    <x v="15"/>
    <s v="Good"/>
    <x v="1"/>
    <x v="1"/>
    <x v="1"/>
    <x v="1"/>
    <x v="0"/>
  </r>
  <r>
    <x v="0"/>
    <s v="No"/>
    <x v="1"/>
    <n v="1"/>
    <s v="Male"/>
    <x v="4"/>
    <x v="6"/>
    <x v="3"/>
    <n v="13402"/>
    <n v="12"/>
    <x v="1"/>
    <n v="1"/>
    <n v="33"/>
    <n v="0"/>
    <n v="3"/>
    <x v="27"/>
    <n v="16"/>
    <x v="15"/>
    <s v="Good"/>
    <x v="1"/>
    <x v="1"/>
    <x v="1"/>
    <x v="1"/>
    <x v="1"/>
  </r>
  <r>
    <x v="0"/>
    <s v="No"/>
    <x v="1"/>
    <n v="1"/>
    <s v="Male"/>
    <x v="3"/>
    <x v="7"/>
    <x v="0"/>
    <n v="19537"/>
    <n v="13"/>
    <x v="1"/>
    <n v="0"/>
    <n v="23"/>
    <n v="5"/>
    <n v="3"/>
    <x v="16"/>
    <n v="18"/>
    <x v="15"/>
    <s v="Good"/>
    <x v="1"/>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F504EB-3027-43A0-831C-648EC54018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colHeaderCaption="Roles Stagnation">
  <location ref="A12:D23" firstHeaderRow="1" firstDataRow="2" firstDataCol="1"/>
  <pivotFields count="24">
    <pivotField showAll="0"/>
    <pivotField showAll="0"/>
    <pivotField showAll="0"/>
    <pivotField dataField="1" showAll="0"/>
    <pivotField showAll="0"/>
    <pivotField showAll="0"/>
    <pivotField axis="axisRow" showAll="0">
      <items count="10">
        <item x="4"/>
        <item x="8"/>
        <item x="2"/>
        <item x="0"/>
        <item x="6"/>
        <item x="7"/>
        <item x="1"/>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6"/>
  </rowFields>
  <rowItems count="10">
    <i>
      <x/>
    </i>
    <i>
      <x v="1"/>
    </i>
    <i>
      <x v="2"/>
    </i>
    <i>
      <x v="3"/>
    </i>
    <i>
      <x v="4"/>
    </i>
    <i>
      <x v="5"/>
    </i>
    <i>
      <x v="6"/>
    </i>
    <i>
      <x v="7"/>
    </i>
    <i>
      <x v="8"/>
    </i>
    <i t="grand">
      <x/>
    </i>
  </rowItems>
  <colFields count="1">
    <field x="21"/>
  </colFields>
  <colItems count="3">
    <i>
      <x/>
    </i>
    <i>
      <x v="1"/>
    </i>
    <i t="grand">
      <x/>
    </i>
  </colItems>
  <dataFields count="1">
    <dataField name="Count of Employee_x000a_Count" fld="3" subtotal="count" baseField="0" baseItem="0"/>
  </dataFields>
  <conditionalFormats count="3">
    <conditionalFormat priority="6">
      <pivotAreas count="1">
        <pivotArea type="data" collapsedLevelsAreSubtotals="1" fieldPosition="0">
          <references count="2">
            <reference field="4294967294" count="1" selected="0">
              <x v="0"/>
            </reference>
            <reference field="6" count="9">
              <x v="0"/>
              <x v="1"/>
              <x v="2"/>
              <x v="3"/>
              <x v="4"/>
              <x v="5"/>
              <x v="6"/>
              <x v="7"/>
              <x v="8"/>
            </reference>
          </references>
        </pivotArea>
      </pivotAreas>
    </conditionalFormat>
    <conditionalFormat priority="7">
      <pivotAreas count="1">
        <pivotArea type="data" collapsedLevelsAreSubtotals="1" fieldPosition="0">
          <references count="2">
            <reference field="4294967294" count="1" selected="0">
              <x v="0"/>
            </reference>
            <reference field="6" count="9">
              <x v="0"/>
              <x v="1"/>
              <x v="2"/>
              <x v="3"/>
              <x v="4"/>
              <x v="5"/>
              <x v="6"/>
              <x v="7"/>
              <x v="8"/>
            </reference>
          </references>
        </pivotArea>
      </pivotAreas>
    </conditionalFormat>
    <conditionalFormat priority="9">
      <pivotAreas count="1">
        <pivotArea type="data" collapsedLevelsAreSubtotals="1" fieldPosition="0">
          <references count="2">
            <reference field="4294967294" count="1" selected="0">
              <x v="0"/>
            </reference>
            <reference field="6" count="9">
              <x v="0"/>
              <x v="1"/>
              <x v="2"/>
              <x v="3"/>
              <x v="4"/>
              <x v="5"/>
              <x v="6"/>
              <x v="7"/>
              <x v="8"/>
            </reference>
          </references>
        </pivotArea>
      </pivotAreas>
    </conditionalFormat>
  </conditionalFormats>
  <chartFormats count="6">
    <chartFormat chart="0" format="0" series="1">
      <pivotArea type="data" outline="0" fieldPosition="0">
        <references count="1">
          <reference field="21" count="1" selected="0">
            <x v="0"/>
          </reference>
        </references>
      </pivotArea>
    </chartFormat>
    <chartFormat chart="0" format="1" series="1">
      <pivotArea type="data" outline="0" fieldPosition="0">
        <references count="1">
          <reference field="21" count="1" selected="0">
            <x v="1"/>
          </reference>
        </references>
      </pivotArea>
    </chartFormat>
    <chartFormat chart="0" format="2" series="1">
      <pivotArea type="data" outline="0" fieldPosition="0">
        <references count="2">
          <reference field="4294967294" count="1" selected="0">
            <x v="0"/>
          </reference>
          <reference field="21" count="1" selected="0">
            <x v="0"/>
          </reference>
        </references>
      </pivotArea>
    </chartFormat>
    <chartFormat chart="0" format="3" series="1">
      <pivotArea type="data" outline="0" fieldPosition="0">
        <references count="2">
          <reference field="4294967294" count="1" selected="0">
            <x v="0"/>
          </reference>
          <reference field="21" count="1" selected="0">
            <x v="1"/>
          </reference>
        </references>
      </pivotArea>
    </chartFormat>
    <chartFormat chart="7" format="6" series="1">
      <pivotArea type="data" outline="0" fieldPosition="0">
        <references count="2">
          <reference field="4294967294" count="1" selected="0">
            <x v="0"/>
          </reference>
          <reference field="21" count="1" selected="0">
            <x v="0"/>
          </reference>
        </references>
      </pivotArea>
    </chartFormat>
    <chartFormat chart="7" format="7"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86BD93-6576-4D65-A6C9-52B3979D18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epatment" colHeaderCaption="">
  <location ref="A3:D8" firstHeaderRow="1" firstDataRow="2" firstDataCol="1"/>
  <pivotFields count="24">
    <pivotField showAll="0"/>
    <pivotField showAll="0"/>
    <pivotField axis="axisRow" showAll="0">
      <items count="4">
        <item x="2"/>
        <item x="1"/>
        <item x="0"/>
        <item t="default"/>
      </items>
    </pivotField>
    <pivotField dataField="1" showAll="0"/>
    <pivotField showAll="0"/>
    <pivotField showAll="0">
      <items count="6">
        <item x="1"/>
        <item x="2"/>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axis="axisCol" showAll="0">
      <items count="3">
        <item x="1"/>
        <item x="0"/>
        <item t="default"/>
      </items>
    </pivotField>
    <pivotField showAll="0"/>
    <pivotField showAll="0"/>
    <pivotField showAll="0"/>
  </pivotFields>
  <rowFields count="1">
    <field x="2"/>
  </rowFields>
  <rowItems count="4">
    <i>
      <x/>
    </i>
    <i>
      <x v="1"/>
    </i>
    <i>
      <x v="2"/>
    </i>
    <i t="grand">
      <x/>
    </i>
  </rowItems>
  <colFields count="1">
    <field x="20"/>
  </colFields>
  <colItems count="3">
    <i>
      <x/>
    </i>
    <i>
      <x v="1"/>
    </i>
    <i t="grand">
      <x/>
    </i>
  </colItems>
  <dataFields count="1">
    <dataField name="Promotion Status" fld="3" subtotal="count" baseField="0" baseItem="0"/>
  </dataFields>
  <conditionalFormats count="3">
    <conditionalFormat priority="10">
      <pivotAreas count="1">
        <pivotArea type="data" collapsedLevelsAreSubtotals="1" fieldPosition="0">
          <references count="2">
            <reference field="4294967294" count="1" selected="0">
              <x v="0"/>
            </reference>
            <reference field="2" count="3">
              <x v="0"/>
              <x v="1"/>
              <x v="2"/>
            </reference>
          </references>
        </pivotArea>
      </pivotAreas>
    </conditionalFormat>
    <conditionalFormat priority="11">
      <pivotAreas count="1">
        <pivotArea type="data" collapsedLevelsAreSubtotals="1" fieldPosition="0">
          <references count="2">
            <reference field="4294967294" count="1" selected="0">
              <x v="0"/>
            </reference>
            <reference field="2" count="3">
              <x v="0"/>
              <x v="1"/>
              <x v="2"/>
            </reference>
          </references>
        </pivotArea>
      </pivotAreas>
    </conditionalFormat>
    <conditionalFormat priority="12">
      <pivotAreas count="1">
        <pivotArea type="data" collapsedLevelsAreSubtotals="1" fieldPosition="0">
          <references count="2">
            <reference field="4294967294" count="1" selected="0">
              <x v="0"/>
            </reference>
            <reference field="2" count="3">
              <x v="0"/>
              <x v="1"/>
              <x v="2"/>
            </reference>
          </references>
        </pivotArea>
      </pivotAreas>
    </conditionalFormat>
  </conditionalFormats>
  <chartFormats count="6">
    <chartFormat chart="0" format="0" series="1">
      <pivotArea type="data" outline="0" fieldPosition="0">
        <references count="1">
          <reference field="20" count="1" selected="0">
            <x v="0"/>
          </reference>
        </references>
      </pivotArea>
    </chartFormat>
    <chartFormat chart="0" format="1" series="1">
      <pivotArea type="data" outline="0" fieldPosition="0">
        <references count="1">
          <reference field="20" count="1" selected="0">
            <x v="1"/>
          </reference>
        </references>
      </pivotArea>
    </chartFormat>
    <chartFormat chart="0" format="2" series="1">
      <pivotArea type="data" outline="0" fieldPosition="0">
        <references count="2">
          <reference field="4294967294" count="1" selected="0">
            <x v="0"/>
          </reference>
          <reference field="20" count="1" selected="0">
            <x v="0"/>
          </reference>
        </references>
      </pivotArea>
    </chartFormat>
    <chartFormat chart="0" format="3" series="1">
      <pivotArea type="data" outline="0" fieldPosition="0">
        <references count="2">
          <reference field="4294967294" count="1" selected="0">
            <x v="0"/>
          </reference>
          <reference field="20" count="1" selected="0">
            <x v="1"/>
          </reference>
        </references>
      </pivotArea>
    </chartFormat>
    <chartFormat chart="14" format="6" series="1">
      <pivotArea type="data" outline="0" fieldPosition="0">
        <references count="2">
          <reference field="4294967294" count="1" selected="0">
            <x v="0"/>
          </reference>
          <reference field="20" count="1" selected="0">
            <x v="0"/>
          </reference>
        </references>
      </pivotArea>
    </chartFormat>
    <chartFormat chart="14" format="7"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DA0E80-4CD0-40B4-870B-569333915B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erformance Rating">
  <location ref="A28:B31" firstHeaderRow="1" firstDataRow="1" firstDataCol="1"/>
  <pivotFields count="24">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Average of Percent_x000a_SalaryHike" fld="9" subtotal="average" baseField="0" baseItem="0" numFmtId="2"/>
  </dataFields>
  <formats count="1">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F0C128-FF9A-4060-9A0C-D60466BA30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erformance Analysis" colHeaderCaption="Promotion Duration">
  <location ref="N13:Q17" firstHeaderRow="1" firstDataRow="2" firstDataCol="1"/>
  <pivotFields count="24">
    <pivotField showAll="0"/>
    <pivotField showAll="0"/>
    <pivotField showAll="0"/>
    <pivotField dataField="1" showAll="0"/>
    <pivotField showAll="0"/>
    <pivotField showAll="0"/>
    <pivotField showAll="0"/>
    <pivotField showAll="0">
      <items count="5">
        <item x="1"/>
        <item x="3"/>
        <item x="0"/>
        <item x="2"/>
        <item t="default"/>
      </items>
    </pivotField>
    <pivotField showAll="0"/>
    <pivotField showAll="0"/>
    <pivotField showAll="0">
      <items count="3">
        <item x="1"/>
        <item x="0"/>
        <item t="default"/>
      </items>
    </pivotField>
    <pivotField showAll="0"/>
    <pivotField showAll="0"/>
    <pivotField showAll="0"/>
    <pivotField showAll="0"/>
    <pivotField showAll="0">
      <items count="38">
        <item x="0"/>
        <item x="1"/>
        <item x="2"/>
        <item x="3"/>
        <item x="11"/>
        <item x="4"/>
        <item x="5"/>
        <item x="6"/>
        <item x="7"/>
        <item x="8"/>
        <item x="9"/>
        <item x="13"/>
        <item x="25"/>
        <item x="17"/>
        <item x="23"/>
        <item x="12"/>
        <item x="14"/>
        <item x="18"/>
        <item x="15"/>
        <item x="27"/>
        <item x="16"/>
        <item x="26"/>
        <item x="21"/>
        <item x="35"/>
        <item x="22"/>
        <item x="30"/>
        <item x="10"/>
        <item x="34"/>
        <item x="32"/>
        <item x="33"/>
        <item x="19"/>
        <item x="31"/>
        <item x="20"/>
        <item x="24"/>
        <item x="29"/>
        <item x="28"/>
        <item x="36"/>
        <item t="default"/>
      </items>
    </pivotField>
    <pivotField showAll="0"/>
    <pivotField showAll="0">
      <items count="17">
        <item x="0"/>
        <item x="1"/>
        <item x="2"/>
        <item x="3"/>
        <item x="4"/>
        <item x="5"/>
        <item x="6"/>
        <item x="7"/>
        <item x="8"/>
        <item x="9"/>
        <item x="10"/>
        <item x="11"/>
        <item x="12"/>
        <item x="13"/>
        <item x="14"/>
        <item x="15"/>
        <item t="default"/>
      </items>
    </pivotField>
    <pivotField showAll="0"/>
    <pivotField showAll="0"/>
    <pivotField axis="axisCol" showAll="0">
      <items count="3">
        <item x="1"/>
        <item x="0"/>
        <item t="default"/>
      </items>
    </pivotField>
    <pivotField showAll="0"/>
    <pivotField showAll="0"/>
    <pivotField axis="axisRow" showAll="0">
      <items count="3">
        <item x="0"/>
        <item x="1"/>
        <item t="default"/>
      </items>
    </pivotField>
  </pivotFields>
  <rowFields count="1">
    <field x="23"/>
  </rowFields>
  <rowItems count="3">
    <i>
      <x/>
    </i>
    <i>
      <x v="1"/>
    </i>
    <i t="grand">
      <x/>
    </i>
  </rowItems>
  <colFields count="1">
    <field x="20"/>
  </colFields>
  <colItems count="3">
    <i>
      <x/>
    </i>
    <i>
      <x v="1"/>
    </i>
    <i t="grand">
      <x/>
    </i>
  </colItems>
  <dataFields count="1">
    <dataField name="Count of Employee" fld="3" subtotal="count" showDataAs="percentOfRow" baseField="0" baseItem="0" numFmtId="10"/>
  </dataFields>
  <formats count="1">
    <format dxfId="4">
      <pivotArea dataOnly="0" labelOnly="1" grandCol="1" outline="0" fieldPosition="0"/>
    </format>
  </formats>
  <conditionalFormats count="3">
    <conditionalFormat priority="3">
      <pivotAreas count="1">
        <pivotArea type="data" collapsedLevelsAreSubtotals="1" fieldPosition="0">
          <references count="3">
            <reference field="4294967294" count="1" selected="0">
              <x v="0"/>
            </reference>
            <reference field="20" count="2" selected="0">
              <x v="0"/>
              <x v="1"/>
            </reference>
            <reference field="23" count="2">
              <x v="0"/>
              <x v="1"/>
            </reference>
          </references>
        </pivotArea>
      </pivotAreas>
    </conditionalFormat>
    <conditionalFormat type="all" priority="4">
      <pivotAreas count="1">
        <pivotArea type="data" collapsedLevelsAreSubtotals="1" fieldPosition="0">
          <references count="3">
            <reference field="4294967294" count="1" selected="0">
              <x v="0"/>
            </reference>
            <reference field="20" count="2" selected="0">
              <x v="0"/>
              <x v="1"/>
            </reference>
            <reference field="23" count="2">
              <x v="0"/>
              <x v="1"/>
            </reference>
          </references>
        </pivotArea>
      </pivotAreas>
    </conditionalFormat>
    <conditionalFormat priority="5">
      <pivotAreas count="1">
        <pivotArea type="data" collapsedLevelsAreSubtotals="1" fieldPosition="0">
          <references count="3">
            <reference field="4294967294" count="1" selected="0">
              <x v="0"/>
            </reference>
            <reference field="20" count="2" selected="0">
              <x v="0"/>
              <x v="1"/>
            </reference>
            <reference field="23" count="2">
              <x v="0"/>
              <x v="1"/>
            </reference>
          </references>
        </pivotArea>
      </pivotAreas>
    </conditionalFormat>
  </conditionalFormats>
  <chartFormats count="1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0" count="1" selected="0">
            <x v="1"/>
          </reference>
        </references>
      </pivotArea>
    </chartFormat>
    <chartFormat chart="0" format="3" series="1">
      <pivotArea type="data" outline="0" fieldPosition="0">
        <references count="2">
          <reference field="4294967294" count="1" selected="0">
            <x v="0"/>
          </reference>
          <reference field="23" count="1" selected="0">
            <x v="1"/>
          </reference>
        </references>
      </pivotArea>
    </chartFormat>
    <chartFormat chart="0" format="4" series="1">
      <pivotArea type="data" outline="0" fieldPosition="0">
        <references count="3">
          <reference field="4294967294" count="1" selected="0">
            <x v="0"/>
          </reference>
          <reference field="20" count="1" selected="0">
            <x v="0"/>
          </reference>
          <reference field="23" count="1" selected="0">
            <x v="1"/>
          </reference>
        </references>
      </pivotArea>
    </chartFormat>
    <chartFormat chart="0" format="5" series="1">
      <pivotArea type="data" outline="0" fieldPosition="0">
        <references count="3">
          <reference field="4294967294" count="1" selected="0">
            <x v="0"/>
          </reference>
          <reference field="20" count="1" selected="0">
            <x v="1"/>
          </reference>
          <reference field="23" count="1" selected="0">
            <x v="1"/>
          </reference>
        </references>
      </pivotArea>
    </chartFormat>
    <chartFormat chart="0" format="6" series="1">
      <pivotArea type="data" outline="0" fieldPosition="0">
        <references count="2">
          <reference field="4294967294" count="1" selected="0">
            <x v="0"/>
          </reference>
          <reference field="20" count="1" selected="0">
            <x v="0"/>
          </reference>
        </references>
      </pivotArea>
    </chartFormat>
    <chartFormat chart="0" format="7">
      <pivotArea type="data" outline="0" fieldPosition="0">
        <references count="3">
          <reference field="4294967294" count="1" selected="0">
            <x v="0"/>
          </reference>
          <reference field="20" count="1" selected="0">
            <x v="1"/>
          </reference>
          <reference field="23" count="1" selected="0">
            <x v="1"/>
          </reference>
        </references>
      </pivotArea>
    </chartFormat>
    <chartFormat chart="0" format="8">
      <pivotArea type="data" outline="0" fieldPosition="0">
        <references count="3">
          <reference field="4294967294" count="1" selected="0">
            <x v="0"/>
          </reference>
          <reference field="20" count="1" selected="0">
            <x v="0"/>
          </reference>
          <reference field="23" count="1" selected="0">
            <x v="1"/>
          </reference>
        </references>
      </pivotArea>
    </chartFormat>
    <chartFormat chart="0" format="9">
      <pivotArea type="data" outline="0" fieldPosition="0">
        <references count="3">
          <reference field="4294967294" count="1" selected="0">
            <x v="0"/>
          </reference>
          <reference field="20" count="1" selected="0">
            <x v="1"/>
          </reference>
          <reference field="23" count="1" selected="0">
            <x v="0"/>
          </reference>
        </references>
      </pivotArea>
    </chartFormat>
    <chartFormat chart="0" format="10">
      <pivotArea type="data" outline="0" fieldPosition="0">
        <references count="3">
          <reference field="4294967294" count="1" selected="0">
            <x v="0"/>
          </reference>
          <reference field="20" count="1" selected="0">
            <x v="0"/>
          </reference>
          <reference field="23" count="1" selected="0">
            <x v="0"/>
          </reference>
        </references>
      </pivotArea>
    </chartFormat>
    <chartFormat chart="21" format="17" series="1">
      <pivotArea type="data" outline="0" fieldPosition="0">
        <references count="2">
          <reference field="4294967294" count="1" selected="0">
            <x v="0"/>
          </reference>
          <reference field="20" count="1" selected="0">
            <x v="0"/>
          </reference>
        </references>
      </pivotArea>
    </chartFormat>
    <chartFormat chart="21" format="18">
      <pivotArea type="data" outline="0" fieldPosition="0">
        <references count="3">
          <reference field="4294967294" count="1" selected="0">
            <x v="0"/>
          </reference>
          <reference field="20" count="1" selected="0">
            <x v="0"/>
          </reference>
          <reference field="23" count="1" selected="0">
            <x v="0"/>
          </reference>
        </references>
      </pivotArea>
    </chartFormat>
    <chartFormat chart="21" format="19">
      <pivotArea type="data" outline="0" fieldPosition="0">
        <references count="3">
          <reference field="4294967294" count="1" selected="0">
            <x v="0"/>
          </reference>
          <reference field="20" count="1" selected="0">
            <x v="0"/>
          </reference>
          <reference field="23" count="1" selected="0">
            <x v="1"/>
          </reference>
        </references>
      </pivotArea>
    </chartFormat>
    <chartFormat chart="21" format="20" series="1">
      <pivotArea type="data" outline="0" fieldPosition="0">
        <references count="2">
          <reference field="4294967294" count="1" selected="0">
            <x v="0"/>
          </reference>
          <reference field="20" count="1" selected="0">
            <x v="1"/>
          </reference>
        </references>
      </pivotArea>
    </chartFormat>
    <chartFormat chart="21" format="21">
      <pivotArea type="data" outline="0" fieldPosition="0">
        <references count="3">
          <reference field="4294967294" count="1" selected="0">
            <x v="0"/>
          </reference>
          <reference field="20" count="1" selected="0">
            <x v="1"/>
          </reference>
          <reference field="23" count="1" selected="0">
            <x v="0"/>
          </reference>
        </references>
      </pivotArea>
    </chartFormat>
    <chartFormat chart="21" format="22">
      <pivotArea type="data" outline="0" fieldPosition="0">
        <references count="3">
          <reference field="4294967294" count="1" selected="0">
            <x v="0"/>
          </reference>
          <reference field="20" count="1" selected="0">
            <x v="1"/>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8F8CEB-8C38-48FC-8AE3-B66FDF981F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erformance Analysis" colHeaderCaption="Stagnation Risk">
  <location ref="N3:Q7" firstHeaderRow="1" firstDataRow="2" firstDataCol="1"/>
  <pivotFields count="24">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axis="axisRow" showAll="0">
      <items count="3">
        <item x="0"/>
        <item x="1"/>
        <item t="default"/>
      </items>
    </pivotField>
  </pivotFields>
  <rowFields count="1">
    <field x="23"/>
  </rowFields>
  <rowItems count="3">
    <i>
      <x/>
    </i>
    <i>
      <x v="1"/>
    </i>
    <i t="grand">
      <x/>
    </i>
  </rowItems>
  <colFields count="1">
    <field x="22"/>
  </colFields>
  <colItems count="3">
    <i>
      <x/>
    </i>
    <i>
      <x v="1"/>
    </i>
    <i t="grand">
      <x/>
    </i>
  </colItems>
  <dataFields count="1">
    <dataField name="Employee_x000a_" fld="3" subtotal="count" baseField="0" baseItem="0"/>
  </dataFields>
  <formats count="1">
    <format dxfId="3">
      <pivotArea dataOnly="0" labelOnly="1" grandCol="1" outline="0" fieldPosition="0"/>
    </format>
  </formats>
  <conditionalFormats count="2">
    <conditionalFormat priority="1">
      <pivotAreas count="1">
        <pivotArea type="data" collapsedLevelsAreSubtotals="1" fieldPosition="0">
          <references count="2">
            <reference field="4294967294" count="1" selected="0">
              <x v="0"/>
            </reference>
            <reference field="23" count="2">
              <x v="0"/>
              <x v="1"/>
            </reference>
          </references>
        </pivotArea>
      </pivotAreas>
    </conditionalFormat>
    <conditionalFormat priority="2">
      <pivotAreas count="1">
        <pivotArea type="data" collapsedLevelsAreSubtotals="1" fieldPosition="0">
          <references count="3">
            <reference field="4294967294" count="1" selected="0">
              <x v="0"/>
            </reference>
            <reference field="22" count="2" selected="0">
              <x v="0"/>
              <x v="1"/>
            </reference>
            <reference field="23" count="2">
              <x v="0"/>
              <x v="1"/>
            </reference>
          </references>
        </pivotArea>
      </pivotAreas>
    </conditionalFormat>
  </conditionalFormats>
  <chartFormats count="14">
    <chartFormat chart="0" format="0" series="1">
      <pivotArea type="data" outline="0" fieldPosition="0">
        <references count="1">
          <reference field="22" count="1" selected="0">
            <x v="0"/>
          </reference>
        </references>
      </pivotArea>
    </chartFormat>
    <chartFormat chart="0" format="1" series="1">
      <pivotArea type="data" outline="0" fieldPosition="0">
        <references count="1">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 chart="0" format="3" series="1">
      <pivotArea type="data" outline="0" fieldPosition="0">
        <references count="2">
          <reference field="4294967294" count="1" selected="0">
            <x v="0"/>
          </reference>
          <reference field="22" count="1" selected="0">
            <x v="1"/>
          </reference>
        </references>
      </pivotArea>
    </chartFormat>
    <chartFormat chart="0" format="4">
      <pivotArea type="data" outline="0" fieldPosition="0">
        <references count="3">
          <reference field="4294967294" count="1" selected="0">
            <x v="0"/>
          </reference>
          <reference field="22" count="1" selected="0">
            <x v="1"/>
          </reference>
          <reference field="23" count="1" selected="0">
            <x v="0"/>
          </reference>
        </references>
      </pivotArea>
    </chartFormat>
    <chartFormat chart="0" format="5">
      <pivotArea type="data" outline="0" fieldPosition="0">
        <references count="3">
          <reference field="4294967294" count="1" selected="0">
            <x v="0"/>
          </reference>
          <reference field="22" count="1" selected="0">
            <x v="1"/>
          </reference>
          <reference field="23" count="1" selected="0">
            <x v="1"/>
          </reference>
        </references>
      </pivotArea>
    </chartFormat>
    <chartFormat chart="0" format="6">
      <pivotArea type="data" outline="0" fieldPosition="0">
        <references count="3">
          <reference field="4294967294" count="1" selected="0">
            <x v="0"/>
          </reference>
          <reference field="22" count="1" selected="0">
            <x v="0"/>
          </reference>
          <reference field="23" count="1" selected="0">
            <x v="1"/>
          </reference>
        </references>
      </pivotArea>
    </chartFormat>
    <chartFormat chart="0" format="7">
      <pivotArea type="data" outline="0" fieldPosition="0">
        <references count="3">
          <reference field="4294967294" count="1" selected="0">
            <x v="0"/>
          </reference>
          <reference field="22" count="1" selected="0">
            <x v="0"/>
          </reference>
          <reference field="23" count="1" selected="0">
            <x v="0"/>
          </reference>
        </references>
      </pivotArea>
    </chartFormat>
    <chartFormat chart="6" format="14" series="1">
      <pivotArea type="data" outline="0" fieldPosition="0">
        <references count="2">
          <reference field="4294967294" count="1" selected="0">
            <x v="0"/>
          </reference>
          <reference field="22" count="1" selected="0">
            <x v="0"/>
          </reference>
        </references>
      </pivotArea>
    </chartFormat>
    <chartFormat chart="6" format="15">
      <pivotArea type="data" outline="0" fieldPosition="0">
        <references count="3">
          <reference field="4294967294" count="1" selected="0">
            <x v="0"/>
          </reference>
          <reference field="22" count="1" selected="0">
            <x v="0"/>
          </reference>
          <reference field="23" count="1" selected="0">
            <x v="0"/>
          </reference>
        </references>
      </pivotArea>
    </chartFormat>
    <chartFormat chart="6" format="16">
      <pivotArea type="data" outline="0" fieldPosition="0">
        <references count="3">
          <reference field="4294967294" count="1" selected="0">
            <x v="0"/>
          </reference>
          <reference field="22" count="1" selected="0">
            <x v="0"/>
          </reference>
          <reference field="23" count="1" selected="0">
            <x v="1"/>
          </reference>
        </references>
      </pivotArea>
    </chartFormat>
    <chartFormat chart="6" format="17" series="1">
      <pivotArea type="data" outline="0" fieldPosition="0">
        <references count="2">
          <reference field="4294967294" count="1" selected="0">
            <x v="0"/>
          </reference>
          <reference field="22" count="1" selected="0">
            <x v="1"/>
          </reference>
        </references>
      </pivotArea>
    </chartFormat>
    <chartFormat chart="6" format="18">
      <pivotArea type="data" outline="0" fieldPosition="0">
        <references count="3">
          <reference field="4294967294" count="1" selected="0">
            <x v="0"/>
          </reference>
          <reference field="22" count="1" selected="0">
            <x v="1"/>
          </reference>
          <reference field="23" count="1" selected="0">
            <x v="0"/>
          </reference>
        </references>
      </pivotArea>
    </chartFormat>
    <chartFormat chart="6" format="19">
      <pivotArea type="data" outline="0" fieldPosition="0">
        <references count="3">
          <reference field="4294967294" count="1" selected="0">
            <x v="0"/>
          </reference>
          <reference field="22" count="1" selected="0">
            <x v="1"/>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C6E5D1-7AA8-4884-B731-68F85AFFB1C6}" sourceName="Department">
  <pivotTables>
    <pivotTable tabId="4" name="PivotTable1"/>
  </pivotTables>
  <data>
    <tabular pivotCacheId="66778446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1D0E268D-1259-4C05-A814-1E9341D7BE3B}" sourceName="JobLevel">
  <pivotTables>
    <pivotTable tabId="4" name="PivotTable1"/>
  </pivotTables>
  <data>
    <tabular pivotCacheId="667784466">
      <items count="5">
        <i x="1" s="1"/>
        <i x="2"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Level" xr10:uid="{1F2FE135-2449-4A56-BE15-FCEF2C0EBCA9}" sourceName="Employee Level">
  <pivotTables>
    <pivotTable tabId="4" name="PivotTable1"/>
  </pivotTables>
  <data>
    <tabular pivotCacheId="66778446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0A0063C-6799-4A48-AAFD-D70D60877ED3}" cache="Slicer_Department" caption="Department" rowHeight="247650"/>
  <slicer name="JobLevel" xr10:uid="{E4CF5E96-1A7C-4966-B16A-6F17B5592854}" cache="Slicer_JobLevel" caption="JobLevel" rowHeight="247650"/>
  <slicer name="Employee Level" xr10:uid="{FE7593F5-2F08-4C74-A9F0-1BE8F8E37E6C}" cache="Slicer_Employee_Level" caption="Employee Lev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FA4EE1-B961-4D61-9B19-2E59B1BA4816}" name="Table1" displayName="Table1" ref="A3:X1474" totalsRowCount="1" headerRowDxfId="15">
  <autoFilter ref="A3:X1473" xr:uid="{9DFA4EE1-B961-4D61-9B19-2E59B1BA4816}"/>
  <tableColumns count="24">
    <tableColumn id="24" xr3:uid="{54D24320-476C-4FED-BD8D-3907B5B33847}" name="Employee Number" dataDxfId="14" totalsRowDxfId="13"/>
    <tableColumn id="1" xr3:uid="{038169AE-332D-4AB5-99CF-A976EE110900}" name="Attrition"/>
    <tableColumn id="2" xr3:uid="{BF303BEB-9214-4E1B-AE8E-1CD11EE17B5D}" name="Department"/>
    <tableColumn id="3" xr3:uid="{128B899C-E9E0-49F3-8736-BC89BE6AE012}" name="Employee_x000a_Count"/>
    <tableColumn id="4" xr3:uid="{46A09806-6230-4893-A3B9-06C97F3193C9}" name="Gender"/>
    <tableColumn id="5" xr3:uid="{3344A9C8-0841-4EE3-8961-CA908A3F4677}" name="JobLevel"/>
    <tableColumn id="6" xr3:uid="{E4FAA43A-0714-4F5E-A0F8-FF3FF730940E}" name="JobRole"/>
    <tableColumn id="7" xr3:uid="{891E6B56-86DB-49E5-8BE0-2E59FCB9A142}" name="Job_x000a_Satisfaction"/>
    <tableColumn id="8" xr3:uid="{F09E0B53-33C0-4153-98A0-2C092598AC81}" name="Monthly _x000a_Income"/>
    <tableColumn id="9" xr3:uid="{6C36154A-B049-469C-BFF7-4E71FF1BA23E}" name="Percent_x000a_SalaryHike"/>
    <tableColumn id="10" xr3:uid="{39AB29F5-541C-4C08-8F7F-6814C8858DFB}" name="Performance_x000a_Rating"/>
    <tableColumn id="11" xr3:uid="{5BEE3EA9-2D47-4F98-B8C5-6C6EFA5C953C}" name="Stock_x000a_OptionLevel"/>
    <tableColumn id="12" xr3:uid="{303F7C01-5D1F-4941-8238-6EAC29DC390D}" name="Total_x000a_WorkingYears"/>
    <tableColumn id="13" xr3:uid="{9E06E3B2-4349-423D-9415-C783F5D50E6B}" name="Training_x000a_TimesLastYear"/>
    <tableColumn id="14" xr3:uid="{76ACF8EB-104B-4747-9457-C7CB014C7E7E}" name="Work_x000a_LifeBalance"/>
    <tableColumn id="15" xr3:uid="{15D192BE-5C14-477D-9D61-AD285D710CB6}" name="Years_x000a_AtCompany"/>
    <tableColumn id="16" xr3:uid="{A88E1AE1-B9C1-4038-B2A8-9E10FED2FA4F}" name="Years_x000a_InCurrentRole"/>
    <tableColumn id="17" xr3:uid="{CC12252B-2AAF-487E-B934-1642F34E8CCC}" name="YearsSince_x000a_LastPromotion"/>
    <tableColumn id="18" xr3:uid="{07DAA652-57F7-4888-A6A6-2194E884935B}" name="WLB"/>
    <tableColumn id="19" xr3:uid="{CDD310DB-8103-4513-8BDD-42B5866AFA97}" name="Employee Level"/>
    <tableColumn id="20" xr3:uid="{2573B893-6EFD-4AEF-B21C-AED80F3707F1}" name="Promotion Duration" dataDxfId="12" totalsRowDxfId="11">
      <calculatedColumnFormula>IF(Table1[[#This Row],[YearsSince
LastPromotion]]&gt; 4, "Delayed", "Normal")</calculatedColumnFormula>
    </tableColumn>
    <tableColumn id="21" xr3:uid="{EC5F0F56-6916-4B6D-A274-1764E308D7CF}" name="Role Stagnency" dataDxfId="10" totalsRowDxfId="9">
      <calculatedColumnFormula>IF(Table1[[#This Row],[Years
InCurrentRole]]&gt;4, "Role Stagnent", "Normal")</calculatedColumnFormula>
    </tableColumn>
    <tableColumn id="22" xr3:uid="{1F36E105-5723-49F5-826D-5DCB62762226}" name="Stagnation Risk" dataDxfId="8" totalsRowDxfId="7">
      <calculatedColumnFormula>IF(AND(Table1[[#This Row],[Years
InCurrentRole]]&gt; 4, Table1[[#This Row],[Performance
Rating]]&gt;=3), "High Risk", "Normal")</calculatedColumnFormula>
    </tableColumn>
    <tableColumn id="23" xr3:uid="{5F5D245A-24BE-406F-A2B1-3081D405F214}" name="Performance Analysis" dataDxfId="6" totalsRowDxfId="5">
      <calculatedColumnFormula>IF(Table1[[#This Row],[Performance
Rating]]&gt;=4, "High Performer", "Low Performer")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529CAF-78E1-436A-8C76-5F79E837D443}" name="Table2" displayName="Table2" ref="A4:D5" totalsRowShown="0" headerRowDxfId="21" dataDxfId="20">
  <tableColumns count="4">
    <tableColumn id="1" xr3:uid="{50B35057-3861-486B-BD4B-51EF540DF795}" name="1470" dataDxfId="19"/>
    <tableColumn id="2" xr3:uid="{337F1ECD-9A86-42CF-A35F-213E5A25B026}" name="16.12" dataDxfId="18"/>
    <tableColumn id="3" xr3:uid="{4014AD0A-BFB6-4D79-97D3-F6E25688C461}" name="15.21" dataDxfId="17"/>
    <tableColumn id="4" xr3:uid="{CA2EB47D-9DEB-4E68-9B4E-ED510D801197}" name="17.69"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drawing" Target="../drawings/drawing2.xml"/><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AFBB-4A6E-42B8-8380-08FDA967882F}">
  <dimension ref="A1:X1473"/>
  <sheetViews>
    <sheetView tabSelected="1" zoomScale="70" zoomScaleNormal="70" workbookViewId="0">
      <selection sqref="A1:W2"/>
    </sheetView>
  </sheetViews>
  <sheetFormatPr defaultRowHeight="14.4" x14ac:dyDescent="0.3"/>
  <cols>
    <col min="1" max="1" width="9.77734375" customWidth="1"/>
    <col min="2" max="2" width="12.88671875" customWidth="1"/>
    <col min="3" max="3" width="13.88671875" customWidth="1"/>
    <col min="4" max="4" width="9" customWidth="1"/>
    <col min="5" max="5" width="10" customWidth="1"/>
    <col min="6" max="6" width="9.33203125" customWidth="1"/>
    <col min="9" max="9" width="11.21875" customWidth="1"/>
    <col min="10" max="10" width="12.21875" customWidth="1"/>
    <col min="11" max="11" width="10.77734375" customWidth="1"/>
    <col min="12" max="12" width="13" customWidth="1"/>
    <col min="13" max="13" width="13.77734375" customWidth="1"/>
    <col min="17" max="17" width="13.5546875" customWidth="1"/>
    <col min="19" max="19" width="15.44140625" customWidth="1"/>
    <col min="20" max="20" width="9.44140625" customWidth="1"/>
    <col min="21" max="21" width="11.33203125" customWidth="1"/>
    <col min="22" max="22" width="11.5546875" customWidth="1"/>
    <col min="23" max="23" width="12.6640625" customWidth="1"/>
  </cols>
  <sheetData>
    <row r="1" spans="1:24" ht="14.4" customHeight="1" x14ac:dyDescent="0.3">
      <c r="A1" s="16" t="s">
        <v>39</v>
      </c>
      <c r="B1" s="16"/>
      <c r="C1" s="16"/>
      <c r="D1" s="16"/>
      <c r="E1" s="16"/>
      <c r="F1" s="16"/>
      <c r="G1" s="16"/>
      <c r="H1" s="16"/>
      <c r="I1" s="16"/>
      <c r="J1" s="16"/>
      <c r="K1" s="16"/>
      <c r="L1" s="16"/>
      <c r="M1" s="16"/>
      <c r="N1" s="16"/>
      <c r="O1" s="16"/>
      <c r="P1" s="16"/>
      <c r="Q1" s="16"/>
      <c r="R1" s="16"/>
      <c r="S1" s="16"/>
      <c r="T1" s="16"/>
      <c r="U1" s="16"/>
      <c r="V1" s="16"/>
      <c r="W1" s="16"/>
    </row>
    <row r="2" spans="1:24" ht="14.4" customHeight="1" x14ac:dyDescent="0.3">
      <c r="A2" s="16"/>
      <c r="B2" s="16"/>
      <c r="C2" s="16"/>
      <c r="D2" s="16"/>
      <c r="E2" s="16"/>
      <c r="F2" s="16"/>
      <c r="G2" s="16"/>
      <c r="H2" s="16"/>
      <c r="I2" s="16"/>
      <c r="J2" s="16"/>
      <c r="K2" s="16"/>
      <c r="L2" s="16"/>
      <c r="M2" s="16"/>
      <c r="N2" s="16"/>
      <c r="O2" s="16"/>
      <c r="P2" s="16"/>
      <c r="Q2" s="16"/>
      <c r="R2" s="16"/>
      <c r="S2" s="16"/>
      <c r="T2" s="16"/>
      <c r="U2" s="16"/>
      <c r="V2" s="16"/>
      <c r="W2" s="16"/>
    </row>
    <row r="3" spans="1:24" ht="57.6" x14ac:dyDescent="0.3">
      <c r="A3" s="1" t="s">
        <v>44</v>
      </c>
      <c r="B3" t="s">
        <v>0</v>
      </c>
      <c r="C3" t="s">
        <v>1</v>
      </c>
      <c r="D3" s="1" t="s">
        <v>2</v>
      </c>
      <c r="E3" t="s">
        <v>3</v>
      </c>
      <c r="F3" t="s">
        <v>4</v>
      </c>
      <c r="G3" t="s">
        <v>5</v>
      </c>
      <c r="H3" s="1" t="s">
        <v>6</v>
      </c>
      <c r="I3" s="1" t="s">
        <v>7</v>
      </c>
      <c r="J3" s="1" t="s">
        <v>8</v>
      </c>
      <c r="K3" s="1" t="s">
        <v>9</v>
      </c>
      <c r="L3" s="1" t="s">
        <v>10</v>
      </c>
      <c r="M3" s="1" t="s">
        <v>11</v>
      </c>
      <c r="N3" s="1" t="s">
        <v>12</v>
      </c>
      <c r="O3" s="1" t="s">
        <v>13</v>
      </c>
      <c r="P3" s="1" t="s">
        <v>14</v>
      </c>
      <c r="Q3" s="1" t="s">
        <v>15</v>
      </c>
      <c r="R3" s="1" t="s">
        <v>16</v>
      </c>
      <c r="S3" t="s">
        <v>17</v>
      </c>
      <c r="T3" t="s">
        <v>18</v>
      </c>
      <c r="U3" s="1" t="s">
        <v>40</v>
      </c>
      <c r="V3" s="1" t="s">
        <v>41</v>
      </c>
      <c r="W3" s="1" t="s">
        <v>42</v>
      </c>
      <c r="X3" s="1" t="s">
        <v>43</v>
      </c>
    </row>
    <row r="4" spans="1:24" x14ac:dyDescent="0.3">
      <c r="B4" t="s">
        <v>19</v>
      </c>
      <c r="C4" t="s">
        <v>20</v>
      </c>
      <c r="D4">
        <v>1</v>
      </c>
      <c r="E4" t="s">
        <v>21</v>
      </c>
      <c r="F4">
        <v>3</v>
      </c>
      <c r="G4" t="s">
        <v>22</v>
      </c>
      <c r="H4">
        <v>3</v>
      </c>
      <c r="I4">
        <v>12504</v>
      </c>
      <c r="J4">
        <v>21</v>
      </c>
      <c r="K4">
        <v>4</v>
      </c>
      <c r="L4">
        <v>1</v>
      </c>
      <c r="M4">
        <v>15</v>
      </c>
      <c r="N4">
        <v>3</v>
      </c>
      <c r="O4">
        <v>1</v>
      </c>
      <c r="P4">
        <v>0</v>
      </c>
      <c r="Q4">
        <v>0</v>
      </c>
      <c r="R4">
        <v>0</v>
      </c>
      <c r="S4" t="s">
        <v>23</v>
      </c>
      <c r="T4" t="s">
        <v>24</v>
      </c>
      <c r="U4" t="str">
        <f>IF(Table1[[#This Row],[YearsSince
LastPromotion]]&gt; 4, "Delayed", "Normal")</f>
        <v>Normal</v>
      </c>
      <c r="V4" t="str">
        <f>IF(Table1[[#This Row],[Years
InCurrentRole]]&gt;4, "Role Stagnent", "Normal")</f>
        <v>Normal</v>
      </c>
      <c r="W4" t="str">
        <f>IF(AND(Table1[[#This Row],[Years
InCurrentRole]]&gt; 4, Table1[[#This Row],[Performance
Rating]]&gt;=3), "High Risk", "Normal")</f>
        <v>Normal</v>
      </c>
      <c r="X4" t="str">
        <f>IF(Table1[[#This Row],[Performance
Rating]]&gt;=4, "High Performer", "Low Performer")</f>
        <v>High Performer</v>
      </c>
    </row>
    <row r="5" spans="1:24" x14ac:dyDescent="0.3">
      <c r="B5" t="s">
        <v>19</v>
      </c>
      <c r="C5" t="s">
        <v>25</v>
      </c>
      <c r="D5">
        <v>1</v>
      </c>
      <c r="E5" t="s">
        <v>21</v>
      </c>
      <c r="F5">
        <v>1</v>
      </c>
      <c r="G5" t="s">
        <v>26</v>
      </c>
      <c r="H5">
        <v>3</v>
      </c>
      <c r="I5">
        <v>1514</v>
      </c>
      <c r="J5">
        <v>16</v>
      </c>
      <c r="K5">
        <v>3</v>
      </c>
      <c r="L5">
        <v>0</v>
      </c>
      <c r="M5">
        <v>0</v>
      </c>
      <c r="N5">
        <v>4</v>
      </c>
      <c r="O5">
        <v>1</v>
      </c>
      <c r="P5">
        <v>0</v>
      </c>
      <c r="Q5">
        <v>0</v>
      </c>
      <c r="R5">
        <v>0</v>
      </c>
      <c r="S5" t="s">
        <v>23</v>
      </c>
      <c r="T5" t="s">
        <v>24</v>
      </c>
      <c r="U5" t="str">
        <f>IF(Table1[[#This Row],[YearsSince
LastPromotion]]&gt; 4, "Delayed", "Normal")</f>
        <v>Normal</v>
      </c>
      <c r="V5" t="str">
        <f>IF(Table1[[#This Row],[Years
InCurrentRole]]&gt;4, "Role Stagnent", "Normal")</f>
        <v>Normal</v>
      </c>
      <c r="W5" t="str">
        <f>IF(AND(Table1[[#This Row],[Years
InCurrentRole]]&gt; 4, Table1[[#This Row],[Performance
Rating]]&gt;=3), "High Risk", "Normal")</f>
        <v>Normal</v>
      </c>
      <c r="X5" t="str">
        <f>IF(Table1[[#This Row],[Performance
Rating]]&gt;=4, "High Performer", "Low Performer")</f>
        <v>Low Performer</v>
      </c>
    </row>
    <row r="6" spans="1:24" x14ac:dyDescent="0.3">
      <c r="B6" t="s">
        <v>27</v>
      </c>
      <c r="C6" t="s">
        <v>25</v>
      </c>
      <c r="D6">
        <v>1</v>
      </c>
      <c r="E6" t="s">
        <v>28</v>
      </c>
      <c r="F6">
        <v>1</v>
      </c>
      <c r="G6" t="s">
        <v>29</v>
      </c>
      <c r="H6">
        <v>3</v>
      </c>
      <c r="I6">
        <v>3485</v>
      </c>
      <c r="J6">
        <v>11</v>
      </c>
      <c r="K6">
        <v>3</v>
      </c>
      <c r="L6">
        <v>0</v>
      </c>
      <c r="M6">
        <v>5</v>
      </c>
      <c r="N6">
        <v>5</v>
      </c>
      <c r="O6">
        <v>1</v>
      </c>
      <c r="P6">
        <v>0</v>
      </c>
      <c r="Q6">
        <v>0</v>
      </c>
      <c r="R6">
        <v>0</v>
      </c>
      <c r="S6" t="s">
        <v>23</v>
      </c>
      <c r="T6" t="s">
        <v>24</v>
      </c>
      <c r="U6" t="str">
        <f>IF(Table1[[#This Row],[YearsSince
LastPromotion]]&gt; 4, "Delayed", "Normal")</f>
        <v>Normal</v>
      </c>
      <c r="V6" t="str">
        <f>IF(Table1[[#This Row],[Years
InCurrentRole]]&gt;4, "Role Stagnent", "Normal")</f>
        <v>Normal</v>
      </c>
      <c r="W6" t="str">
        <f>IF(AND(Table1[[#This Row],[Years
InCurrentRole]]&gt; 4, Table1[[#This Row],[Performance
Rating]]&gt;=3), "High Risk", "Normal")</f>
        <v>Normal</v>
      </c>
      <c r="X6" t="str">
        <f>IF(Table1[[#This Row],[Performance
Rating]]&gt;=4, "High Performer", "Low Performer")</f>
        <v>Low Performer</v>
      </c>
    </row>
    <row r="7" spans="1:24" x14ac:dyDescent="0.3">
      <c r="B7" t="s">
        <v>27</v>
      </c>
      <c r="C7" t="s">
        <v>20</v>
      </c>
      <c r="D7">
        <v>1</v>
      </c>
      <c r="E7" t="s">
        <v>28</v>
      </c>
      <c r="F7">
        <v>1</v>
      </c>
      <c r="G7" t="s">
        <v>30</v>
      </c>
      <c r="H7">
        <v>3</v>
      </c>
      <c r="I7">
        <v>1675</v>
      </c>
      <c r="J7">
        <v>19</v>
      </c>
      <c r="K7">
        <v>3</v>
      </c>
      <c r="L7">
        <v>0</v>
      </c>
      <c r="M7">
        <v>0</v>
      </c>
      <c r="N7">
        <v>2</v>
      </c>
      <c r="O7">
        <v>2</v>
      </c>
      <c r="P7">
        <v>0</v>
      </c>
      <c r="Q7">
        <v>0</v>
      </c>
      <c r="R7">
        <v>0</v>
      </c>
      <c r="S7" t="s">
        <v>23</v>
      </c>
      <c r="T7" t="s">
        <v>24</v>
      </c>
      <c r="U7" t="str">
        <f>IF(Table1[[#This Row],[YearsSince
LastPromotion]]&gt; 4, "Delayed", "Normal")</f>
        <v>Normal</v>
      </c>
      <c r="V7" t="str">
        <f>IF(Table1[[#This Row],[Years
InCurrentRole]]&gt;4, "Role Stagnent", "Normal")</f>
        <v>Normal</v>
      </c>
      <c r="W7" t="str">
        <f>IF(AND(Table1[[#This Row],[Years
InCurrentRole]]&gt; 4, Table1[[#This Row],[Performance
Rating]]&gt;=3), "High Risk", "Normal")</f>
        <v>Normal</v>
      </c>
      <c r="X7" t="str">
        <f>IF(Table1[[#This Row],[Performance
Rating]]&gt;=4, "High Performer", "Low Performer")</f>
        <v>Low Performer</v>
      </c>
    </row>
    <row r="8" spans="1:24" x14ac:dyDescent="0.3">
      <c r="B8" t="s">
        <v>27</v>
      </c>
      <c r="C8" t="s">
        <v>25</v>
      </c>
      <c r="D8">
        <v>1</v>
      </c>
      <c r="E8" t="s">
        <v>28</v>
      </c>
      <c r="F8">
        <v>1</v>
      </c>
      <c r="G8" t="s">
        <v>29</v>
      </c>
      <c r="H8">
        <v>1</v>
      </c>
      <c r="I8">
        <v>3172</v>
      </c>
      <c r="J8">
        <v>11</v>
      </c>
      <c r="K8">
        <v>3</v>
      </c>
      <c r="L8">
        <v>0</v>
      </c>
      <c r="M8">
        <v>4</v>
      </c>
      <c r="N8">
        <v>2</v>
      </c>
      <c r="O8">
        <v>2</v>
      </c>
      <c r="P8">
        <v>0</v>
      </c>
      <c r="Q8">
        <v>0</v>
      </c>
      <c r="R8">
        <v>0</v>
      </c>
      <c r="S8" t="s">
        <v>23</v>
      </c>
      <c r="T8" t="s">
        <v>24</v>
      </c>
      <c r="U8" t="str">
        <f>IF(Table1[[#This Row],[YearsSince
LastPromotion]]&gt; 4, "Delayed", "Normal")</f>
        <v>Normal</v>
      </c>
      <c r="V8" t="str">
        <f>IF(Table1[[#This Row],[Years
InCurrentRole]]&gt;4, "Role Stagnent", "Normal")</f>
        <v>Normal</v>
      </c>
      <c r="W8" t="str">
        <f>IF(AND(Table1[[#This Row],[Years
InCurrentRole]]&gt; 4, Table1[[#This Row],[Performance
Rating]]&gt;=3), "High Risk", "Normal")</f>
        <v>Normal</v>
      </c>
      <c r="X8" t="str">
        <f>IF(Table1[[#This Row],[Performance
Rating]]&gt;=4, "High Performer", "Low Performer")</f>
        <v>Low Performer</v>
      </c>
    </row>
    <row r="9" spans="1:24" x14ac:dyDescent="0.3">
      <c r="B9" t="s">
        <v>27</v>
      </c>
      <c r="C9" t="s">
        <v>25</v>
      </c>
      <c r="D9">
        <v>1</v>
      </c>
      <c r="E9" t="s">
        <v>28</v>
      </c>
      <c r="F9">
        <v>1</v>
      </c>
      <c r="G9" t="s">
        <v>29</v>
      </c>
      <c r="H9">
        <v>1</v>
      </c>
      <c r="I9">
        <v>2561</v>
      </c>
      <c r="J9">
        <v>11</v>
      </c>
      <c r="K9">
        <v>3</v>
      </c>
      <c r="L9">
        <v>0</v>
      </c>
      <c r="M9">
        <v>8</v>
      </c>
      <c r="N9">
        <v>2</v>
      </c>
      <c r="O9">
        <v>2</v>
      </c>
      <c r="P9">
        <v>0</v>
      </c>
      <c r="Q9">
        <v>0</v>
      </c>
      <c r="R9">
        <v>0</v>
      </c>
      <c r="S9" t="s">
        <v>23</v>
      </c>
      <c r="T9" t="s">
        <v>24</v>
      </c>
      <c r="U9" t="str">
        <f>IF(Table1[[#This Row],[YearsSince
LastPromotion]]&gt; 4, "Delayed", "Normal")</f>
        <v>Normal</v>
      </c>
      <c r="V9" t="str">
        <f>IF(Table1[[#This Row],[Years
InCurrentRole]]&gt;4, "Role Stagnent", "Normal")</f>
        <v>Normal</v>
      </c>
      <c r="W9" t="str">
        <f>IF(AND(Table1[[#This Row],[Years
InCurrentRole]]&gt; 4, Table1[[#This Row],[Performance
Rating]]&gt;=3), "High Risk", "Normal")</f>
        <v>Normal</v>
      </c>
      <c r="X9" t="str">
        <f>IF(Table1[[#This Row],[Performance
Rating]]&gt;=4, "High Performer", "Low Performer")</f>
        <v>Low Performer</v>
      </c>
    </row>
    <row r="10" spans="1:24" x14ac:dyDescent="0.3">
      <c r="B10" t="s">
        <v>19</v>
      </c>
      <c r="C10" t="s">
        <v>25</v>
      </c>
      <c r="D10">
        <v>1</v>
      </c>
      <c r="E10" t="s">
        <v>28</v>
      </c>
      <c r="F10">
        <v>2</v>
      </c>
      <c r="G10" t="s">
        <v>31</v>
      </c>
      <c r="H10">
        <v>1</v>
      </c>
      <c r="I10">
        <v>5538</v>
      </c>
      <c r="J10">
        <v>18</v>
      </c>
      <c r="K10">
        <v>3</v>
      </c>
      <c r="L10">
        <v>2</v>
      </c>
      <c r="M10">
        <v>10</v>
      </c>
      <c r="N10">
        <v>2</v>
      </c>
      <c r="O10">
        <v>2</v>
      </c>
      <c r="P10">
        <v>0</v>
      </c>
      <c r="Q10">
        <v>0</v>
      </c>
      <c r="R10">
        <v>0</v>
      </c>
      <c r="S10" t="s">
        <v>23</v>
      </c>
      <c r="T10" t="s">
        <v>24</v>
      </c>
      <c r="U10" t="str">
        <f>IF(Table1[[#This Row],[YearsSince
LastPromotion]]&gt; 4, "Delayed", "Normal")</f>
        <v>Normal</v>
      </c>
      <c r="V10" t="str">
        <f>IF(Table1[[#This Row],[Years
InCurrentRole]]&gt;4, "Role Stagnent", "Normal")</f>
        <v>Normal</v>
      </c>
      <c r="W10" t="str">
        <f>IF(AND(Table1[[#This Row],[Years
InCurrentRole]]&gt; 4, Table1[[#This Row],[Performance
Rating]]&gt;=3), "High Risk", "Normal")</f>
        <v>Normal</v>
      </c>
      <c r="X10" t="str">
        <f>IF(Table1[[#This Row],[Performance
Rating]]&gt;=4, "High Performer", "Low Performer")</f>
        <v>Low Performer</v>
      </c>
    </row>
    <row r="11" spans="1:24" x14ac:dyDescent="0.3">
      <c r="B11" t="s">
        <v>27</v>
      </c>
      <c r="C11" t="s">
        <v>20</v>
      </c>
      <c r="D11">
        <v>1</v>
      </c>
      <c r="E11" t="s">
        <v>21</v>
      </c>
      <c r="F11">
        <v>3</v>
      </c>
      <c r="G11" t="s">
        <v>32</v>
      </c>
      <c r="H11">
        <v>1</v>
      </c>
      <c r="I11">
        <v>8564</v>
      </c>
      <c r="J11">
        <v>20</v>
      </c>
      <c r="K11">
        <v>4</v>
      </c>
      <c r="L11">
        <v>0</v>
      </c>
      <c r="M11">
        <v>11</v>
      </c>
      <c r="N11">
        <v>2</v>
      </c>
      <c r="O11">
        <v>2</v>
      </c>
      <c r="P11">
        <v>0</v>
      </c>
      <c r="Q11">
        <v>0</v>
      </c>
      <c r="R11">
        <v>0</v>
      </c>
      <c r="S11" t="s">
        <v>23</v>
      </c>
      <c r="T11" t="s">
        <v>24</v>
      </c>
      <c r="U11" t="str">
        <f>IF(Table1[[#This Row],[YearsSince
LastPromotion]]&gt; 4, "Delayed", "Normal")</f>
        <v>Normal</v>
      </c>
      <c r="V11" t="str">
        <f>IF(Table1[[#This Row],[Years
InCurrentRole]]&gt;4, "Role Stagnent", "Normal")</f>
        <v>Normal</v>
      </c>
      <c r="W11" t="str">
        <f>IF(AND(Table1[[#This Row],[Years
InCurrentRole]]&gt; 4, Table1[[#This Row],[Performance
Rating]]&gt;=3), "High Risk", "Normal")</f>
        <v>Normal</v>
      </c>
      <c r="X11" t="str">
        <f>IF(Table1[[#This Row],[Performance
Rating]]&gt;=4, "High Performer", "Low Performer")</f>
        <v>High Performer</v>
      </c>
    </row>
    <row r="12" spans="1:24" x14ac:dyDescent="0.3">
      <c r="B12" t="s">
        <v>19</v>
      </c>
      <c r="C12" t="s">
        <v>25</v>
      </c>
      <c r="D12">
        <v>1</v>
      </c>
      <c r="E12" t="s">
        <v>28</v>
      </c>
      <c r="F12">
        <v>1</v>
      </c>
      <c r="G12" t="s">
        <v>26</v>
      </c>
      <c r="H12">
        <v>3</v>
      </c>
      <c r="I12">
        <v>2259</v>
      </c>
      <c r="J12">
        <v>17</v>
      </c>
      <c r="K12">
        <v>3</v>
      </c>
      <c r="L12">
        <v>2</v>
      </c>
      <c r="M12">
        <v>13</v>
      </c>
      <c r="N12">
        <v>2</v>
      </c>
      <c r="O12">
        <v>2</v>
      </c>
      <c r="P12">
        <v>0</v>
      </c>
      <c r="Q12">
        <v>0</v>
      </c>
      <c r="R12">
        <v>0</v>
      </c>
      <c r="S12" t="s">
        <v>23</v>
      </c>
      <c r="T12" t="s">
        <v>24</v>
      </c>
      <c r="U12" t="str">
        <f>IF(Table1[[#This Row],[YearsSince
LastPromotion]]&gt; 4, "Delayed", "Normal")</f>
        <v>Normal</v>
      </c>
      <c r="V12" t="str">
        <f>IF(Table1[[#This Row],[Years
InCurrentRole]]&gt;4, "Role Stagnent", "Normal")</f>
        <v>Normal</v>
      </c>
      <c r="W12" t="str">
        <f>IF(AND(Table1[[#This Row],[Years
InCurrentRole]]&gt; 4, Table1[[#This Row],[Performance
Rating]]&gt;=3), "High Risk", "Normal")</f>
        <v>Normal</v>
      </c>
      <c r="X12" t="str">
        <f>IF(Table1[[#This Row],[Performance
Rating]]&gt;=4, "High Performer", "Low Performer")</f>
        <v>Low Performer</v>
      </c>
    </row>
    <row r="13" spans="1:24" x14ac:dyDescent="0.3">
      <c r="B13" t="s">
        <v>19</v>
      </c>
      <c r="C13" t="s">
        <v>25</v>
      </c>
      <c r="D13">
        <v>1</v>
      </c>
      <c r="E13" t="s">
        <v>21</v>
      </c>
      <c r="F13">
        <v>1</v>
      </c>
      <c r="G13" t="s">
        <v>26</v>
      </c>
      <c r="H13">
        <v>1</v>
      </c>
      <c r="I13">
        <v>2619</v>
      </c>
      <c r="J13">
        <v>17</v>
      </c>
      <c r="K13">
        <v>3</v>
      </c>
      <c r="L13">
        <v>0</v>
      </c>
      <c r="M13">
        <v>8</v>
      </c>
      <c r="N13">
        <v>3</v>
      </c>
      <c r="O13">
        <v>2</v>
      </c>
      <c r="P13">
        <v>0</v>
      </c>
      <c r="Q13">
        <v>0</v>
      </c>
      <c r="R13">
        <v>0</v>
      </c>
      <c r="S13" t="s">
        <v>23</v>
      </c>
      <c r="T13" t="s">
        <v>24</v>
      </c>
      <c r="U13" t="str">
        <f>IF(Table1[[#This Row],[YearsSince
LastPromotion]]&gt; 4, "Delayed", "Normal")</f>
        <v>Normal</v>
      </c>
      <c r="V13" t="str">
        <f>IF(Table1[[#This Row],[Years
InCurrentRole]]&gt;4, "Role Stagnent", "Normal")</f>
        <v>Normal</v>
      </c>
      <c r="W13" t="str">
        <f>IF(AND(Table1[[#This Row],[Years
InCurrentRole]]&gt; 4, Table1[[#This Row],[Performance
Rating]]&gt;=3), "High Risk", "Normal")</f>
        <v>Normal</v>
      </c>
      <c r="X13" t="str">
        <f>IF(Table1[[#This Row],[Performance
Rating]]&gt;=4, "High Performer", "Low Performer")</f>
        <v>Low Performer</v>
      </c>
    </row>
    <row r="14" spans="1:24" x14ac:dyDescent="0.3">
      <c r="B14" t="s">
        <v>19</v>
      </c>
      <c r="C14" t="s">
        <v>25</v>
      </c>
      <c r="D14">
        <v>1</v>
      </c>
      <c r="E14" t="s">
        <v>21</v>
      </c>
      <c r="F14">
        <v>2</v>
      </c>
      <c r="G14" t="s">
        <v>33</v>
      </c>
      <c r="H14">
        <v>4</v>
      </c>
      <c r="I14">
        <v>6877</v>
      </c>
      <c r="J14">
        <v>24</v>
      </c>
      <c r="K14">
        <v>4</v>
      </c>
      <c r="L14">
        <v>0</v>
      </c>
      <c r="M14">
        <v>12</v>
      </c>
      <c r="N14">
        <v>4</v>
      </c>
      <c r="O14">
        <v>2</v>
      </c>
      <c r="P14">
        <v>0</v>
      </c>
      <c r="Q14">
        <v>0</v>
      </c>
      <c r="R14">
        <v>0</v>
      </c>
      <c r="S14" t="s">
        <v>23</v>
      </c>
      <c r="T14" t="s">
        <v>24</v>
      </c>
      <c r="U14" t="str">
        <f>IF(Table1[[#This Row],[YearsSince
LastPromotion]]&gt; 4, "Delayed", "Normal")</f>
        <v>Normal</v>
      </c>
      <c r="V14" t="str">
        <f>IF(Table1[[#This Row],[Years
InCurrentRole]]&gt;4, "Role Stagnent", "Normal")</f>
        <v>Normal</v>
      </c>
      <c r="W14" t="str">
        <f>IF(AND(Table1[[#This Row],[Years
InCurrentRole]]&gt; 4, Table1[[#This Row],[Performance
Rating]]&gt;=3), "High Risk", "Normal")</f>
        <v>Normal</v>
      </c>
      <c r="X14" t="str">
        <f>IF(Table1[[#This Row],[Performance
Rating]]&gt;=4, "High Performer", "Low Performer")</f>
        <v>High Performer</v>
      </c>
    </row>
    <row r="15" spans="1:24" x14ac:dyDescent="0.3">
      <c r="B15" t="s">
        <v>19</v>
      </c>
      <c r="C15" t="s">
        <v>25</v>
      </c>
      <c r="D15">
        <v>1</v>
      </c>
      <c r="E15" t="s">
        <v>21</v>
      </c>
      <c r="F15">
        <v>1</v>
      </c>
      <c r="G15" t="s">
        <v>29</v>
      </c>
      <c r="H15">
        <v>3</v>
      </c>
      <c r="I15">
        <v>3306</v>
      </c>
      <c r="J15">
        <v>19</v>
      </c>
      <c r="K15">
        <v>3</v>
      </c>
      <c r="L15">
        <v>1</v>
      </c>
      <c r="M15">
        <v>7</v>
      </c>
      <c r="N15">
        <v>5</v>
      </c>
      <c r="O15">
        <v>2</v>
      </c>
      <c r="P15">
        <v>0</v>
      </c>
      <c r="Q15">
        <v>0</v>
      </c>
      <c r="R15">
        <v>0</v>
      </c>
      <c r="S15" t="s">
        <v>23</v>
      </c>
      <c r="T15" t="s">
        <v>24</v>
      </c>
      <c r="U15" t="str">
        <f>IF(Table1[[#This Row],[YearsSince
LastPromotion]]&gt; 4, "Delayed", "Normal")</f>
        <v>Normal</v>
      </c>
      <c r="V15" t="str">
        <f>IF(Table1[[#This Row],[Years
InCurrentRole]]&gt;4, "Role Stagnent", "Normal")</f>
        <v>Normal</v>
      </c>
      <c r="W15" t="str">
        <f>IF(AND(Table1[[#This Row],[Years
InCurrentRole]]&gt; 4, Table1[[#This Row],[Performance
Rating]]&gt;=3), "High Risk", "Normal")</f>
        <v>Normal</v>
      </c>
      <c r="X15" t="str">
        <f>IF(Table1[[#This Row],[Performance
Rating]]&gt;=4, "High Performer", "Low Performer")</f>
        <v>Low Performer</v>
      </c>
    </row>
    <row r="16" spans="1:24" x14ac:dyDescent="0.3">
      <c r="B16" t="s">
        <v>19</v>
      </c>
      <c r="C16" t="s">
        <v>25</v>
      </c>
      <c r="D16">
        <v>1</v>
      </c>
      <c r="E16" t="s">
        <v>28</v>
      </c>
      <c r="F16">
        <v>1</v>
      </c>
      <c r="G16" t="s">
        <v>26</v>
      </c>
      <c r="H16">
        <v>4</v>
      </c>
      <c r="I16">
        <v>1706</v>
      </c>
      <c r="J16">
        <v>11</v>
      </c>
      <c r="K16">
        <v>3</v>
      </c>
      <c r="L16">
        <v>3</v>
      </c>
      <c r="M16">
        <v>0</v>
      </c>
      <c r="N16">
        <v>6</v>
      </c>
      <c r="O16">
        <v>2</v>
      </c>
      <c r="P16">
        <v>0</v>
      </c>
      <c r="Q16">
        <v>0</v>
      </c>
      <c r="R16">
        <v>0</v>
      </c>
      <c r="S16" t="s">
        <v>23</v>
      </c>
      <c r="T16" t="s">
        <v>24</v>
      </c>
      <c r="U16" t="str">
        <f>IF(Table1[[#This Row],[YearsSince
LastPromotion]]&gt; 4, "Delayed", "Normal")</f>
        <v>Normal</v>
      </c>
      <c r="V16" t="str">
        <f>IF(Table1[[#This Row],[Years
InCurrentRole]]&gt;4, "Role Stagnent", "Normal")</f>
        <v>Normal</v>
      </c>
      <c r="W16" t="str">
        <f>IF(AND(Table1[[#This Row],[Years
InCurrentRole]]&gt; 4, Table1[[#This Row],[Performance
Rating]]&gt;=3), "High Risk", "Normal")</f>
        <v>Normal</v>
      </c>
      <c r="X16" t="str">
        <f>IF(Table1[[#This Row],[Performance
Rating]]&gt;=4, "High Performer", "Low Performer")</f>
        <v>Low Performer</v>
      </c>
    </row>
    <row r="17" spans="2:24" x14ac:dyDescent="0.3">
      <c r="B17" t="s">
        <v>27</v>
      </c>
      <c r="C17" t="s">
        <v>25</v>
      </c>
      <c r="D17">
        <v>1</v>
      </c>
      <c r="E17" t="s">
        <v>28</v>
      </c>
      <c r="F17">
        <v>1</v>
      </c>
      <c r="G17" t="s">
        <v>29</v>
      </c>
      <c r="H17">
        <v>3</v>
      </c>
      <c r="I17">
        <v>1904</v>
      </c>
      <c r="J17">
        <v>12</v>
      </c>
      <c r="K17">
        <v>3</v>
      </c>
      <c r="L17">
        <v>0</v>
      </c>
      <c r="M17">
        <v>0</v>
      </c>
      <c r="N17">
        <v>0</v>
      </c>
      <c r="O17">
        <v>3</v>
      </c>
      <c r="P17">
        <v>0</v>
      </c>
      <c r="Q17">
        <v>0</v>
      </c>
      <c r="R17">
        <v>0</v>
      </c>
      <c r="S17" t="s">
        <v>34</v>
      </c>
      <c r="T17" t="s">
        <v>24</v>
      </c>
      <c r="U17" t="str">
        <f>IF(Table1[[#This Row],[YearsSince
LastPromotion]]&gt; 4, "Delayed", "Normal")</f>
        <v>Normal</v>
      </c>
      <c r="V17" t="str">
        <f>IF(Table1[[#This Row],[Years
InCurrentRole]]&gt;4, "Role Stagnent", "Normal")</f>
        <v>Normal</v>
      </c>
      <c r="W17" t="str">
        <f>IF(AND(Table1[[#This Row],[Years
InCurrentRole]]&gt; 4, Table1[[#This Row],[Performance
Rating]]&gt;=3), "High Risk", "Normal")</f>
        <v>Normal</v>
      </c>
      <c r="X17" t="str">
        <f>IF(Table1[[#This Row],[Performance
Rating]]&gt;=4, "High Performer", "Low Performer")</f>
        <v>Low Performer</v>
      </c>
    </row>
    <row r="18" spans="2:24" x14ac:dyDescent="0.3">
      <c r="B18" t="s">
        <v>19</v>
      </c>
      <c r="C18" t="s">
        <v>20</v>
      </c>
      <c r="D18">
        <v>1</v>
      </c>
      <c r="E18" t="s">
        <v>21</v>
      </c>
      <c r="F18">
        <v>1</v>
      </c>
      <c r="G18" t="s">
        <v>30</v>
      </c>
      <c r="H18">
        <v>3</v>
      </c>
      <c r="I18">
        <v>1200</v>
      </c>
      <c r="J18">
        <v>12</v>
      </c>
      <c r="K18">
        <v>3</v>
      </c>
      <c r="L18">
        <v>0</v>
      </c>
      <c r="M18">
        <v>0</v>
      </c>
      <c r="N18">
        <v>2</v>
      </c>
      <c r="O18">
        <v>3</v>
      </c>
      <c r="P18">
        <v>0</v>
      </c>
      <c r="Q18">
        <v>0</v>
      </c>
      <c r="R18">
        <v>0</v>
      </c>
      <c r="S18" t="s">
        <v>34</v>
      </c>
      <c r="T18" t="s">
        <v>24</v>
      </c>
      <c r="U18" t="str">
        <f>IF(Table1[[#This Row],[YearsSince
LastPromotion]]&gt; 4, "Delayed", "Normal")</f>
        <v>Normal</v>
      </c>
      <c r="V18" t="str">
        <f>IF(Table1[[#This Row],[Years
InCurrentRole]]&gt;4, "Role Stagnent", "Normal")</f>
        <v>Normal</v>
      </c>
      <c r="W18" t="str">
        <f>IF(AND(Table1[[#This Row],[Years
InCurrentRole]]&gt; 4, Table1[[#This Row],[Performance
Rating]]&gt;=3), "High Risk", "Normal")</f>
        <v>Normal</v>
      </c>
      <c r="X18" t="str">
        <f>IF(Table1[[#This Row],[Performance
Rating]]&gt;=4, "High Performer", "Low Performer")</f>
        <v>Low Performer</v>
      </c>
    </row>
    <row r="19" spans="2:24" x14ac:dyDescent="0.3">
      <c r="B19" t="s">
        <v>27</v>
      </c>
      <c r="C19" t="s">
        <v>25</v>
      </c>
      <c r="D19">
        <v>1</v>
      </c>
      <c r="E19" t="s">
        <v>28</v>
      </c>
      <c r="F19">
        <v>1</v>
      </c>
      <c r="G19" t="s">
        <v>29</v>
      </c>
      <c r="H19">
        <v>3</v>
      </c>
      <c r="I19">
        <v>1420</v>
      </c>
      <c r="J19">
        <v>13</v>
      </c>
      <c r="K19">
        <v>3</v>
      </c>
      <c r="L19">
        <v>0</v>
      </c>
      <c r="M19">
        <v>0</v>
      </c>
      <c r="N19">
        <v>2</v>
      </c>
      <c r="O19">
        <v>3</v>
      </c>
      <c r="P19">
        <v>0</v>
      </c>
      <c r="Q19">
        <v>0</v>
      </c>
      <c r="R19">
        <v>0</v>
      </c>
      <c r="S19" t="s">
        <v>34</v>
      </c>
      <c r="T19" t="s">
        <v>24</v>
      </c>
      <c r="U19" t="str">
        <f>IF(Table1[[#This Row],[YearsSince
LastPromotion]]&gt; 4, "Delayed", "Normal")</f>
        <v>Normal</v>
      </c>
      <c r="V19" t="str">
        <f>IF(Table1[[#This Row],[Years
InCurrentRole]]&gt;4, "Role Stagnent", "Normal")</f>
        <v>Normal</v>
      </c>
      <c r="W19" t="str">
        <f>IF(AND(Table1[[#This Row],[Years
InCurrentRole]]&gt; 4, Table1[[#This Row],[Performance
Rating]]&gt;=3), "High Risk", "Normal")</f>
        <v>Normal</v>
      </c>
      <c r="X19" t="str">
        <f>IF(Table1[[#This Row],[Performance
Rating]]&gt;=4, "High Performer", "Low Performer")</f>
        <v>Low Performer</v>
      </c>
    </row>
    <row r="20" spans="2:24" x14ac:dyDescent="0.3">
      <c r="B20" t="s">
        <v>19</v>
      </c>
      <c r="C20" t="s">
        <v>25</v>
      </c>
      <c r="D20">
        <v>1</v>
      </c>
      <c r="E20" t="s">
        <v>28</v>
      </c>
      <c r="F20">
        <v>1</v>
      </c>
      <c r="G20" t="s">
        <v>26</v>
      </c>
      <c r="H20">
        <v>4</v>
      </c>
      <c r="I20">
        <v>1051</v>
      </c>
      <c r="J20">
        <v>15</v>
      </c>
      <c r="K20">
        <v>3</v>
      </c>
      <c r="L20">
        <v>0</v>
      </c>
      <c r="M20">
        <v>0</v>
      </c>
      <c r="N20">
        <v>2</v>
      </c>
      <c r="O20">
        <v>3</v>
      </c>
      <c r="P20">
        <v>0</v>
      </c>
      <c r="Q20">
        <v>0</v>
      </c>
      <c r="R20">
        <v>0</v>
      </c>
      <c r="S20" t="s">
        <v>34</v>
      </c>
      <c r="T20" t="s">
        <v>24</v>
      </c>
      <c r="U20" t="str">
        <f>IF(Table1[[#This Row],[YearsSince
LastPromotion]]&gt; 4, "Delayed", "Normal")</f>
        <v>Normal</v>
      </c>
      <c r="V20" t="str">
        <f>IF(Table1[[#This Row],[Years
InCurrentRole]]&gt;4, "Role Stagnent", "Normal")</f>
        <v>Normal</v>
      </c>
      <c r="W20" t="str">
        <f>IF(AND(Table1[[#This Row],[Years
InCurrentRole]]&gt; 4, Table1[[#This Row],[Performance
Rating]]&gt;=3), "High Risk", "Normal")</f>
        <v>Normal</v>
      </c>
      <c r="X20" t="str">
        <f>IF(Table1[[#This Row],[Performance
Rating]]&gt;=4, "High Performer", "Low Performer")</f>
        <v>Low Performer</v>
      </c>
    </row>
    <row r="21" spans="2:24" x14ac:dyDescent="0.3">
      <c r="B21" t="s">
        <v>27</v>
      </c>
      <c r="C21" t="s">
        <v>25</v>
      </c>
      <c r="D21">
        <v>1</v>
      </c>
      <c r="E21" t="s">
        <v>28</v>
      </c>
      <c r="F21">
        <v>1</v>
      </c>
      <c r="G21" t="s">
        <v>29</v>
      </c>
      <c r="H21">
        <v>1</v>
      </c>
      <c r="I21">
        <v>1601</v>
      </c>
      <c r="J21">
        <v>21</v>
      </c>
      <c r="K21">
        <v>4</v>
      </c>
      <c r="L21">
        <v>2</v>
      </c>
      <c r="M21">
        <v>1</v>
      </c>
      <c r="N21">
        <v>2</v>
      </c>
      <c r="O21">
        <v>3</v>
      </c>
      <c r="P21">
        <v>0</v>
      </c>
      <c r="Q21">
        <v>0</v>
      </c>
      <c r="R21">
        <v>0</v>
      </c>
      <c r="S21" t="s">
        <v>34</v>
      </c>
      <c r="T21" t="s">
        <v>24</v>
      </c>
      <c r="U21" t="str">
        <f>IF(Table1[[#This Row],[YearsSince
LastPromotion]]&gt; 4, "Delayed", "Normal")</f>
        <v>Normal</v>
      </c>
      <c r="V21" t="str">
        <f>IF(Table1[[#This Row],[Years
InCurrentRole]]&gt;4, "Role Stagnent", "Normal")</f>
        <v>Normal</v>
      </c>
      <c r="W21" t="str">
        <f>IF(AND(Table1[[#This Row],[Years
InCurrentRole]]&gt; 4, Table1[[#This Row],[Performance
Rating]]&gt;=3), "High Risk", "Normal")</f>
        <v>Normal</v>
      </c>
      <c r="X21" t="str">
        <f>IF(Table1[[#This Row],[Performance
Rating]]&gt;=4, "High Performer", "Low Performer")</f>
        <v>High Performer</v>
      </c>
    </row>
    <row r="22" spans="2:24" x14ac:dyDescent="0.3">
      <c r="B22" t="s">
        <v>19</v>
      </c>
      <c r="C22" t="s">
        <v>20</v>
      </c>
      <c r="D22">
        <v>1</v>
      </c>
      <c r="E22" t="s">
        <v>28</v>
      </c>
      <c r="F22">
        <v>2</v>
      </c>
      <c r="G22" t="s">
        <v>32</v>
      </c>
      <c r="H22">
        <v>2</v>
      </c>
      <c r="I22">
        <v>4327</v>
      </c>
      <c r="J22">
        <v>12</v>
      </c>
      <c r="K22">
        <v>3</v>
      </c>
      <c r="L22">
        <v>3</v>
      </c>
      <c r="M22">
        <v>5</v>
      </c>
      <c r="N22">
        <v>2</v>
      </c>
      <c r="O22">
        <v>3</v>
      </c>
      <c r="P22">
        <v>0</v>
      </c>
      <c r="Q22">
        <v>0</v>
      </c>
      <c r="R22">
        <v>0</v>
      </c>
      <c r="S22" t="s">
        <v>34</v>
      </c>
      <c r="T22" t="s">
        <v>24</v>
      </c>
      <c r="U22" t="str">
        <f>IF(Table1[[#This Row],[YearsSince
LastPromotion]]&gt; 4, "Delayed", "Normal")</f>
        <v>Normal</v>
      </c>
      <c r="V22" t="str">
        <f>IF(Table1[[#This Row],[Years
InCurrentRole]]&gt;4, "Role Stagnent", "Normal")</f>
        <v>Normal</v>
      </c>
      <c r="W22" t="str">
        <f>IF(AND(Table1[[#This Row],[Years
InCurrentRole]]&gt; 4, Table1[[#This Row],[Performance
Rating]]&gt;=3), "High Risk", "Normal")</f>
        <v>Normal</v>
      </c>
      <c r="X22" t="str">
        <f>IF(Table1[[#This Row],[Performance
Rating]]&gt;=4, "High Performer", "Low Performer")</f>
        <v>Low Performer</v>
      </c>
    </row>
    <row r="23" spans="2:24" x14ac:dyDescent="0.3">
      <c r="B23" t="s">
        <v>19</v>
      </c>
      <c r="C23" t="s">
        <v>25</v>
      </c>
      <c r="D23">
        <v>1</v>
      </c>
      <c r="E23" t="s">
        <v>28</v>
      </c>
      <c r="F23">
        <v>1</v>
      </c>
      <c r="G23" t="s">
        <v>26</v>
      </c>
      <c r="H23">
        <v>4</v>
      </c>
      <c r="I23">
        <v>2979</v>
      </c>
      <c r="J23">
        <v>17</v>
      </c>
      <c r="K23">
        <v>3</v>
      </c>
      <c r="L23">
        <v>3</v>
      </c>
      <c r="M23">
        <v>6</v>
      </c>
      <c r="N23">
        <v>2</v>
      </c>
      <c r="O23">
        <v>3</v>
      </c>
      <c r="P23">
        <v>0</v>
      </c>
      <c r="Q23">
        <v>0</v>
      </c>
      <c r="R23">
        <v>0</v>
      </c>
      <c r="S23" t="s">
        <v>34</v>
      </c>
      <c r="T23" t="s">
        <v>24</v>
      </c>
      <c r="U23" t="str">
        <f>IF(Table1[[#This Row],[YearsSince
LastPromotion]]&gt; 4, "Delayed", "Normal")</f>
        <v>Normal</v>
      </c>
      <c r="V23" t="str">
        <f>IF(Table1[[#This Row],[Years
InCurrentRole]]&gt;4, "Role Stagnent", "Normal")</f>
        <v>Normal</v>
      </c>
      <c r="W23" t="str">
        <f>IF(AND(Table1[[#This Row],[Years
InCurrentRole]]&gt; 4, Table1[[#This Row],[Performance
Rating]]&gt;=3), "High Risk", "Normal")</f>
        <v>Normal</v>
      </c>
      <c r="X23" t="str">
        <f>IF(Table1[[#This Row],[Performance
Rating]]&gt;=4, "High Performer", "Low Performer")</f>
        <v>Low Performer</v>
      </c>
    </row>
    <row r="24" spans="2:24" x14ac:dyDescent="0.3">
      <c r="B24" t="s">
        <v>27</v>
      </c>
      <c r="C24" t="s">
        <v>20</v>
      </c>
      <c r="D24">
        <v>1</v>
      </c>
      <c r="E24" t="s">
        <v>28</v>
      </c>
      <c r="F24">
        <v>2</v>
      </c>
      <c r="G24" t="s">
        <v>32</v>
      </c>
      <c r="H24">
        <v>2</v>
      </c>
      <c r="I24">
        <v>6735</v>
      </c>
      <c r="J24">
        <v>15</v>
      </c>
      <c r="K24">
        <v>3</v>
      </c>
      <c r="L24">
        <v>0</v>
      </c>
      <c r="M24">
        <v>10</v>
      </c>
      <c r="N24">
        <v>2</v>
      </c>
      <c r="O24">
        <v>3</v>
      </c>
      <c r="P24">
        <v>0</v>
      </c>
      <c r="Q24">
        <v>0</v>
      </c>
      <c r="R24">
        <v>0</v>
      </c>
      <c r="S24" t="s">
        <v>34</v>
      </c>
      <c r="T24" t="s">
        <v>24</v>
      </c>
      <c r="U24" t="str">
        <f>IF(Table1[[#This Row],[YearsSince
LastPromotion]]&gt; 4, "Delayed", "Normal")</f>
        <v>Normal</v>
      </c>
      <c r="V24" t="str">
        <f>IF(Table1[[#This Row],[Years
InCurrentRole]]&gt;4, "Role Stagnent", "Normal")</f>
        <v>Normal</v>
      </c>
      <c r="W24" t="str">
        <f>IF(AND(Table1[[#This Row],[Years
InCurrentRole]]&gt; 4, Table1[[#This Row],[Performance
Rating]]&gt;=3), "High Risk", "Normal")</f>
        <v>Normal</v>
      </c>
      <c r="X24" t="str">
        <f>IF(Table1[[#This Row],[Performance
Rating]]&gt;=4, "High Performer", "Low Performer")</f>
        <v>Low Performer</v>
      </c>
    </row>
    <row r="25" spans="2:24" x14ac:dyDescent="0.3">
      <c r="B25" t="s">
        <v>19</v>
      </c>
      <c r="C25" t="s">
        <v>20</v>
      </c>
      <c r="D25">
        <v>1</v>
      </c>
      <c r="E25" t="s">
        <v>28</v>
      </c>
      <c r="F25">
        <v>2</v>
      </c>
      <c r="G25" t="s">
        <v>32</v>
      </c>
      <c r="H25">
        <v>2</v>
      </c>
      <c r="I25">
        <v>6644</v>
      </c>
      <c r="J25">
        <v>19</v>
      </c>
      <c r="K25">
        <v>3</v>
      </c>
      <c r="L25">
        <v>2</v>
      </c>
      <c r="M25">
        <v>10</v>
      </c>
      <c r="N25">
        <v>2</v>
      </c>
      <c r="O25">
        <v>3</v>
      </c>
      <c r="P25">
        <v>0</v>
      </c>
      <c r="Q25">
        <v>0</v>
      </c>
      <c r="R25">
        <v>0</v>
      </c>
      <c r="S25" t="s">
        <v>34</v>
      </c>
      <c r="T25" t="s">
        <v>24</v>
      </c>
      <c r="U25" t="str">
        <f>IF(Table1[[#This Row],[YearsSince
LastPromotion]]&gt; 4, "Delayed", "Normal")</f>
        <v>Normal</v>
      </c>
      <c r="V25" t="str">
        <f>IF(Table1[[#This Row],[Years
InCurrentRole]]&gt;4, "Role Stagnent", "Normal")</f>
        <v>Normal</v>
      </c>
      <c r="W25" t="str">
        <f>IF(AND(Table1[[#This Row],[Years
InCurrentRole]]&gt; 4, Table1[[#This Row],[Performance
Rating]]&gt;=3), "High Risk", "Normal")</f>
        <v>Normal</v>
      </c>
      <c r="X25" t="str">
        <f>IF(Table1[[#This Row],[Performance
Rating]]&gt;=4, "High Performer", "Low Performer")</f>
        <v>Low Performer</v>
      </c>
    </row>
    <row r="26" spans="2:24" x14ac:dyDescent="0.3">
      <c r="B26" t="s">
        <v>27</v>
      </c>
      <c r="C26" t="s">
        <v>20</v>
      </c>
      <c r="D26">
        <v>1</v>
      </c>
      <c r="E26" t="s">
        <v>28</v>
      </c>
      <c r="F26">
        <v>1</v>
      </c>
      <c r="G26" t="s">
        <v>30</v>
      </c>
      <c r="H26">
        <v>2</v>
      </c>
      <c r="I26">
        <v>1878</v>
      </c>
      <c r="J26">
        <v>14</v>
      </c>
      <c r="K26">
        <v>3</v>
      </c>
      <c r="L26">
        <v>0</v>
      </c>
      <c r="M26">
        <v>0</v>
      </c>
      <c r="N26">
        <v>3</v>
      </c>
      <c r="O26">
        <v>3</v>
      </c>
      <c r="P26">
        <v>0</v>
      </c>
      <c r="Q26">
        <v>0</v>
      </c>
      <c r="R26">
        <v>0</v>
      </c>
      <c r="S26" t="s">
        <v>34</v>
      </c>
      <c r="T26" t="s">
        <v>24</v>
      </c>
      <c r="U26" t="str">
        <f>IF(Table1[[#This Row],[YearsSince
LastPromotion]]&gt; 4, "Delayed", "Normal")</f>
        <v>Normal</v>
      </c>
      <c r="V26" t="str">
        <f>IF(Table1[[#This Row],[Years
InCurrentRole]]&gt;4, "Role Stagnent", "Normal")</f>
        <v>Normal</v>
      </c>
      <c r="W26" t="str">
        <f>IF(AND(Table1[[#This Row],[Years
InCurrentRole]]&gt; 4, Table1[[#This Row],[Performance
Rating]]&gt;=3), "High Risk", "Normal")</f>
        <v>Normal</v>
      </c>
      <c r="X26" t="str">
        <f>IF(Table1[[#This Row],[Performance
Rating]]&gt;=4, "High Performer", "Low Performer")</f>
        <v>Low Performer</v>
      </c>
    </row>
    <row r="27" spans="2:24" x14ac:dyDescent="0.3">
      <c r="B27" t="s">
        <v>19</v>
      </c>
      <c r="C27" t="s">
        <v>20</v>
      </c>
      <c r="D27">
        <v>1</v>
      </c>
      <c r="E27" t="s">
        <v>28</v>
      </c>
      <c r="F27">
        <v>1</v>
      </c>
      <c r="G27" t="s">
        <v>30</v>
      </c>
      <c r="H27">
        <v>1</v>
      </c>
      <c r="I27">
        <v>2322</v>
      </c>
      <c r="J27">
        <v>13</v>
      </c>
      <c r="K27">
        <v>3</v>
      </c>
      <c r="L27">
        <v>1</v>
      </c>
      <c r="M27">
        <v>3</v>
      </c>
      <c r="N27">
        <v>3</v>
      </c>
      <c r="O27">
        <v>3</v>
      </c>
      <c r="P27">
        <v>0</v>
      </c>
      <c r="Q27">
        <v>0</v>
      </c>
      <c r="R27">
        <v>0</v>
      </c>
      <c r="S27" t="s">
        <v>34</v>
      </c>
      <c r="T27" t="s">
        <v>24</v>
      </c>
      <c r="U27" t="str">
        <f>IF(Table1[[#This Row],[YearsSince
LastPromotion]]&gt; 4, "Delayed", "Normal")</f>
        <v>Normal</v>
      </c>
      <c r="V27" t="str">
        <f>IF(Table1[[#This Row],[Years
InCurrentRole]]&gt;4, "Role Stagnent", "Normal")</f>
        <v>Normal</v>
      </c>
      <c r="W27" t="str">
        <f>IF(AND(Table1[[#This Row],[Years
InCurrentRole]]&gt; 4, Table1[[#This Row],[Performance
Rating]]&gt;=3), "High Risk", "Normal")</f>
        <v>Normal</v>
      </c>
      <c r="X27" t="str">
        <f>IF(Table1[[#This Row],[Performance
Rating]]&gt;=4, "High Performer", "Low Performer")</f>
        <v>Low Performer</v>
      </c>
    </row>
    <row r="28" spans="2:24" x14ac:dyDescent="0.3">
      <c r="B28" t="s">
        <v>19</v>
      </c>
      <c r="C28" t="s">
        <v>20</v>
      </c>
      <c r="D28">
        <v>1</v>
      </c>
      <c r="E28" t="s">
        <v>28</v>
      </c>
      <c r="F28">
        <v>2</v>
      </c>
      <c r="G28" t="s">
        <v>30</v>
      </c>
      <c r="H28">
        <v>3</v>
      </c>
      <c r="I28">
        <v>2976</v>
      </c>
      <c r="J28">
        <v>19</v>
      </c>
      <c r="K28">
        <v>3</v>
      </c>
      <c r="L28">
        <v>0</v>
      </c>
      <c r="M28">
        <v>5</v>
      </c>
      <c r="N28">
        <v>3</v>
      </c>
      <c r="O28">
        <v>3</v>
      </c>
      <c r="P28">
        <v>0</v>
      </c>
      <c r="Q28">
        <v>0</v>
      </c>
      <c r="R28">
        <v>0</v>
      </c>
      <c r="S28" t="s">
        <v>34</v>
      </c>
      <c r="T28" t="s">
        <v>24</v>
      </c>
      <c r="U28" t="str">
        <f>IF(Table1[[#This Row],[YearsSince
LastPromotion]]&gt; 4, "Delayed", "Normal")</f>
        <v>Normal</v>
      </c>
      <c r="V28" t="str">
        <f>IF(Table1[[#This Row],[Years
InCurrentRole]]&gt;4, "Role Stagnent", "Normal")</f>
        <v>Normal</v>
      </c>
      <c r="W28" t="str">
        <f>IF(AND(Table1[[#This Row],[Years
InCurrentRole]]&gt; 4, Table1[[#This Row],[Performance
Rating]]&gt;=3), "High Risk", "Normal")</f>
        <v>Normal</v>
      </c>
      <c r="X28" t="str">
        <f>IF(Table1[[#This Row],[Performance
Rating]]&gt;=4, "High Performer", "Low Performer")</f>
        <v>Low Performer</v>
      </c>
    </row>
    <row r="29" spans="2:24" x14ac:dyDescent="0.3">
      <c r="B29" t="s">
        <v>19</v>
      </c>
      <c r="C29" t="s">
        <v>25</v>
      </c>
      <c r="D29">
        <v>1</v>
      </c>
      <c r="E29" t="s">
        <v>28</v>
      </c>
      <c r="F29">
        <v>1</v>
      </c>
      <c r="G29" t="s">
        <v>26</v>
      </c>
      <c r="H29">
        <v>3</v>
      </c>
      <c r="I29">
        <v>2290</v>
      </c>
      <c r="J29">
        <v>13</v>
      </c>
      <c r="K29">
        <v>3</v>
      </c>
      <c r="L29">
        <v>0</v>
      </c>
      <c r="M29">
        <v>6</v>
      </c>
      <c r="N29">
        <v>3</v>
      </c>
      <c r="O29">
        <v>3</v>
      </c>
      <c r="P29">
        <v>0</v>
      </c>
      <c r="Q29">
        <v>0</v>
      </c>
      <c r="R29">
        <v>0</v>
      </c>
      <c r="S29" t="s">
        <v>34</v>
      </c>
      <c r="T29" t="s">
        <v>24</v>
      </c>
      <c r="U29" t="str">
        <f>IF(Table1[[#This Row],[YearsSince
LastPromotion]]&gt; 4, "Delayed", "Normal")</f>
        <v>Normal</v>
      </c>
      <c r="V29" t="str">
        <f>IF(Table1[[#This Row],[Years
InCurrentRole]]&gt;4, "Role Stagnent", "Normal")</f>
        <v>Normal</v>
      </c>
      <c r="W29" t="str">
        <f>IF(AND(Table1[[#This Row],[Years
InCurrentRole]]&gt; 4, Table1[[#This Row],[Performance
Rating]]&gt;=3), "High Risk", "Normal")</f>
        <v>Normal</v>
      </c>
      <c r="X29" t="str">
        <f>IF(Table1[[#This Row],[Performance
Rating]]&gt;=4, "High Performer", "Low Performer")</f>
        <v>Low Performer</v>
      </c>
    </row>
    <row r="30" spans="2:24" x14ac:dyDescent="0.3">
      <c r="B30" t="s">
        <v>19</v>
      </c>
      <c r="C30" t="s">
        <v>20</v>
      </c>
      <c r="D30">
        <v>1</v>
      </c>
      <c r="E30" t="s">
        <v>21</v>
      </c>
      <c r="F30">
        <v>2</v>
      </c>
      <c r="G30" t="s">
        <v>32</v>
      </c>
      <c r="H30">
        <v>1</v>
      </c>
      <c r="I30">
        <v>5380</v>
      </c>
      <c r="J30">
        <v>16</v>
      </c>
      <c r="K30">
        <v>3</v>
      </c>
      <c r="L30">
        <v>1</v>
      </c>
      <c r="M30">
        <v>6</v>
      </c>
      <c r="N30">
        <v>3</v>
      </c>
      <c r="O30">
        <v>3</v>
      </c>
      <c r="P30">
        <v>0</v>
      </c>
      <c r="Q30">
        <v>0</v>
      </c>
      <c r="R30">
        <v>0</v>
      </c>
      <c r="S30" t="s">
        <v>34</v>
      </c>
      <c r="T30" t="s">
        <v>24</v>
      </c>
      <c r="U30" t="str">
        <f>IF(Table1[[#This Row],[YearsSince
LastPromotion]]&gt; 4, "Delayed", "Normal")</f>
        <v>Normal</v>
      </c>
      <c r="V30" t="str">
        <f>IF(Table1[[#This Row],[Years
InCurrentRole]]&gt;4, "Role Stagnent", "Normal")</f>
        <v>Normal</v>
      </c>
      <c r="W30" t="str">
        <f>IF(AND(Table1[[#This Row],[Years
InCurrentRole]]&gt; 4, Table1[[#This Row],[Performance
Rating]]&gt;=3), "High Risk", "Normal")</f>
        <v>Normal</v>
      </c>
      <c r="X30" t="str">
        <f>IF(Table1[[#This Row],[Performance
Rating]]&gt;=4, "High Performer", "Low Performer")</f>
        <v>Low Performer</v>
      </c>
    </row>
    <row r="31" spans="2:24" x14ac:dyDescent="0.3">
      <c r="B31" t="s">
        <v>27</v>
      </c>
      <c r="C31" t="s">
        <v>25</v>
      </c>
      <c r="D31">
        <v>1</v>
      </c>
      <c r="E31" t="s">
        <v>28</v>
      </c>
      <c r="F31">
        <v>1</v>
      </c>
      <c r="G31" t="s">
        <v>29</v>
      </c>
      <c r="H31">
        <v>3</v>
      </c>
      <c r="I31">
        <v>2090</v>
      </c>
      <c r="J31">
        <v>15</v>
      </c>
      <c r="K31">
        <v>3</v>
      </c>
      <c r="L31">
        <v>0</v>
      </c>
      <c r="M31">
        <v>7</v>
      </c>
      <c r="N31">
        <v>3</v>
      </c>
      <c r="O31">
        <v>3</v>
      </c>
      <c r="P31">
        <v>0</v>
      </c>
      <c r="Q31">
        <v>0</v>
      </c>
      <c r="R31">
        <v>0</v>
      </c>
      <c r="S31" t="s">
        <v>34</v>
      </c>
      <c r="T31" t="s">
        <v>24</v>
      </c>
      <c r="U31" t="str">
        <f>IF(Table1[[#This Row],[YearsSince
LastPromotion]]&gt; 4, "Delayed", "Normal")</f>
        <v>Normal</v>
      </c>
      <c r="V31" t="str">
        <f>IF(Table1[[#This Row],[Years
InCurrentRole]]&gt;4, "Role Stagnent", "Normal")</f>
        <v>Normal</v>
      </c>
      <c r="W31" t="str">
        <f>IF(AND(Table1[[#This Row],[Years
InCurrentRole]]&gt; 4, Table1[[#This Row],[Performance
Rating]]&gt;=3), "High Risk", "Normal")</f>
        <v>Normal</v>
      </c>
      <c r="X31" t="str">
        <f>IF(Table1[[#This Row],[Performance
Rating]]&gt;=4, "High Performer", "Low Performer")</f>
        <v>Low Performer</v>
      </c>
    </row>
    <row r="32" spans="2:24" x14ac:dyDescent="0.3">
      <c r="B32" t="s">
        <v>19</v>
      </c>
      <c r="C32" t="s">
        <v>25</v>
      </c>
      <c r="D32">
        <v>1</v>
      </c>
      <c r="E32" t="s">
        <v>21</v>
      </c>
      <c r="F32">
        <v>2</v>
      </c>
      <c r="G32" t="s">
        <v>33</v>
      </c>
      <c r="H32">
        <v>1</v>
      </c>
      <c r="I32">
        <v>5121</v>
      </c>
      <c r="J32">
        <v>14</v>
      </c>
      <c r="K32">
        <v>3</v>
      </c>
      <c r="L32">
        <v>1</v>
      </c>
      <c r="M32">
        <v>7</v>
      </c>
      <c r="N32">
        <v>3</v>
      </c>
      <c r="O32">
        <v>3</v>
      </c>
      <c r="P32">
        <v>0</v>
      </c>
      <c r="Q32">
        <v>0</v>
      </c>
      <c r="R32">
        <v>0</v>
      </c>
      <c r="S32" t="s">
        <v>34</v>
      </c>
      <c r="T32" t="s">
        <v>24</v>
      </c>
      <c r="U32" t="str">
        <f>IF(Table1[[#This Row],[YearsSince
LastPromotion]]&gt; 4, "Delayed", "Normal")</f>
        <v>Normal</v>
      </c>
      <c r="V32" t="str">
        <f>IF(Table1[[#This Row],[Years
InCurrentRole]]&gt;4, "Role Stagnent", "Normal")</f>
        <v>Normal</v>
      </c>
      <c r="W32" t="str">
        <f>IF(AND(Table1[[#This Row],[Years
InCurrentRole]]&gt; 4, Table1[[#This Row],[Performance
Rating]]&gt;=3), "High Risk", "Normal")</f>
        <v>Normal</v>
      </c>
      <c r="X32" t="str">
        <f>IF(Table1[[#This Row],[Performance
Rating]]&gt;=4, "High Performer", "Low Performer")</f>
        <v>Low Performer</v>
      </c>
    </row>
    <row r="33" spans="2:24" x14ac:dyDescent="0.3">
      <c r="B33" t="s">
        <v>19</v>
      </c>
      <c r="C33" t="s">
        <v>25</v>
      </c>
      <c r="D33">
        <v>1</v>
      </c>
      <c r="E33" t="s">
        <v>28</v>
      </c>
      <c r="F33">
        <v>1</v>
      </c>
      <c r="G33" t="s">
        <v>29</v>
      </c>
      <c r="H33">
        <v>3</v>
      </c>
      <c r="I33">
        <v>3968</v>
      </c>
      <c r="J33">
        <v>13</v>
      </c>
      <c r="K33">
        <v>3</v>
      </c>
      <c r="L33">
        <v>0</v>
      </c>
      <c r="M33">
        <v>8</v>
      </c>
      <c r="N33">
        <v>3</v>
      </c>
      <c r="O33">
        <v>3</v>
      </c>
      <c r="P33">
        <v>0</v>
      </c>
      <c r="Q33">
        <v>0</v>
      </c>
      <c r="R33">
        <v>0</v>
      </c>
      <c r="S33" t="s">
        <v>34</v>
      </c>
      <c r="T33" t="s">
        <v>24</v>
      </c>
      <c r="U33" t="str">
        <f>IF(Table1[[#This Row],[YearsSince
LastPromotion]]&gt; 4, "Delayed", "Normal")</f>
        <v>Normal</v>
      </c>
      <c r="V33" t="str">
        <f>IF(Table1[[#This Row],[Years
InCurrentRole]]&gt;4, "Role Stagnent", "Normal")</f>
        <v>Normal</v>
      </c>
      <c r="W33" t="str">
        <f>IF(AND(Table1[[#This Row],[Years
InCurrentRole]]&gt; 4, Table1[[#This Row],[Performance
Rating]]&gt;=3), "High Risk", "Normal")</f>
        <v>Normal</v>
      </c>
      <c r="X33" t="str">
        <f>IF(Table1[[#This Row],[Performance
Rating]]&gt;=4, "High Performer", "Low Performer")</f>
        <v>Low Performer</v>
      </c>
    </row>
    <row r="34" spans="2:24" x14ac:dyDescent="0.3">
      <c r="B34" t="s">
        <v>27</v>
      </c>
      <c r="C34" t="s">
        <v>20</v>
      </c>
      <c r="D34">
        <v>1</v>
      </c>
      <c r="E34" t="s">
        <v>28</v>
      </c>
      <c r="F34">
        <v>2</v>
      </c>
      <c r="G34" t="s">
        <v>32</v>
      </c>
      <c r="H34">
        <v>3</v>
      </c>
      <c r="I34">
        <v>4728</v>
      </c>
      <c r="J34">
        <v>14</v>
      </c>
      <c r="K34">
        <v>3</v>
      </c>
      <c r="L34">
        <v>0</v>
      </c>
      <c r="M34">
        <v>5</v>
      </c>
      <c r="N34">
        <v>4</v>
      </c>
      <c r="O34">
        <v>3</v>
      </c>
      <c r="P34">
        <v>0</v>
      </c>
      <c r="Q34">
        <v>0</v>
      </c>
      <c r="R34">
        <v>0</v>
      </c>
      <c r="S34" t="s">
        <v>34</v>
      </c>
      <c r="T34" t="s">
        <v>24</v>
      </c>
      <c r="U34" t="str">
        <f>IF(Table1[[#This Row],[YearsSince
LastPromotion]]&gt; 4, "Delayed", "Normal")</f>
        <v>Normal</v>
      </c>
      <c r="V34" t="str">
        <f>IF(Table1[[#This Row],[Years
InCurrentRole]]&gt;4, "Role Stagnent", "Normal")</f>
        <v>Normal</v>
      </c>
      <c r="W34" t="str">
        <f>IF(AND(Table1[[#This Row],[Years
InCurrentRole]]&gt; 4, Table1[[#This Row],[Performance
Rating]]&gt;=3), "High Risk", "Normal")</f>
        <v>Normal</v>
      </c>
      <c r="X34" t="str">
        <f>IF(Table1[[#This Row],[Performance
Rating]]&gt;=4, "High Performer", "Low Performer")</f>
        <v>Low Performer</v>
      </c>
    </row>
    <row r="35" spans="2:24" x14ac:dyDescent="0.3">
      <c r="B35" t="s">
        <v>19</v>
      </c>
      <c r="C35" t="s">
        <v>20</v>
      </c>
      <c r="D35">
        <v>1</v>
      </c>
      <c r="E35" t="s">
        <v>28</v>
      </c>
      <c r="F35">
        <v>2</v>
      </c>
      <c r="G35" t="s">
        <v>32</v>
      </c>
      <c r="H35">
        <v>4</v>
      </c>
      <c r="I35">
        <v>5087</v>
      </c>
      <c r="J35">
        <v>12</v>
      </c>
      <c r="K35">
        <v>3</v>
      </c>
      <c r="L35">
        <v>2</v>
      </c>
      <c r="M35">
        <v>14</v>
      </c>
      <c r="N35">
        <v>4</v>
      </c>
      <c r="O35">
        <v>3</v>
      </c>
      <c r="P35">
        <v>0</v>
      </c>
      <c r="Q35">
        <v>0</v>
      </c>
      <c r="R35">
        <v>0</v>
      </c>
      <c r="S35" t="s">
        <v>34</v>
      </c>
      <c r="T35" t="s">
        <v>24</v>
      </c>
      <c r="U35" t="str">
        <f>IF(Table1[[#This Row],[YearsSince
LastPromotion]]&gt; 4, "Delayed", "Normal")</f>
        <v>Normal</v>
      </c>
      <c r="V35" t="str">
        <f>IF(Table1[[#This Row],[Years
InCurrentRole]]&gt;4, "Role Stagnent", "Normal")</f>
        <v>Normal</v>
      </c>
      <c r="W35" t="str">
        <f>IF(AND(Table1[[#This Row],[Years
InCurrentRole]]&gt; 4, Table1[[#This Row],[Performance
Rating]]&gt;=3), "High Risk", "Normal")</f>
        <v>Normal</v>
      </c>
      <c r="X35" t="str">
        <f>IF(Table1[[#This Row],[Performance
Rating]]&gt;=4, "High Performer", "Low Performer")</f>
        <v>Low Performer</v>
      </c>
    </row>
    <row r="36" spans="2:24" x14ac:dyDescent="0.3">
      <c r="B36" t="s">
        <v>19</v>
      </c>
      <c r="C36" t="s">
        <v>25</v>
      </c>
      <c r="D36">
        <v>1</v>
      </c>
      <c r="E36" t="s">
        <v>21</v>
      </c>
      <c r="F36">
        <v>5</v>
      </c>
      <c r="G36" t="s">
        <v>22</v>
      </c>
      <c r="H36">
        <v>2</v>
      </c>
      <c r="I36">
        <v>18061</v>
      </c>
      <c r="J36">
        <v>22</v>
      </c>
      <c r="K36">
        <v>4</v>
      </c>
      <c r="L36">
        <v>0</v>
      </c>
      <c r="M36">
        <v>22</v>
      </c>
      <c r="N36">
        <v>4</v>
      </c>
      <c r="O36">
        <v>3</v>
      </c>
      <c r="P36">
        <v>0</v>
      </c>
      <c r="Q36">
        <v>0</v>
      </c>
      <c r="R36">
        <v>0</v>
      </c>
      <c r="S36" t="s">
        <v>34</v>
      </c>
      <c r="T36" t="s">
        <v>24</v>
      </c>
      <c r="U36" t="str">
        <f>IF(Table1[[#This Row],[YearsSince
LastPromotion]]&gt; 4, "Delayed", "Normal")</f>
        <v>Normal</v>
      </c>
      <c r="V36" t="str">
        <f>IF(Table1[[#This Row],[Years
InCurrentRole]]&gt;4, "Role Stagnent", "Normal")</f>
        <v>Normal</v>
      </c>
      <c r="W36" t="str">
        <f>IF(AND(Table1[[#This Row],[Years
InCurrentRole]]&gt; 4, Table1[[#This Row],[Performance
Rating]]&gt;=3), "High Risk", "Normal")</f>
        <v>Normal</v>
      </c>
      <c r="X36" t="str">
        <f>IF(Table1[[#This Row],[Performance
Rating]]&gt;=4, "High Performer", "Low Performer")</f>
        <v>High Performer</v>
      </c>
    </row>
    <row r="37" spans="2:24" x14ac:dyDescent="0.3">
      <c r="B37" t="s">
        <v>19</v>
      </c>
      <c r="C37" t="s">
        <v>25</v>
      </c>
      <c r="D37">
        <v>1</v>
      </c>
      <c r="E37" t="s">
        <v>21</v>
      </c>
      <c r="F37">
        <v>1</v>
      </c>
      <c r="G37" t="s">
        <v>29</v>
      </c>
      <c r="H37">
        <v>4</v>
      </c>
      <c r="I37">
        <v>2871</v>
      </c>
      <c r="J37">
        <v>15</v>
      </c>
      <c r="K37">
        <v>3</v>
      </c>
      <c r="L37">
        <v>0</v>
      </c>
      <c r="M37">
        <v>1</v>
      </c>
      <c r="N37">
        <v>5</v>
      </c>
      <c r="O37">
        <v>3</v>
      </c>
      <c r="P37">
        <v>0</v>
      </c>
      <c r="Q37">
        <v>0</v>
      </c>
      <c r="R37">
        <v>0</v>
      </c>
      <c r="S37" t="s">
        <v>34</v>
      </c>
      <c r="T37" t="s">
        <v>24</v>
      </c>
      <c r="U37" t="str">
        <f>IF(Table1[[#This Row],[YearsSince
LastPromotion]]&gt; 4, "Delayed", "Normal")</f>
        <v>Normal</v>
      </c>
      <c r="V37" t="str">
        <f>IF(Table1[[#This Row],[Years
InCurrentRole]]&gt;4, "Role Stagnent", "Normal")</f>
        <v>Normal</v>
      </c>
      <c r="W37" t="str">
        <f>IF(AND(Table1[[#This Row],[Years
InCurrentRole]]&gt; 4, Table1[[#This Row],[Performance
Rating]]&gt;=3), "High Risk", "Normal")</f>
        <v>Normal</v>
      </c>
      <c r="X37" t="str">
        <f>IF(Table1[[#This Row],[Performance
Rating]]&gt;=4, "High Performer", "Low Performer")</f>
        <v>Low Performer</v>
      </c>
    </row>
    <row r="38" spans="2:24" x14ac:dyDescent="0.3">
      <c r="B38" t="s">
        <v>27</v>
      </c>
      <c r="C38" t="s">
        <v>25</v>
      </c>
      <c r="D38">
        <v>1</v>
      </c>
      <c r="E38" t="s">
        <v>28</v>
      </c>
      <c r="F38">
        <v>1</v>
      </c>
      <c r="G38" t="s">
        <v>26</v>
      </c>
      <c r="H38">
        <v>4</v>
      </c>
      <c r="I38">
        <v>2853</v>
      </c>
      <c r="J38">
        <v>11</v>
      </c>
      <c r="K38">
        <v>3</v>
      </c>
      <c r="L38">
        <v>1</v>
      </c>
      <c r="M38">
        <v>1</v>
      </c>
      <c r="N38">
        <v>5</v>
      </c>
      <c r="O38">
        <v>3</v>
      </c>
      <c r="P38">
        <v>0</v>
      </c>
      <c r="Q38">
        <v>0</v>
      </c>
      <c r="R38">
        <v>0</v>
      </c>
      <c r="S38" t="s">
        <v>34</v>
      </c>
      <c r="T38" t="s">
        <v>24</v>
      </c>
      <c r="U38" t="str">
        <f>IF(Table1[[#This Row],[YearsSince
LastPromotion]]&gt; 4, "Delayed", "Normal")</f>
        <v>Normal</v>
      </c>
      <c r="V38" t="str">
        <f>IF(Table1[[#This Row],[Years
InCurrentRole]]&gt;4, "Role Stagnent", "Normal")</f>
        <v>Normal</v>
      </c>
      <c r="W38" t="str">
        <f>IF(AND(Table1[[#This Row],[Years
InCurrentRole]]&gt; 4, Table1[[#This Row],[Performance
Rating]]&gt;=3), "High Risk", "Normal")</f>
        <v>Normal</v>
      </c>
      <c r="X38" t="str">
        <f>IF(Table1[[#This Row],[Performance
Rating]]&gt;=4, "High Performer", "Low Performer")</f>
        <v>Low Performer</v>
      </c>
    </row>
    <row r="39" spans="2:24" x14ac:dyDescent="0.3">
      <c r="B39" t="s">
        <v>27</v>
      </c>
      <c r="C39" t="s">
        <v>25</v>
      </c>
      <c r="D39">
        <v>1</v>
      </c>
      <c r="E39" t="s">
        <v>21</v>
      </c>
      <c r="F39">
        <v>1</v>
      </c>
      <c r="G39" t="s">
        <v>26</v>
      </c>
      <c r="H39">
        <v>1</v>
      </c>
      <c r="I39">
        <v>2404</v>
      </c>
      <c r="J39">
        <v>20</v>
      </c>
      <c r="K39">
        <v>4</v>
      </c>
      <c r="L39">
        <v>0</v>
      </c>
      <c r="M39">
        <v>3</v>
      </c>
      <c r="N39">
        <v>5</v>
      </c>
      <c r="O39">
        <v>3</v>
      </c>
      <c r="P39">
        <v>0</v>
      </c>
      <c r="Q39">
        <v>0</v>
      </c>
      <c r="R39">
        <v>0</v>
      </c>
      <c r="S39" t="s">
        <v>34</v>
      </c>
      <c r="T39" t="s">
        <v>24</v>
      </c>
      <c r="U39" t="str">
        <f>IF(Table1[[#This Row],[YearsSince
LastPromotion]]&gt; 4, "Delayed", "Normal")</f>
        <v>Normal</v>
      </c>
      <c r="V39" t="str">
        <f>IF(Table1[[#This Row],[Years
InCurrentRole]]&gt;4, "Role Stagnent", "Normal")</f>
        <v>Normal</v>
      </c>
      <c r="W39" t="str">
        <f>IF(AND(Table1[[#This Row],[Years
InCurrentRole]]&gt; 4, Table1[[#This Row],[Performance
Rating]]&gt;=3), "High Risk", "Normal")</f>
        <v>Normal</v>
      </c>
      <c r="X39" t="str">
        <f>IF(Table1[[#This Row],[Performance
Rating]]&gt;=4, "High Performer", "Low Performer")</f>
        <v>High Performer</v>
      </c>
    </row>
    <row r="40" spans="2:24" x14ac:dyDescent="0.3">
      <c r="B40" t="s">
        <v>19</v>
      </c>
      <c r="C40" t="s">
        <v>20</v>
      </c>
      <c r="D40">
        <v>1</v>
      </c>
      <c r="E40" t="s">
        <v>28</v>
      </c>
      <c r="F40">
        <v>2</v>
      </c>
      <c r="G40" t="s">
        <v>32</v>
      </c>
      <c r="H40">
        <v>3</v>
      </c>
      <c r="I40">
        <v>4306</v>
      </c>
      <c r="J40">
        <v>12</v>
      </c>
      <c r="K40">
        <v>3</v>
      </c>
      <c r="L40">
        <v>2</v>
      </c>
      <c r="M40">
        <v>8</v>
      </c>
      <c r="N40">
        <v>5</v>
      </c>
      <c r="O40">
        <v>3</v>
      </c>
      <c r="P40">
        <v>0</v>
      </c>
      <c r="Q40">
        <v>0</v>
      </c>
      <c r="R40">
        <v>0</v>
      </c>
      <c r="S40" t="s">
        <v>34</v>
      </c>
      <c r="T40" t="s">
        <v>24</v>
      </c>
      <c r="U40" t="str">
        <f>IF(Table1[[#This Row],[YearsSince
LastPromotion]]&gt; 4, "Delayed", "Normal")</f>
        <v>Normal</v>
      </c>
      <c r="V40" t="str">
        <f>IF(Table1[[#This Row],[Years
InCurrentRole]]&gt;4, "Role Stagnent", "Normal")</f>
        <v>Normal</v>
      </c>
      <c r="W40" t="str">
        <f>IF(AND(Table1[[#This Row],[Years
InCurrentRole]]&gt; 4, Table1[[#This Row],[Performance
Rating]]&gt;=3), "High Risk", "Normal")</f>
        <v>Normal</v>
      </c>
      <c r="X40" t="str">
        <f>IF(Table1[[#This Row],[Performance
Rating]]&gt;=4, "High Performer", "Low Performer")</f>
        <v>Low Performer</v>
      </c>
    </row>
    <row r="41" spans="2:24" x14ac:dyDescent="0.3">
      <c r="B41" t="s">
        <v>19</v>
      </c>
      <c r="C41" t="s">
        <v>25</v>
      </c>
      <c r="D41">
        <v>1</v>
      </c>
      <c r="E41" t="s">
        <v>28</v>
      </c>
      <c r="F41">
        <v>1</v>
      </c>
      <c r="G41" t="s">
        <v>26</v>
      </c>
      <c r="H41">
        <v>4</v>
      </c>
      <c r="I41">
        <v>1232</v>
      </c>
      <c r="J41">
        <v>14</v>
      </c>
      <c r="K41">
        <v>3</v>
      </c>
      <c r="L41">
        <v>0</v>
      </c>
      <c r="M41">
        <v>0</v>
      </c>
      <c r="N41">
        <v>6</v>
      </c>
      <c r="O41">
        <v>3</v>
      </c>
      <c r="P41">
        <v>0</v>
      </c>
      <c r="Q41">
        <v>0</v>
      </c>
      <c r="R41">
        <v>0</v>
      </c>
      <c r="S41" t="s">
        <v>34</v>
      </c>
      <c r="T41" t="s">
        <v>24</v>
      </c>
      <c r="U41" t="str">
        <f>IF(Table1[[#This Row],[YearsSince
LastPromotion]]&gt; 4, "Delayed", "Normal")</f>
        <v>Normal</v>
      </c>
      <c r="V41" t="str">
        <f>IF(Table1[[#This Row],[Years
InCurrentRole]]&gt;4, "Role Stagnent", "Normal")</f>
        <v>Normal</v>
      </c>
      <c r="W41" t="str">
        <f>IF(AND(Table1[[#This Row],[Years
InCurrentRole]]&gt; 4, Table1[[#This Row],[Performance
Rating]]&gt;=3), "High Risk", "Normal")</f>
        <v>Normal</v>
      </c>
      <c r="X41" t="str">
        <f>IF(Table1[[#This Row],[Performance
Rating]]&gt;=4, "High Performer", "Low Performer")</f>
        <v>Low Performer</v>
      </c>
    </row>
    <row r="42" spans="2:24" x14ac:dyDescent="0.3">
      <c r="B42" t="s">
        <v>19</v>
      </c>
      <c r="C42" t="s">
        <v>25</v>
      </c>
      <c r="D42">
        <v>1</v>
      </c>
      <c r="E42" t="s">
        <v>28</v>
      </c>
      <c r="F42">
        <v>2</v>
      </c>
      <c r="G42" t="s">
        <v>31</v>
      </c>
      <c r="H42">
        <v>3</v>
      </c>
      <c r="I42">
        <v>6388</v>
      </c>
      <c r="J42">
        <v>17</v>
      </c>
      <c r="K42">
        <v>3</v>
      </c>
      <c r="L42">
        <v>0</v>
      </c>
      <c r="M42">
        <v>14</v>
      </c>
      <c r="N42">
        <v>6</v>
      </c>
      <c r="O42">
        <v>3</v>
      </c>
      <c r="P42">
        <v>0</v>
      </c>
      <c r="Q42">
        <v>0</v>
      </c>
      <c r="R42">
        <v>0</v>
      </c>
      <c r="S42" t="s">
        <v>34</v>
      </c>
      <c r="T42" t="s">
        <v>24</v>
      </c>
      <c r="U42" t="str">
        <f>IF(Table1[[#This Row],[YearsSince
LastPromotion]]&gt; 4, "Delayed", "Normal")</f>
        <v>Normal</v>
      </c>
      <c r="V42" t="str">
        <f>IF(Table1[[#This Row],[Years
InCurrentRole]]&gt;4, "Role Stagnent", "Normal")</f>
        <v>Normal</v>
      </c>
      <c r="W42" t="str">
        <f>IF(AND(Table1[[#This Row],[Years
InCurrentRole]]&gt; 4, Table1[[#This Row],[Performance
Rating]]&gt;=3), "High Risk", "Normal")</f>
        <v>Normal</v>
      </c>
      <c r="X42" t="str">
        <f>IF(Table1[[#This Row],[Performance
Rating]]&gt;=4, "High Performer", "Low Performer")</f>
        <v>Low Performer</v>
      </c>
    </row>
    <row r="43" spans="2:24" x14ac:dyDescent="0.3">
      <c r="B43" t="s">
        <v>27</v>
      </c>
      <c r="C43" t="s">
        <v>20</v>
      </c>
      <c r="D43">
        <v>1</v>
      </c>
      <c r="E43" t="s">
        <v>21</v>
      </c>
      <c r="F43">
        <v>1</v>
      </c>
      <c r="G43" t="s">
        <v>30</v>
      </c>
      <c r="H43">
        <v>4</v>
      </c>
      <c r="I43">
        <v>1569</v>
      </c>
      <c r="J43">
        <v>12</v>
      </c>
      <c r="K43">
        <v>3</v>
      </c>
      <c r="L43">
        <v>0</v>
      </c>
      <c r="M43">
        <v>0</v>
      </c>
      <c r="N43">
        <v>2</v>
      </c>
      <c r="O43">
        <v>4</v>
      </c>
      <c r="P43">
        <v>0</v>
      </c>
      <c r="Q43">
        <v>0</v>
      </c>
      <c r="R43">
        <v>0</v>
      </c>
      <c r="S43" t="s">
        <v>34</v>
      </c>
      <c r="T43" t="s">
        <v>24</v>
      </c>
      <c r="U43" t="str">
        <f>IF(Table1[[#This Row],[YearsSince
LastPromotion]]&gt; 4, "Delayed", "Normal")</f>
        <v>Normal</v>
      </c>
      <c r="V43" t="str">
        <f>IF(Table1[[#This Row],[Years
InCurrentRole]]&gt;4, "Role Stagnent", "Normal")</f>
        <v>Normal</v>
      </c>
      <c r="W43" t="str">
        <f>IF(AND(Table1[[#This Row],[Years
InCurrentRole]]&gt; 4, Table1[[#This Row],[Performance
Rating]]&gt;=3), "High Risk", "Normal")</f>
        <v>Normal</v>
      </c>
      <c r="X43" t="str">
        <f>IF(Table1[[#This Row],[Performance
Rating]]&gt;=4, "High Performer", "Low Performer")</f>
        <v>Low Performer</v>
      </c>
    </row>
    <row r="44" spans="2:24" x14ac:dyDescent="0.3">
      <c r="B44" t="s">
        <v>19</v>
      </c>
      <c r="C44" t="s">
        <v>20</v>
      </c>
      <c r="D44">
        <v>1</v>
      </c>
      <c r="E44" t="s">
        <v>28</v>
      </c>
      <c r="F44">
        <v>2</v>
      </c>
      <c r="G44" t="s">
        <v>32</v>
      </c>
      <c r="H44">
        <v>4</v>
      </c>
      <c r="I44">
        <v>4648</v>
      </c>
      <c r="J44">
        <v>13</v>
      </c>
      <c r="K44">
        <v>3</v>
      </c>
      <c r="L44">
        <v>0</v>
      </c>
      <c r="M44">
        <v>4</v>
      </c>
      <c r="N44">
        <v>2</v>
      </c>
      <c r="O44">
        <v>4</v>
      </c>
      <c r="P44">
        <v>0</v>
      </c>
      <c r="Q44">
        <v>0</v>
      </c>
      <c r="R44">
        <v>0</v>
      </c>
      <c r="S44" t="s">
        <v>34</v>
      </c>
      <c r="T44" t="s">
        <v>24</v>
      </c>
      <c r="U44" t="str">
        <f>IF(Table1[[#This Row],[YearsSince
LastPromotion]]&gt; 4, "Delayed", "Normal")</f>
        <v>Normal</v>
      </c>
      <c r="V44" t="str">
        <f>IF(Table1[[#This Row],[Years
InCurrentRole]]&gt;4, "Role Stagnent", "Normal")</f>
        <v>Normal</v>
      </c>
      <c r="W44" t="str">
        <f>IF(AND(Table1[[#This Row],[Years
InCurrentRole]]&gt; 4, Table1[[#This Row],[Performance
Rating]]&gt;=3), "High Risk", "Normal")</f>
        <v>Normal</v>
      </c>
      <c r="X44" t="str">
        <f>IF(Table1[[#This Row],[Performance
Rating]]&gt;=4, "High Performer", "Low Performer")</f>
        <v>Low Performer</v>
      </c>
    </row>
    <row r="45" spans="2:24" x14ac:dyDescent="0.3">
      <c r="B45" t="s">
        <v>19</v>
      </c>
      <c r="C45" t="s">
        <v>25</v>
      </c>
      <c r="D45">
        <v>1</v>
      </c>
      <c r="E45" t="s">
        <v>28</v>
      </c>
      <c r="F45">
        <v>3</v>
      </c>
      <c r="G45" t="s">
        <v>35</v>
      </c>
      <c r="H45">
        <v>1</v>
      </c>
      <c r="I45">
        <v>13245</v>
      </c>
      <c r="J45">
        <v>14</v>
      </c>
      <c r="K45">
        <v>3</v>
      </c>
      <c r="L45">
        <v>0</v>
      </c>
      <c r="M45">
        <v>17</v>
      </c>
      <c r="N45">
        <v>3</v>
      </c>
      <c r="O45">
        <v>4</v>
      </c>
      <c r="P45">
        <v>0</v>
      </c>
      <c r="Q45">
        <v>0</v>
      </c>
      <c r="R45">
        <v>0</v>
      </c>
      <c r="S45" t="s">
        <v>34</v>
      </c>
      <c r="T45" t="s">
        <v>24</v>
      </c>
      <c r="U45" t="str">
        <f>IF(Table1[[#This Row],[YearsSince
LastPromotion]]&gt; 4, "Delayed", "Normal")</f>
        <v>Normal</v>
      </c>
      <c r="V45" t="str">
        <f>IF(Table1[[#This Row],[Years
InCurrentRole]]&gt;4, "Role Stagnent", "Normal")</f>
        <v>Normal</v>
      </c>
      <c r="W45" t="str">
        <f>IF(AND(Table1[[#This Row],[Years
InCurrentRole]]&gt; 4, Table1[[#This Row],[Performance
Rating]]&gt;=3), "High Risk", "Normal")</f>
        <v>Normal</v>
      </c>
      <c r="X45" t="str">
        <f>IF(Table1[[#This Row],[Performance
Rating]]&gt;=4, "High Performer", "Low Performer")</f>
        <v>Low Performer</v>
      </c>
    </row>
    <row r="46" spans="2:24" x14ac:dyDescent="0.3">
      <c r="B46" t="s">
        <v>19</v>
      </c>
      <c r="C46" t="s">
        <v>25</v>
      </c>
      <c r="D46">
        <v>1</v>
      </c>
      <c r="E46" t="s">
        <v>21</v>
      </c>
      <c r="F46">
        <v>1</v>
      </c>
      <c r="G46" t="s">
        <v>29</v>
      </c>
      <c r="H46">
        <v>4</v>
      </c>
      <c r="I46">
        <v>1611</v>
      </c>
      <c r="J46">
        <v>15</v>
      </c>
      <c r="K46">
        <v>3</v>
      </c>
      <c r="L46">
        <v>0</v>
      </c>
      <c r="M46">
        <v>0</v>
      </c>
      <c r="N46">
        <v>5</v>
      </c>
      <c r="O46">
        <v>4</v>
      </c>
      <c r="P46">
        <v>0</v>
      </c>
      <c r="Q46">
        <v>0</v>
      </c>
      <c r="R46">
        <v>0</v>
      </c>
      <c r="S46" t="s">
        <v>34</v>
      </c>
      <c r="T46" t="s">
        <v>24</v>
      </c>
      <c r="U46" t="str">
        <f>IF(Table1[[#This Row],[YearsSince
LastPromotion]]&gt; 4, "Delayed", "Normal")</f>
        <v>Normal</v>
      </c>
      <c r="V46" t="str">
        <f>IF(Table1[[#This Row],[Years
InCurrentRole]]&gt;4, "Role Stagnent", "Normal")</f>
        <v>Normal</v>
      </c>
      <c r="W46" t="str">
        <f>IF(AND(Table1[[#This Row],[Years
InCurrentRole]]&gt; 4, Table1[[#This Row],[Performance
Rating]]&gt;=3), "High Risk", "Normal")</f>
        <v>Normal</v>
      </c>
      <c r="X46" t="str">
        <f>IF(Table1[[#This Row],[Performance
Rating]]&gt;=4, "High Performer", "Low Performer")</f>
        <v>Low Performer</v>
      </c>
    </row>
    <row r="47" spans="2:24" x14ac:dyDescent="0.3">
      <c r="B47" t="s">
        <v>27</v>
      </c>
      <c r="C47" t="s">
        <v>20</v>
      </c>
      <c r="D47">
        <v>1</v>
      </c>
      <c r="E47" t="s">
        <v>21</v>
      </c>
      <c r="F47">
        <v>1</v>
      </c>
      <c r="G47" t="s">
        <v>30</v>
      </c>
      <c r="H47">
        <v>1</v>
      </c>
      <c r="I47">
        <v>2325</v>
      </c>
      <c r="J47">
        <v>21</v>
      </c>
      <c r="K47">
        <v>4</v>
      </c>
      <c r="L47">
        <v>0</v>
      </c>
      <c r="M47">
        <v>1</v>
      </c>
      <c r="N47">
        <v>5</v>
      </c>
      <c r="O47">
        <v>4</v>
      </c>
      <c r="P47">
        <v>0</v>
      </c>
      <c r="Q47">
        <v>0</v>
      </c>
      <c r="R47">
        <v>0</v>
      </c>
      <c r="S47" t="s">
        <v>34</v>
      </c>
      <c r="T47" t="s">
        <v>24</v>
      </c>
      <c r="U47" t="str">
        <f>IF(Table1[[#This Row],[YearsSince
LastPromotion]]&gt; 4, "Delayed", "Normal")</f>
        <v>Normal</v>
      </c>
      <c r="V47" t="str">
        <f>IF(Table1[[#This Row],[Years
InCurrentRole]]&gt;4, "Role Stagnent", "Normal")</f>
        <v>Normal</v>
      </c>
      <c r="W47" t="str">
        <f>IF(AND(Table1[[#This Row],[Years
InCurrentRole]]&gt; 4, Table1[[#This Row],[Performance
Rating]]&gt;=3), "High Risk", "Normal")</f>
        <v>Normal</v>
      </c>
      <c r="X47" t="str">
        <f>IF(Table1[[#This Row],[Performance
Rating]]&gt;=4, "High Performer", "Low Performer")</f>
        <v>High Performer</v>
      </c>
    </row>
    <row r="48" spans="2:24" x14ac:dyDescent="0.3">
      <c r="B48" t="s">
        <v>19</v>
      </c>
      <c r="C48" t="s">
        <v>25</v>
      </c>
      <c r="D48">
        <v>1</v>
      </c>
      <c r="E48" t="s">
        <v>28</v>
      </c>
      <c r="F48">
        <v>1</v>
      </c>
      <c r="G48" t="s">
        <v>26</v>
      </c>
      <c r="H48">
        <v>3</v>
      </c>
      <c r="I48">
        <v>3057</v>
      </c>
      <c r="J48">
        <v>13</v>
      </c>
      <c r="K48">
        <v>3</v>
      </c>
      <c r="L48">
        <v>1</v>
      </c>
      <c r="M48">
        <v>6</v>
      </c>
      <c r="N48">
        <v>0</v>
      </c>
      <c r="O48">
        <v>1</v>
      </c>
      <c r="P48">
        <v>1</v>
      </c>
      <c r="Q48">
        <v>0</v>
      </c>
      <c r="R48">
        <v>0</v>
      </c>
      <c r="S48" t="s">
        <v>23</v>
      </c>
      <c r="T48" t="s">
        <v>24</v>
      </c>
      <c r="U48" t="str">
        <f>IF(Table1[[#This Row],[YearsSince
LastPromotion]]&gt; 4, "Delayed", "Normal")</f>
        <v>Normal</v>
      </c>
      <c r="V48" t="str">
        <f>IF(Table1[[#This Row],[Years
InCurrentRole]]&gt;4, "Role Stagnent", "Normal")</f>
        <v>Normal</v>
      </c>
      <c r="W48" t="str">
        <f>IF(AND(Table1[[#This Row],[Years
InCurrentRole]]&gt; 4, Table1[[#This Row],[Performance
Rating]]&gt;=3), "High Risk", "Normal")</f>
        <v>Normal</v>
      </c>
      <c r="X48" t="str">
        <f>IF(Table1[[#This Row],[Performance
Rating]]&gt;=4, "High Performer", "Low Performer")</f>
        <v>Low Performer</v>
      </c>
    </row>
    <row r="49" spans="2:24" x14ac:dyDescent="0.3">
      <c r="B49" t="s">
        <v>27</v>
      </c>
      <c r="C49" t="s">
        <v>25</v>
      </c>
      <c r="D49">
        <v>1</v>
      </c>
      <c r="E49" t="s">
        <v>28</v>
      </c>
      <c r="F49">
        <v>1</v>
      </c>
      <c r="G49" t="s">
        <v>29</v>
      </c>
      <c r="H49">
        <v>3</v>
      </c>
      <c r="I49">
        <v>3161</v>
      </c>
      <c r="J49">
        <v>22</v>
      </c>
      <c r="K49">
        <v>4</v>
      </c>
      <c r="L49">
        <v>1</v>
      </c>
      <c r="M49">
        <v>19</v>
      </c>
      <c r="N49">
        <v>0</v>
      </c>
      <c r="O49">
        <v>1</v>
      </c>
      <c r="P49">
        <v>1</v>
      </c>
      <c r="Q49">
        <v>0</v>
      </c>
      <c r="R49">
        <v>0</v>
      </c>
      <c r="S49" t="s">
        <v>23</v>
      </c>
      <c r="T49" t="s">
        <v>24</v>
      </c>
      <c r="U49" t="str">
        <f>IF(Table1[[#This Row],[YearsSince
LastPromotion]]&gt; 4, "Delayed", "Normal")</f>
        <v>Normal</v>
      </c>
      <c r="V49" t="str">
        <f>IF(Table1[[#This Row],[Years
InCurrentRole]]&gt;4, "Role Stagnent", "Normal")</f>
        <v>Normal</v>
      </c>
      <c r="W49" t="str">
        <f>IF(AND(Table1[[#This Row],[Years
InCurrentRole]]&gt; 4, Table1[[#This Row],[Performance
Rating]]&gt;=3), "High Risk", "Normal")</f>
        <v>Normal</v>
      </c>
      <c r="X49" t="str">
        <f>IF(Table1[[#This Row],[Performance
Rating]]&gt;=4, "High Performer", "Low Performer")</f>
        <v>High Performer</v>
      </c>
    </row>
    <row r="50" spans="2:24" x14ac:dyDescent="0.3">
      <c r="B50" t="s">
        <v>27</v>
      </c>
      <c r="C50" t="s">
        <v>25</v>
      </c>
      <c r="D50">
        <v>1</v>
      </c>
      <c r="E50" t="s">
        <v>28</v>
      </c>
      <c r="F50">
        <v>1</v>
      </c>
      <c r="G50" t="s">
        <v>29</v>
      </c>
      <c r="H50">
        <v>4</v>
      </c>
      <c r="I50">
        <v>2795</v>
      </c>
      <c r="J50">
        <v>24</v>
      </c>
      <c r="K50">
        <v>4</v>
      </c>
      <c r="L50">
        <v>0</v>
      </c>
      <c r="M50">
        <v>1</v>
      </c>
      <c r="N50">
        <v>2</v>
      </c>
      <c r="O50">
        <v>1</v>
      </c>
      <c r="P50">
        <v>1</v>
      </c>
      <c r="Q50">
        <v>0</v>
      </c>
      <c r="R50">
        <v>0</v>
      </c>
      <c r="S50" t="s">
        <v>23</v>
      </c>
      <c r="T50" t="s">
        <v>24</v>
      </c>
      <c r="U50" t="str">
        <f>IF(Table1[[#This Row],[YearsSince
LastPromotion]]&gt; 4, "Delayed", "Normal")</f>
        <v>Normal</v>
      </c>
      <c r="V50" t="str">
        <f>IF(Table1[[#This Row],[Years
InCurrentRole]]&gt;4, "Role Stagnent", "Normal")</f>
        <v>Normal</v>
      </c>
      <c r="W50" t="str">
        <f>IF(AND(Table1[[#This Row],[Years
InCurrentRole]]&gt; 4, Table1[[#This Row],[Performance
Rating]]&gt;=3), "High Risk", "Normal")</f>
        <v>Normal</v>
      </c>
      <c r="X50" t="str">
        <f>IF(Table1[[#This Row],[Performance
Rating]]&gt;=4, "High Performer", "Low Performer")</f>
        <v>High Performer</v>
      </c>
    </row>
    <row r="51" spans="2:24" x14ac:dyDescent="0.3">
      <c r="B51" t="s">
        <v>19</v>
      </c>
      <c r="C51" t="s">
        <v>25</v>
      </c>
      <c r="D51">
        <v>1</v>
      </c>
      <c r="E51" t="s">
        <v>28</v>
      </c>
      <c r="F51">
        <v>1</v>
      </c>
      <c r="G51" t="s">
        <v>26</v>
      </c>
      <c r="H51">
        <v>3</v>
      </c>
      <c r="I51">
        <v>1563</v>
      </c>
      <c r="J51">
        <v>14</v>
      </c>
      <c r="K51">
        <v>3</v>
      </c>
      <c r="L51">
        <v>1</v>
      </c>
      <c r="M51">
        <v>1</v>
      </c>
      <c r="N51">
        <v>2</v>
      </c>
      <c r="O51">
        <v>1</v>
      </c>
      <c r="P51">
        <v>1</v>
      </c>
      <c r="Q51">
        <v>0</v>
      </c>
      <c r="R51">
        <v>0</v>
      </c>
      <c r="S51" t="s">
        <v>23</v>
      </c>
      <c r="T51" t="s">
        <v>24</v>
      </c>
      <c r="U51" t="str">
        <f>IF(Table1[[#This Row],[YearsSince
LastPromotion]]&gt; 4, "Delayed", "Normal")</f>
        <v>Normal</v>
      </c>
      <c r="V51" t="str">
        <f>IF(Table1[[#This Row],[Years
InCurrentRole]]&gt;4, "Role Stagnent", "Normal")</f>
        <v>Normal</v>
      </c>
      <c r="W51" t="str">
        <f>IF(AND(Table1[[#This Row],[Years
InCurrentRole]]&gt; 4, Table1[[#This Row],[Performance
Rating]]&gt;=3), "High Risk", "Normal")</f>
        <v>Normal</v>
      </c>
      <c r="X51" t="str">
        <f>IF(Table1[[#This Row],[Performance
Rating]]&gt;=4, "High Performer", "Low Performer")</f>
        <v>Low Performer</v>
      </c>
    </row>
    <row r="52" spans="2:24" x14ac:dyDescent="0.3">
      <c r="B52" t="s">
        <v>27</v>
      </c>
      <c r="C52" t="s">
        <v>25</v>
      </c>
      <c r="D52">
        <v>1</v>
      </c>
      <c r="E52" t="s">
        <v>28</v>
      </c>
      <c r="F52">
        <v>1</v>
      </c>
      <c r="G52" t="s">
        <v>26</v>
      </c>
      <c r="H52">
        <v>1</v>
      </c>
      <c r="I52">
        <v>2107</v>
      </c>
      <c r="J52">
        <v>17</v>
      </c>
      <c r="K52">
        <v>3</v>
      </c>
      <c r="L52">
        <v>1</v>
      </c>
      <c r="M52">
        <v>5</v>
      </c>
      <c r="N52">
        <v>2</v>
      </c>
      <c r="O52">
        <v>1</v>
      </c>
      <c r="P52">
        <v>1</v>
      </c>
      <c r="Q52">
        <v>0</v>
      </c>
      <c r="R52">
        <v>0</v>
      </c>
      <c r="S52" t="s">
        <v>23</v>
      </c>
      <c r="T52" t="s">
        <v>24</v>
      </c>
      <c r="U52" t="str">
        <f>IF(Table1[[#This Row],[YearsSince
LastPromotion]]&gt; 4, "Delayed", "Normal")</f>
        <v>Normal</v>
      </c>
      <c r="V52" t="str">
        <f>IF(Table1[[#This Row],[Years
InCurrentRole]]&gt;4, "Role Stagnent", "Normal")</f>
        <v>Normal</v>
      </c>
      <c r="W52" t="str">
        <f>IF(AND(Table1[[#This Row],[Years
InCurrentRole]]&gt; 4, Table1[[#This Row],[Performance
Rating]]&gt;=3), "High Risk", "Normal")</f>
        <v>Normal</v>
      </c>
      <c r="X52" t="str">
        <f>IF(Table1[[#This Row],[Performance
Rating]]&gt;=4, "High Performer", "Low Performer")</f>
        <v>Low Performer</v>
      </c>
    </row>
    <row r="53" spans="2:24" x14ac:dyDescent="0.3">
      <c r="B53" t="s">
        <v>27</v>
      </c>
      <c r="C53" t="s">
        <v>25</v>
      </c>
      <c r="D53">
        <v>1</v>
      </c>
      <c r="E53" t="s">
        <v>21</v>
      </c>
      <c r="F53">
        <v>2</v>
      </c>
      <c r="G53" t="s">
        <v>31</v>
      </c>
      <c r="H53">
        <v>2</v>
      </c>
      <c r="I53">
        <v>4777</v>
      </c>
      <c r="J53">
        <v>15</v>
      </c>
      <c r="K53">
        <v>3</v>
      </c>
      <c r="L53">
        <v>0</v>
      </c>
      <c r="M53">
        <v>15</v>
      </c>
      <c r="N53">
        <v>2</v>
      </c>
      <c r="O53">
        <v>1</v>
      </c>
      <c r="P53">
        <v>1</v>
      </c>
      <c r="Q53">
        <v>0</v>
      </c>
      <c r="R53">
        <v>0</v>
      </c>
      <c r="S53" t="s">
        <v>23</v>
      </c>
      <c r="T53" t="s">
        <v>24</v>
      </c>
      <c r="U53" t="str">
        <f>IF(Table1[[#This Row],[YearsSince
LastPromotion]]&gt; 4, "Delayed", "Normal")</f>
        <v>Normal</v>
      </c>
      <c r="V53" t="str">
        <f>IF(Table1[[#This Row],[Years
InCurrentRole]]&gt;4, "Role Stagnent", "Normal")</f>
        <v>Normal</v>
      </c>
      <c r="W53" t="str">
        <f>IF(AND(Table1[[#This Row],[Years
InCurrentRole]]&gt; 4, Table1[[#This Row],[Performance
Rating]]&gt;=3), "High Risk", "Normal")</f>
        <v>Normal</v>
      </c>
      <c r="X53" t="str">
        <f>IF(Table1[[#This Row],[Performance
Rating]]&gt;=4, "High Performer", "Low Performer")</f>
        <v>Low Performer</v>
      </c>
    </row>
    <row r="54" spans="2:24" x14ac:dyDescent="0.3">
      <c r="B54" t="s">
        <v>27</v>
      </c>
      <c r="C54" t="s">
        <v>25</v>
      </c>
      <c r="D54">
        <v>1</v>
      </c>
      <c r="E54" t="s">
        <v>28</v>
      </c>
      <c r="F54">
        <v>1</v>
      </c>
      <c r="G54" t="s">
        <v>29</v>
      </c>
      <c r="H54">
        <v>4</v>
      </c>
      <c r="I54">
        <v>2340</v>
      </c>
      <c r="J54">
        <v>18</v>
      </c>
      <c r="K54">
        <v>3</v>
      </c>
      <c r="L54">
        <v>0</v>
      </c>
      <c r="M54">
        <v>1</v>
      </c>
      <c r="N54">
        <v>3</v>
      </c>
      <c r="O54">
        <v>1</v>
      </c>
      <c r="P54">
        <v>1</v>
      </c>
      <c r="Q54">
        <v>0</v>
      </c>
      <c r="R54">
        <v>0</v>
      </c>
      <c r="S54" t="s">
        <v>23</v>
      </c>
      <c r="T54" t="s">
        <v>24</v>
      </c>
      <c r="U54" t="str">
        <f>IF(Table1[[#This Row],[YearsSince
LastPromotion]]&gt; 4, "Delayed", "Normal")</f>
        <v>Normal</v>
      </c>
      <c r="V54" t="str">
        <f>IF(Table1[[#This Row],[Years
InCurrentRole]]&gt;4, "Role Stagnent", "Normal")</f>
        <v>Normal</v>
      </c>
      <c r="W54" t="str">
        <f>IF(AND(Table1[[#This Row],[Years
InCurrentRole]]&gt; 4, Table1[[#This Row],[Performance
Rating]]&gt;=3), "High Risk", "Normal")</f>
        <v>Normal</v>
      </c>
      <c r="X54" t="str">
        <f>IF(Table1[[#This Row],[Performance
Rating]]&gt;=4, "High Performer", "Low Performer")</f>
        <v>Low Performer</v>
      </c>
    </row>
    <row r="55" spans="2:24" x14ac:dyDescent="0.3">
      <c r="B55" t="s">
        <v>27</v>
      </c>
      <c r="C55" t="s">
        <v>25</v>
      </c>
      <c r="D55">
        <v>1</v>
      </c>
      <c r="E55" t="s">
        <v>21</v>
      </c>
      <c r="F55">
        <v>1</v>
      </c>
      <c r="G55" t="s">
        <v>29</v>
      </c>
      <c r="H55">
        <v>2</v>
      </c>
      <c r="I55">
        <v>2210</v>
      </c>
      <c r="J55">
        <v>13</v>
      </c>
      <c r="K55">
        <v>3</v>
      </c>
      <c r="L55">
        <v>1</v>
      </c>
      <c r="M55">
        <v>1</v>
      </c>
      <c r="N55">
        <v>3</v>
      </c>
      <c r="O55">
        <v>1</v>
      </c>
      <c r="P55">
        <v>1</v>
      </c>
      <c r="Q55">
        <v>0</v>
      </c>
      <c r="R55">
        <v>0</v>
      </c>
      <c r="S55" t="s">
        <v>23</v>
      </c>
      <c r="T55" t="s">
        <v>24</v>
      </c>
      <c r="U55" t="str">
        <f>IF(Table1[[#This Row],[YearsSince
LastPromotion]]&gt; 4, "Delayed", "Normal")</f>
        <v>Normal</v>
      </c>
      <c r="V55" t="str">
        <f>IF(Table1[[#This Row],[Years
InCurrentRole]]&gt;4, "Role Stagnent", "Normal")</f>
        <v>Normal</v>
      </c>
      <c r="W55" t="str">
        <f>IF(AND(Table1[[#This Row],[Years
InCurrentRole]]&gt; 4, Table1[[#This Row],[Performance
Rating]]&gt;=3), "High Risk", "Normal")</f>
        <v>Normal</v>
      </c>
      <c r="X55" t="str">
        <f>IF(Table1[[#This Row],[Performance
Rating]]&gt;=4, "High Performer", "Low Performer")</f>
        <v>Low Performer</v>
      </c>
    </row>
    <row r="56" spans="2:24" x14ac:dyDescent="0.3">
      <c r="B56" t="s">
        <v>19</v>
      </c>
      <c r="C56" t="s">
        <v>20</v>
      </c>
      <c r="D56">
        <v>1</v>
      </c>
      <c r="E56" t="s">
        <v>28</v>
      </c>
      <c r="F56">
        <v>2</v>
      </c>
      <c r="G56" t="s">
        <v>32</v>
      </c>
      <c r="H56">
        <v>2</v>
      </c>
      <c r="I56">
        <v>4978</v>
      </c>
      <c r="J56">
        <v>11</v>
      </c>
      <c r="K56">
        <v>3</v>
      </c>
      <c r="L56">
        <v>1</v>
      </c>
      <c r="M56">
        <v>4</v>
      </c>
      <c r="N56">
        <v>3</v>
      </c>
      <c r="O56">
        <v>1</v>
      </c>
      <c r="P56">
        <v>1</v>
      </c>
      <c r="Q56">
        <v>0</v>
      </c>
      <c r="R56">
        <v>0</v>
      </c>
      <c r="S56" t="s">
        <v>23</v>
      </c>
      <c r="T56" t="s">
        <v>24</v>
      </c>
      <c r="U56" t="str">
        <f>IF(Table1[[#This Row],[YearsSince
LastPromotion]]&gt; 4, "Delayed", "Normal")</f>
        <v>Normal</v>
      </c>
      <c r="V56" t="str">
        <f>IF(Table1[[#This Row],[Years
InCurrentRole]]&gt;4, "Role Stagnent", "Normal")</f>
        <v>Normal</v>
      </c>
      <c r="W56" t="str">
        <f>IF(AND(Table1[[#This Row],[Years
InCurrentRole]]&gt; 4, Table1[[#This Row],[Performance
Rating]]&gt;=3), "High Risk", "Normal")</f>
        <v>Normal</v>
      </c>
      <c r="X56" t="str">
        <f>IF(Table1[[#This Row],[Performance
Rating]]&gt;=4, "High Performer", "Low Performer")</f>
        <v>Low Performer</v>
      </c>
    </row>
    <row r="57" spans="2:24" x14ac:dyDescent="0.3">
      <c r="B57" t="s">
        <v>19</v>
      </c>
      <c r="C57" t="s">
        <v>25</v>
      </c>
      <c r="D57">
        <v>1</v>
      </c>
      <c r="E57" t="s">
        <v>28</v>
      </c>
      <c r="F57">
        <v>1</v>
      </c>
      <c r="G57" t="s">
        <v>26</v>
      </c>
      <c r="H57">
        <v>4</v>
      </c>
      <c r="I57">
        <v>2972</v>
      </c>
      <c r="J57">
        <v>13</v>
      </c>
      <c r="K57">
        <v>3</v>
      </c>
      <c r="L57">
        <v>0</v>
      </c>
      <c r="M57">
        <v>1</v>
      </c>
      <c r="N57">
        <v>4</v>
      </c>
      <c r="O57">
        <v>1</v>
      </c>
      <c r="P57">
        <v>1</v>
      </c>
      <c r="Q57">
        <v>0</v>
      </c>
      <c r="R57">
        <v>0</v>
      </c>
      <c r="S57" t="s">
        <v>23</v>
      </c>
      <c r="T57" t="s">
        <v>24</v>
      </c>
      <c r="U57" t="str">
        <f>IF(Table1[[#This Row],[YearsSince
LastPromotion]]&gt; 4, "Delayed", "Normal")</f>
        <v>Normal</v>
      </c>
      <c r="V57" t="str">
        <f>IF(Table1[[#This Row],[Years
InCurrentRole]]&gt;4, "Role Stagnent", "Normal")</f>
        <v>Normal</v>
      </c>
      <c r="W57" t="str">
        <f>IF(AND(Table1[[#This Row],[Years
InCurrentRole]]&gt; 4, Table1[[#This Row],[Performance
Rating]]&gt;=3), "High Risk", "Normal")</f>
        <v>Normal</v>
      </c>
      <c r="X57" t="str">
        <f>IF(Table1[[#This Row],[Performance
Rating]]&gt;=4, "High Performer", "Low Performer")</f>
        <v>Low Performer</v>
      </c>
    </row>
    <row r="58" spans="2:24" x14ac:dyDescent="0.3">
      <c r="B58" t="s">
        <v>19</v>
      </c>
      <c r="C58" t="s">
        <v>25</v>
      </c>
      <c r="D58">
        <v>1</v>
      </c>
      <c r="E58" t="s">
        <v>28</v>
      </c>
      <c r="F58">
        <v>1</v>
      </c>
      <c r="G58" t="s">
        <v>26</v>
      </c>
      <c r="H58">
        <v>4</v>
      </c>
      <c r="I58">
        <v>2723</v>
      </c>
      <c r="J58">
        <v>11</v>
      </c>
      <c r="K58">
        <v>3</v>
      </c>
      <c r="L58">
        <v>0</v>
      </c>
      <c r="M58">
        <v>1</v>
      </c>
      <c r="N58">
        <v>0</v>
      </c>
      <c r="O58">
        <v>2</v>
      </c>
      <c r="P58">
        <v>1</v>
      </c>
      <c r="Q58">
        <v>0</v>
      </c>
      <c r="R58">
        <v>0</v>
      </c>
      <c r="S58" t="s">
        <v>23</v>
      </c>
      <c r="T58" t="s">
        <v>24</v>
      </c>
      <c r="U58" t="str">
        <f>IF(Table1[[#This Row],[YearsSince
LastPromotion]]&gt; 4, "Delayed", "Normal")</f>
        <v>Normal</v>
      </c>
      <c r="V58" t="str">
        <f>IF(Table1[[#This Row],[Years
InCurrentRole]]&gt;4, "Role Stagnent", "Normal")</f>
        <v>Normal</v>
      </c>
      <c r="W58" t="str">
        <f>IF(AND(Table1[[#This Row],[Years
InCurrentRole]]&gt; 4, Table1[[#This Row],[Performance
Rating]]&gt;=3), "High Risk", "Normal")</f>
        <v>Normal</v>
      </c>
      <c r="X58" t="str">
        <f>IF(Table1[[#This Row],[Performance
Rating]]&gt;=4, "High Performer", "Low Performer")</f>
        <v>Low Performer</v>
      </c>
    </row>
    <row r="59" spans="2:24" x14ac:dyDescent="0.3">
      <c r="B59" t="s">
        <v>27</v>
      </c>
      <c r="C59" t="s">
        <v>25</v>
      </c>
      <c r="D59">
        <v>1</v>
      </c>
      <c r="E59" t="s">
        <v>28</v>
      </c>
      <c r="F59">
        <v>1</v>
      </c>
      <c r="G59" t="s">
        <v>26</v>
      </c>
      <c r="H59">
        <v>3</v>
      </c>
      <c r="I59">
        <v>3388</v>
      </c>
      <c r="J59">
        <v>17</v>
      </c>
      <c r="K59">
        <v>3</v>
      </c>
      <c r="L59">
        <v>1</v>
      </c>
      <c r="M59">
        <v>2</v>
      </c>
      <c r="N59">
        <v>0</v>
      </c>
      <c r="O59">
        <v>2</v>
      </c>
      <c r="P59">
        <v>1</v>
      </c>
      <c r="Q59">
        <v>0</v>
      </c>
      <c r="R59">
        <v>0</v>
      </c>
      <c r="S59" t="s">
        <v>23</v>
      </c>
      <c r="T59" t="s">
        <v>24</v>
      </c>
      <c r="U59" t="str">
        <f>IF(Table1[[#This Row],[YearsSince
LastPromotion]]&gt; 4, "Delayed", "Normal")</f>
        <v>Normal</v>
      </c>
      <c r="V59" t="str">
        <f>IF(Table1[[#This Row],[Years
InCurrentRole]]&gt;4, "Role Stagnent", "Normal")</f>
        <v>Normal</v>
      </c>
      <c r="W59" t="str">
        <f>IF(AND(Table1[[#This Row],[Years
InCurrentRole]]&gt; 4, Table1[[#This Row],[Performance
Rating]]&gt;=3), "High Risk", "Normal")</f>
        <v>Normal</v>
      </c>
      <c r="X59" t="str">
        <f>IF(Table1[[#This Row],[Performance
Rating]]&gt;=4, "High Performer", "Low Performer")</f>
        <v>Low Performer</v>
      </c>
    </row>
    <row r="60" spans="2:24" x14ac:dyDescent="0.3">
      <c r="B60" t="s">
        <v>19</v>
      </c>
      <c r="C60" t="s">
        <v>25</v>
      </c>
      <c r="D60">
        <v>1</v>
      </c>
      <c r="E60" t="s">
        <v>21</v>
      </c>
      <c r="F60">
        <v>3</v>
      </c>
      <c r="G60" t="s">
        <v>31</v>
      </c>
      <c r="H60">
        <v>1</v>
      </c>
      <c r="I60">
        <v>9985</v>
      </c>
      <c r="J60">
        <v>16</v>
      </c>
      <c r="K60">
        <v>3</v>
      </c>
      <c r="L60">
        <v>1</v>
      </c>
      <c r="M60">
        <v>10</v>
      </c>
      <c r="N60">
        <v>1</v>
      </c>
      <c r="O60">
        <v>2</v>
      </c>
      <c r="P60">
        <v>1</v>
      </c>
      <c r="Q60">
        <v>0</v>
      </c>
      <c r="R60">
        <v>0</v>
      </c>
      <c r="S60" t="s">
        <v>23</v>
      </c>
      <c r="T60" t="s">
        <v>24</v>
      </c>
      <c r="U60" t="str">
        <f>IF(Table1[[#This Row],[YearsSince
LastPromotion]]&gt; 4, "Delayed", "Normal")</f>
        <v>Normal</v>
      </c>
      <c r="V60" t="str">
        <f>IF(Table1[[#This Row],[Years
InCurrentRole]]&gt;4, "Role Stagnent", "Normal")</f>
        <v>Normal</v>
      </c>
      <c r="W60" t="str">
        <f>IF(AND(Table1[[#This Row],[Years
InCurrentRole]]&gt; 4, Table1[[#This Row],[Performance
Rating]]&gt;=3), "High Risk", "Normal")</f>
        <v>Normal</v>
      </c>
      <c r="X60" t="str">
        <f>IF(Table1[[#This Row],[Performance
Rating]]&gt;=4, "High Performer", "Low Performer")</f>
        <v>Low Performer</v>
      </c>
    </row>
    <row r="61" spans="2:24" x14ac:dyDescent="0.3">
      <c r="B61" t="s">
        <v>27</v>
      </c>
      <c r="C61" t="s">
        <v>25</v>
      </c>
      <c r="D61">
        <v>1</v>
      </c>
      <c r="E61" t="s">
        <v>28</v>
      </c>
      <c r="F61">
        <v>1</v>
      </c>
      <c r="G61" t="s">
        <v>29</v>
      </c>
      <c r="H61">
        <v>3</v>
      </c>
      <c r="I61">
        <v>2293</v>
      </c>
      <c r="J61">
        <v>12</v>
      </c>
      <c r="K61">
        <v>3</v>
      </c>
      <c r="L61">
        <v>0</v>
      </c>
      <c r="M61">
        <v>1</v>
      </c>
      <c r="N61">
        <v>2</v>
      </c>
      <c r="O61">
        <v>2</v>
      </c>
      <c r="P61">
        <v>1</v>
      </c>
      <c r="Q61">
        <v>0</v>
      </c>
      <c r="R61">
        <v>0</v>
      </c>
      <c r="S61" t="s">
        <v>23</v>
      </c>
      <c r="T61" t="s">
        <v>24</v>
      </c>
      <c r="U61" t="str">
        <f>IF(Table1[[#This Row],[YearsSince
LastPromotion]]&gt; 4, "Delayed", "Normal")</f>
        <v>Normal</v>
      </c>
      <c r="V61" t="str">
        <f>IF(Table1[[#This Row],[Years
InCurrentRole]]&gt;4, "Role Stagnent", "Normal")</f>
        <v>Normal</v>
      </c>
      <c r="W61" t="str">
        <f>IF(AND(Table1[[#This Row],[Years
InCurrentRole]]&gt; 4, Table1[[#This Row],[Performance
Rating]]&gt;=3), "High Risk", "Normal")</f>
        <v>Normal</v>
      </c>
      <c r="X61" t="str">
        <f>IF(Table1[[#This Row],[Performance
Rating]]&gt;=4, "High Performer", "Low Performer")</f>
        <v>Low Performer</v>
      </c>
    </row>
    <row r="62" spans="2:24" x14ac:dyDescent="0.3">
      <c r="B62" t="s">
        <v>19</v>
      </c>
      <c r="C62" t="s">
        <v>25</v>
      </c>
      <c r="D62">
        <v>1</v>
      </c>
      <c r="E62" t="s">
        <v>28</v>
      </c>
      <c r="F62">
        <v>1</v>
      </c>
      <c r="G62" t="s">
        <v>26</v>
      </c>
      <c r="H62">
        <v>3</v>
      </c>
      <c r="I62">
        <v>1274</v>
      </c>
      <c r="J62">
        <v>13</v>
      </c>
      <c r="K62">
        <v>3</v>
      </c>
      <c r="L62">
        <v>2</v>
      </c>
      <c r="M62">
        <v>1</v>
      </c>
      <c r="N62">
        <v>2</v>
      </c>
      <c r="O62">
        <v>2</v>
      </c>
      <c r="P62">
        <v>1</v>
      </c>
      <c r="Q62">
        <v>0</v>
      </c>
      <c r="R62">
        <v>0</v>
      </c>
      <c r="S62" t="s">
        <v>23</v>
      </c>
      <c r="T62" t="s">
        <v>24</v>
      </c>
      <c r="U62" t="str">
        <f>IF(Table1[[#This Row],[YearsSince
LastPromotion]]&gt; 4, "Delayed", "Normal")</f>
        <v>Normal</v>
      </c>
      <c r="V62" t="str">
        <f>IF(Table1[[#This Row],[Years
InCurrentRole]]&gt;4, "Role Stagnent", "Normal")</f>
        <v>Normal</v>
      </c>
      <c r="W62" t="str">
        <f>IF(AND(Table1[[#This Row],[Years
InCurrentRole]]&gt; 4, Table1[[#This Row],[Performance
Rating]]&gt;=3), "High Risk", "Normal")</f>
        <v>Normal</v>
      </c>
      <c r="X62" t="str">
        <f>IF(Table1[[#This Row],[Performance
Rating]]&gt;=4, "High Performer", "Low Performer")</f>
        <v>Low Performer</v>
      </c>
    </row>
    <row r="63" spans="2:24" x14ac:dyDescent="0.3">
      <c r="B63" t="s">
        <v>19</v>
      </c>
      <c r="C63" t="s">
        <v>25</v>
      </c>
      <c r="D63">
        <v>1</v>
      </c>
      <c r="E63" t="s">
        <v>28</v>
      </c>
      <c r="F63">
        <v>1</v>
      </c>
      <c r="G63" t="s">
        <v>29</v>
      </c>
      <c r="H63">
        <v>4</v>
      </c>
      <c r="I63">
        <v>2935</v>
      </c>
      <c r="J63">
        <v>13</v>
      </c>
      <c r="K63">
        <v>3</v>
      </c>
      <c r="L63">
        <v>2</v>
      </c>
      <c r="M63">
        <v>1</v>
      </c>
      <c r="N63">
        <v>2</v>
      </c>
      <c r="O63">
        <v>2</v>
      </c>
      <c r="P63">
        <v>1</v>
      </c>
      <c r="Q63">
        <v>0</v>
      </c>
      <c r="R63">
        <v>0</v>
      </c>
      <c r="S63" t="s">
        <v>23</v>
      </c>
      <c r="T63" t="s">
        <v>24</v>
      </c>
      <c r="U63" t="str">
        <f>IF(Table1[[#This Row],[YearsSince
LastPromotion]]&gt; 4, "Delayed", "Normal")</f>
        <v>Normal</v>
      </c>
      <c r="V63" t="str">
        <f>IF(Table1[[#This Row],[Years
InCurrentRole]]&gt;4, "Role Stagnent", "Normal")</f>
        <v>Normal</v>
      </c>
      <c r="W63" t="str">
        <f>IF(AND(Table1[[#This Row],[Years
InCurrentRole]]&gt; 4, Table1[[#This Row],[Performance
Rating]]&gt;=3), "High Risk", "Normal")</f>
        <v>Normal</v>
      </c>
      <c r="X63" t="str">
        <f>IF(Table1[[#This Row],[Performance
Rating]]&gt;=4, "High Performer", "Low Performer")</f>
        <v>Low Performer</v>
      </c>
    </row>
    <row r="64" spans="2:24" x14ac:dyDescent="0.3">
      <c r="B64" t="s">
        <v>19</v>
      </c>
      <c r="C64" t="s">
        <v>25</v>
      </c>
      <c r="D64">
        <v>1</v>
      </c>
      <c r="E64" t="s">
        <v>28</v>
      </c>
      <c r="F64">
        <v>1</v>
      </c>
      <c r="G64" t="s">
        <v>26</v>
      </c>
      <c r="H64">
        <v>3</v>
      </c>
      <c r="I64">
        <v>2451</v>
      </c>
      <c r="J64">
        <v>18</v>
      </c>
      <c r="K64">
        <v>3</v>
      </c>
      <c r="L64">
        <v>2</v>
      </c>
      <c r="M64">
        <v>5</v>
      </c>
      <c r="N64">
        <v>2</v>
      </c>
      <c r="O64">
        <v>2</v>
      </c>
      <c r="P64">
        <v>1</v>
      </c>
      <c r="Q64">
        <v>0</v>
      </c>
      <c r="R64">
        <v>0</v>
      </c>
      <c r="S64" t="s">
        <v>23</v>
      </c>
      <c r="T64" t="s">
        <v>24</v>
      </c>
      <c r="U64" t="str">
        <f>IF(Table1[[#This Row],[YearsSince
LastPromotion]]&gt; 4, "Delayed", "Normal")</f>
        <v>Normal</v>
      </c>
      <c r="V64" t="str">
        <f>IF(Table1[[#This Row],[Years
InCurrentRole]]&gt;4, "Role Stagnent", "Normal")</f>
        <v>Normal</v>
      </c>
      <c r="W64" t="str">
        <f>IF(AND(Table1[[#This Row],[Years
InCurrentRole]]&gt; 4, Table1[[#This Row],[Performance
Rating]]&gt;=3), "High Risk", "Normal")</f>
        <v>Normal</v>
      </c>
      <c r="X64" t="str">
        <f>IF(Table1[[#This Row],[Performance
Rating]]&gt;=4, "High Performer", "Low Performer")</f>
        <v>Low Performer</v>
      </c>
    </row>
    <row r="65" spans="2:24" x14ac:dyDescent="0.3">
      <c r="B65" t="s">
        <v>19</v>
      </c>
      <c r="C65" t="s">
        <v>20</v>
      </c>
      <c r="D65">
        <v>1</v>
      </c>
      <c r="E65" t="s">
        <v>28</v>
      </c>
      <c r="F65">
        <v>3</v>
      </c>
      <c r="G65" t="s">
        <v>32</v>
      </c>
      <c r="H65">
        <v>2</v>
      </c>
      <c r="I65">
        <v>9705</v>
      </c>
      <c r="J65">
        <v>12</v>
      </c>
      <c r="K65">
        <v>3</v>
      </c>
      <c r="L65">
        <v>1</v>
      </c>
      <c r="M65">
        <v>11</v>
      </c>
      <c r="N65">
        <v>2</v>
      </c>
      <c r="O65">
        <v>2</v>
      </c>
      <c r="P65">
        <v>1</v>
      </c>
      <c r="Q65">
        <v>0</v>
      </c>
      <c r="R65">
        <v>0</v>
      </c>
      <c r="S65" t="s">
        <v>23</v>
      </c>
      <c r="T65" t="s">
        <v>24</v>
      </c>
      <c r="U65" t="str">
        <f>IF(Table1[[#This Row],[YearsSince
LastPromotion]]&gt; 4, "Delayed", "Normal")</f>
        <v>Normal</v>
      </c>
      <c r="V65" t="str">
        <f>IF(Table1[[#This Row],[Years
InCurrentRole]]&gt;4, "Role Stagnent", "Normal")</f>
        <v>Normal</v>
      </c>
      <c r="W65" t="str">
        <f>IF(AND(Table1[[#This Row],[Years
InCurrentRole]]&gt; 4, Table1[[#This Row],[Performance
Rating]]&gt;=3), "High Risk", "Normal")</f>
        <v>Normal</v>
      </c>
      <c r="X65" t="str">
        <f>IF(Table1[[#This Row],[Performance
Rating]]&gt;=4, "High Performer", "Low Performer")</f>
        <v>Low Performer</v>
      </c>
    </row>
    <row r="66" spans="2:24" x14ac:dyDescent="0.3">
      <c r="B66" t="s">
        <v>19</v>
      </c>
      <c r="C66" t="s">
        <v>25</v>
      </c>
      <c r="D66">
        <v>1</v>
      </c>
      <c r="E66" t="s">
        <v>28</v>
      </c>
      <c r="F66">
        <v>2</v>
      </c>
      <c r="G66" t="s">
        <v>26</v>
      </c>
      <c r="H66">
        <v>1</v>
      </c>
      <c r="I66">
        <v>3072</v>
      </c>
      <c r="J66">
        <v>16</v>
      </c>
      <c r="K66">
        <v>3</v>
      </c>
      <c r="L66">
        <v>2</v>
      </c>
      <c r="M66">
        <v>17</v>
      </c>
      <c r="N66">
        <v>2</v>
      </c>
      <c r="O66">
        <v>2</v>
      </c>
      <c r="P66">
        <v>1</v>
      </c>
      <c r="Q66">
        <v>0</v>
      </c>
      <c r="R66">
        <v>0</v>
      </c>
      <c r="S66" t="s">
        <v>23</v>
      </c>
      <c r="T66" t="s">
        <v>24</v>
      </c>
      <c r="U66" t="str">
        <f>IF(Table1[[#This Row],[YearsSince
LastPromotion]]&gt; 4, "Delayed", "Normal")</f>
        <v>Normal</v>
      </c>
      <c r="V66" t="str">
        <f>IF(Table1[[#This Row],[Years
InCurrentRole]]&gt;4, "Role Stagnent", "Normal")</f>
        <v>Normal</v>
      </c>
      <c r="W66" t="str">
        <f>IF(AND(Table1[[#This Row],[Years
InCurrentRole]]&gt; 4, Table1[[#This Row],[Performance
Rating]]&gt;=3), "High Risk", "Normal")</f>
        <v>Normal</v>
      </c>
      <c r="X66" t="str">
        <f>IF(Table1[[#This Row],[Performance
Rating]]&gt;=4, "High Performer", "Low Performer")</f>
        <v>Low Performer</v>
      </c>
    </row>
    <row r="67" spans="2:24" x14ac:dyDescent="0.3">
      <c r="B67" t="s">
        <v>19</v>
      </c>
      <c r="C67" t="s">
        <v>25</v>
      </c>
      <c r="D67">
        <v>1</v>
      </c>
      <c r="E67" t="s">
        <v>28</v>
      </c>
      <c r="F67">
        <v>2</v>
      </c>
      <c r="G67" t="s">
        <v>33</v>
      </c>
      <c r="H67">
        <v>2</v>
      </c>
      <c r="I67">
        <v>4197</v>
      </c>
      <c r="J67">
        <v>12</v>
      </c>
      <c r="K67">
        <v>3</v>
      </c>
      <c r="L67">
        <v>0</v>
      </c>
      <c r="M67">
        <v>18</v>
      </c>
      <c r="N67">
        <v>2</v>
      </c>
      <c r="O67">
        <v>2</v>
      </c>
      <c r="P67">
        <v>1</v>
      </c>
      <c r="Q67">
        <v>0</v>
      </c>
      <c r="R67">
        <v>0</v>
      </c>
      <c r="S67" t="s">
        <v>23</v>
      </c>
      <c r="T67" t="s">
        <v>24</v>
      </c>
      <c r="U67" t="str">
        <f>IF(Table1[[#This Row],[YearsSince
LastPromotion]]&gt; 4, "Delayed", "Normal")</f>
        <v>Normal</v>
      </c>
      <c r="V67" t="str">
        <f>IF(Table1[[#This Row],[Years
InCurrentRole]]&gt;4, "Role Stagnent", "Normal")</f>
        <v>Normal</v>
      </c>
      <c r="W67" t="str">
        <f>IF(AND(Table1[[#This Row],[Years
InCurrentRole]]&gt; 4, Table1[[#This Row],[Performance
Rating]]&gt;=3), "High Risk", "Normal")</f>
        <v>Normal</v>
      </c>
      <c r="X67" t="str">
        <f>IF(Table1[[#This Row],[Performance
Rating]]&gt;=4, "High Performer", "Low Performer")</f>
        <v>Low Performer</v>
      </c>
    </row>
    <row r="68" spans="2:24" x14ac:dyDescent="0.3">
      <c r="B68" t="s">
        <v>27</v>
      </c>
      <c r="C68" t="s">
        <v>20</v>
      </c>
      <c r="D68">
        <v>1</v>
      </c>
      <c r="E68" t="s">
        <v>21</v>
      </c>
      <c r="F68">
        <v>4</v>
      </c>
      <c r="G68" t="s">
        <v>32</v>
      </c>
      <c r="H68">
        <v>2</v>
      </c>
      <c r="I68">
        <v>13194</v>
      </c>
      <c r="J68">
        <v>16</v>
      </c>
      <c r="K68">
        <v>3</v>
      </c>
      <c r="L68">
        <v>0</v>
      </c>
      <c r="M68">
        <v>22</v>
      </c>
      <c r="N68">
        <v>2</v>
      </c>
      <c r="O68">
        <v>2</v>
      </c>
      <c r="P68">
        <v>1</v>
      </c>
      <c r="Q68">
        <v>0</v>
      </c>
      <c r="R68">
        <v>0</v>
      </c>
      <c r="S68" t="s">
        <v>23</v>
      </c>
      <c r="T68" t="s">
        <v>24</v>
      </c>
      <c r="U68" t="str">
        <f>IF(Table1[[#This Row],[YearsSince
LastPromotion]]&gt; 4, "Delayed", "Normal")</f>
        <v>Normal</v>
      </c>
      <c r="V68" t="str">
        <f>IF(Table1[[#This Row],[Years
InCurrentRole]]&gt;4, "Role Stagnent", "Normal")</f>
        <v>Normal</v>
      </c>
      <c r="W68" t="str">
        <f>IF(AND(Table1[[#This Row],[Years
InCurrentRole]]&gt; 4, Table1[[#This Row],[Performance
Rating]]&gt;=3), "High Risk", "Normal")</f>
        <v>Normal</v>
      </c>
      <c r="X68" t="str">
        <f>IF(Table1[[#This Row],[Performance
Rating]]&gt;=4, "High Performer", "Low Performer")</f>
        <v>Low Performer</v>
      </c>
    </row>
    <row r="69" spans="2:24" x14ac:dyDescent="0.3">
      <c r="B69" t="s">
        <v>19</v>
      </c>
      <c r="C69" t="s">
        <v>20</v>
      </c>
      <c r="D69">
        <v>1</v>
      </c>
      <c r="E69" t="s">
        <v>21</v>
      </c>
      <c r="F69">
        <v>4</v>
      </c>
      <c r="G69" t="s">
        <v>22</v>
      </c>
      <c r="H69">
        <v>4</v>
      </c>
      <c r="I69">
        <v>17875</v>
      </c>
      <c r="J69">
        <v>13</v>
      </c>
      <c r="K69">
        <v>3</v>
      </c>
      <c r="L69">
        <v>1</v>
      </c>
      <c r="M69">
        <v>29</v>
      </c>
      <c r="N69">
        <v>2</v>
      </c>
      <c r="O69">
        <v>2</v>
      </c>
      <c r="P69">
        <v>1</v>
      </c>
      <c r="Q69">
        <v>0</v>
      </c>
      <c r="R69">
        <v>0</v>
      </c>
      <c r="S69" t="s">
        <v>23</v>
      </c>
      <c r="T69" t="s">
        <v>24</v>
      </c>
      <c r="U69" t="str">
        <f>IF(Table1[[#This Row],[YearsSince
LastPromotion]]&gt; 4, "Delayed", "Normal")</f>
        <v>Normal</v>
      </c>
      <c r="V69" t="str">
        <f>IF(Table1[[#This Row],[Years
InCurrentRole]]&gt;4, "Role Stagnent", "Normal")</f>
        <v>Normal</v>
      </c>
      <c r="W69" t="str">
        <f>IF(AND(Table1[[#This Row],[Years
InCurrentRole]]&gt; 4, Table1[[#This Row],[Performance
Rating]]&gt;=3), "High Risk", "Normal")</f>
        <v>Normal</v>
      </c>
      <c r="X69" t="str">
        <f>IF(Table1[[#This Row],[Performance
Rating]]&gt;=4, "High Performer", "Low Performer")</f>
        <v>Low Performer</v>
      </c>
    </row>
    <row r="70" spans="2:24" x14ac:dyDescent="0.3">
      <c r="B70" t="s">
        <v>27</v>
      </c>
      <c r="C70" t="s">
        <v>20</v>
      </c>
      <c r="D70">
        <v>1</v>
      </c>
      <c r="E70" t="s">
        <v>28</v>
      </c>
      <c r="F70">
        <v>1</v>
      </c>
      <c r="G70" t="s">
        <v>30</v>
      </c>
      <c r="H70">
        <v>4</v>
      </c>
      <c r="I70">
        <v>1081</v>
      </c>
      <c r="J70">
        <v>13</v>
      </c>
      <c r="K70">
        <v>3</v>
      </c>
      <c r="L70">
        <v>0</v>
      </c>
      <c r="M70">
        <v>1</v>
      </c>
      <c r="N70">
        <v>3</v>
      </c>
      <c r="O70">
        <v>2</v>
      </c>
      <c r="P70">
        <v>1</v>
      </c>
      <c r="Q70">
        <v>0</v>
      </c>
      <c r="R70">
        <v>0</v>
      </c>
      <c r="S70" t="s">
        <v>23</v>
      </c>
      <c r="T70" t="s">
        <v>24</v>
      </c>
      <c r="U70" t="str">
        <f>IF(Table1[[#This Row],[YearsSince
LastPromotion]]&gt; 4, "Delayed", "Normal")</f>
        <v>Normal</v>
      </c>
      <c r="V70" t="str">
        <f>IF(Table1[[#This Row],[Years
InCurrentRole]]&gt;4, "Role Stagnent", "Normal")</f>
        <v>Normal</v>
      </c>
      <c r="W70" t="str">
        <f>IF(AND(Table1[[#This Row],[Years
InCurrentRole]]&gt; 4, Table1[[#This Row],[Performance
Rating]]&gt;=3), "High Risk", "Normal")</f>
        <v>Normal</v>
      </c>
      <c r="X70" t="str">
        <f>IF(Table1[[#This Row],[Performance
Rating]]&gt;=4, "High Performer", "Low Performer")</f>
        <v>Low Performer</v>
      </c>
    </row>
    <row r="71" spans="2:24" x14ac:dyDescent="0.3">
      <c r="B71" t="s">
        <v>27</v>
      </c>
      <c r="C71" t="s">
        <v>25</v>
      </c>
      <c r="D71">
        <v>1</v>
      </c>
      <c r="E71" t="s">
        <v>21</v>
      </c>
      <c r="F71">
        <v>1</v>
      </c>
      <c r="G71" t="s">
        <v>26</v>
      </c>
      <c r="H71">
        <v>4</v>
      </c>
      <c r="I71">
        <v>2693</v>
      </c>
      <c r="J71">
        <v>19</v>
      </c>
      <c r="K71">
        <v>3</v>
      </c>
      <c r="L71">
        <v>0</v>
      </c>
      <c r="M71">
        <v>1</v>
      </c>
      <c r="N71">
        <v>3</v>
      </c>
      <c r="O71">
        <v>2</v>
      </c>
      <c r="P71">
        <v>1</v>
      </c>
      <c r="Q71">
        <v>0</v>
      </c>
      <c r="R71">
        <v>0</v>
      </c>
      <c r="S71" t="s">
        <v>23</v>
      </c>
      <c r="T71" t="s">
        <v>24</v>
      </c>
      <c r="U71" t="str">
        <f>IF(Table1[[#This Row],[YearsSince
LastPromotion]]&gt; 4, "Delayed", "Normal")</f>
        <v>Normal</v>
      </c>
      <c r="V71" t="str">
        <f>IF(Table1[[#This Row],[Years
InCurrentRole]]&gt;4, "Role Stagnent", "Normal")</f>
        <v>Normal</v>
      </c>
      <c r="W71" t="str">
        <f>IF(AND(Table1[[#This Row],[Years
InCurrentRole]]&gt; 4, Table1[[#This Row],[Performance
Rating]]&gt;=3), "High Risk", "Normal")</f>
        <v>Normal</v>
      </c>
      <c r="X71" t="str">
        <f>IF(Table1[[#This Row],[Performance
Rating]]&gt;=4, "High Performer", "Low Performer")</f>
        <v>Low Performer</v>
      </c>
    </row>
    <row r="72" spans="2:24" x14ac:dyDescent="0.3">
      <c r="B72" t="s">
        <v>27</v>
      </c>
      <c r="C72" t="s">
        <v>25</v>
      </c>
      <c r="D72">
        <v>1</v>
      </c>
      <c r="E72" t="s">
        <v>28</v>
      </c>
      <c r="F72">
        <v>1</v>
      </c>
      <c r="G72" t="s">
        <v>29</v>
      </c>
      <c r="H72">
        <v>4</v>
      </c>
      <c r="I72">
        <v>2380</v>
      </c>
      <c r="J72">
        <v>14</v>
      </c>
      <c r="K72">
        <v>3</v>
      </c>
      <c r="L72">
        <v>1</v>
      </c>
      <c r="M72">
        <v>3</v>
      </c>
      <c r="N72">
        <v>3</v>
      </c>
      <c r="O72">
        <v>2</v>
      </c>
      <c r="P72">
        <v>1</v>
      </c>
      <c r="Q72">
        <v>0</v>
      </c>
      <c r="R72">
        <v>0</v>
      </c>
      <c r="S72" t="s">
        <v>23</v>
      </c>
      <c r="T72" t="s">
        <v>24</v>
      </c>
      <c r="U72" t="str">
        <f>IF(Table1[[#This Row],[YearsSince
LastPromotion]]&gt; 4, "Delayed", "Normal")</f>
        <v>Normal</v>
      </c>
      <c r="V72" t="str">
        <f>IF(Table1[[#This Row],[Years
InCurrentRole]]&gt;4, "Role Stagnent", "Normal")</f>
        <v>Normal</v>
      </c>
      <c r="W72" t="str">
        <f>IF(AND(Table1[[#This Row],[Years
InCurrentRole]]&gt; 4, Table1[[#This Row],[Performance
Rating]]&gt;=3), "High Risk", "Normal")</f>
        <v>Normal</v>
      </c>
      <c r="X72" t="str">
        <f>IF(Table1[[#This Row],[Performance
Rating]]&gt;=4, "High Performer", "Low Performer")</f>
        <v>Low Performer</v>
      </c>
    </row>
    <row r="73" spans="2:24" x14ac:dyDescent="0.3">
      <c r="B73" t="s">
        <v>19</v>
      </c>
      <c r="C73" t="s">
        <v>25</v>
      </c>
      <c r="D73">
        <v>1</v>
      </c>
      <c r="E73" t="s">
        <v>28</v>
      </c>
      <c r="F73">
        <v>1</v>
      </c>
      <c r="G73" t="s">
        <v>29</v>
      </c>
      <c r="H73">
        <v>4</v>
      </c>
      <c r="I73">
        <v>2406</v>
      </c>
      <c r="J73">
        <v>19</v>
      </c>
      <c r="K73">
        <v>3</v>
      </c>
      <c r="L73">
        <v>2</v>
      </c>
      <c r="M73">
        <v>8</v>
      </c>
      <c r="N73">
        <v>3</v>
      </c>
      <c r="O73">
        <v>2</v>
      </c>
      <c r="P73">
        <v>1</v>
      </c>
      <c r="Q73">
        <v>0</v>
      </c>
      <c r="R73">
        <v>0</v>
      </c>
      <c r="S73" t="s">
        <v>23</v>
      </c>
      <c r="T73" t="s">
        <v>24</v>
      </c>
      <c r="U73" t="str">
        <f>IF(Table1[[#This Row],[YearsSince
LastPromotion]]&gt; 4, "Delayed", "Normal")</f>
        <v>Normal</v>
      </c>
      <c r="V73" t="str">
        <f>IF(Table1[[#This Row],[Years
InCurrentRole]]&gt;4, "Role Stagnent", "Normal")</f>
        <v>Normal</v>
      </c>
      <c r="W73" t="str">
        <f>IF(AND(Table1[[#This Row],[Years
InCurrentRole]]&gt; 4, Table1[[#This Row],[Performance
Rating]]&gt;=3), "High Risk", "Normal")</f>
        <v>Normal</v>
      </c>
      <c r="X73" t="str">
        <f>IF(Table1[[#This Row],[Performance
Rating]]&gt;=4, "High Performer", "Low Performer")</f>
        <v>Low Performer</v>
      </c>
    </row>
    <row r="74" spans="2:24" x14ac:dyDescent="0.3">
      <c r="B74" t="s">
        <v>27</v>
      </c>
      <c r="C74" t="s">
        <v>25</v>
      </c>
      <c r="D74">
        <v>1</v>
      </c>
      <c r="E74" t="s">
        <v>28</v>
      </c>
      <c r="F74">
        <v>2</v>
      </c>
      <c r="G74" t="s">
        <v>29</v>
      </c>
      <c r="H74">
        <v>3</v>
      </c>
      <c r="I74">
        <v>4834</v>
      </c>
      <c r="J74">
        <v>14</v>
      </c>
      <c r="K74">
        <v>3</v>
      </c>
      <c r="L74">
        <v>1</v>
      </c>
      <c r="M74">
        <v>9</v>
      </c>
      <c r="N74">
        <v>3</v>
      </c>
      <c r="O74">
        <v>2</v>
      </c>
      <c r="P74">
        <v>1</v>
      </c>
      <c r="Q74">
        <v>0</v>
      </c>
      <c r="R74">
        <v>0</v>
      </c>
      <c r="S74" t="s">
        <v>23</v>
      </c>
      <c r="T74" t="s">
        <v>24</v>
      </c>
      <c r="U74" t="str">
        <f>IF(Table1[[#This Row],[YearsSince
LastPromotion]]&gt; 4, "Delayed", "Normal")</f>
        <v>Normal</v>
      </c>
      <c r="V74" t="str">
        <f>IF(Table1[[#This Row],[Years
InCurrentRole]]&gt;4, "Role Stagnent", "Normal")</f>
        <v>Normal</v>
      </c>
      <c r="W74" t="str">
        <f>IF(AND(Table1[[#This Row],[Years
InCurrentRole]]&gt; 4, Table1[[#This Row],[Performance
Rating]]&gt;=3), "High Risk", "Normal")</f>
        <v>Normal</v>
      </c>
      <c r="X74" t="str">
        <f>IF(Table1[[#This Row],[Performance
Rating]]&gt;=4, "High Performer", "Low Performer")</f>
        <v>Low Performer</v>
      </c>
    </row>
    <row r="75" spans="2:24" x14ac:dyDescent="0.3">
      <c r="B75" t="s">
        <v>19</v>
      </c>
      <c r="C75" t="s">
        <v>25</v>
      </c>
      <c r="D75">
        <v>1</v>
      </c>
      <c r="E75" t="s">
        <v>21</v>
      </c>
      <c r="F75">
        <v>1</v>
      </c>
      <c r="G75" t="s">
        <v>26</v>
      </c>
      <c r="H75">
        <v>2</v>
      </c>
      <c r="I75">
        <v>3346</v>
      </c>
      <c r="J75">
        <v>20</v>
      </c>
      <c r="K75">
        <v>4</v>
      </c>
      <c r="L75">
        <v>1</v>
      </c>
      <c r="M75">
        <v>9</v>
      </c>
      <c r="N75">
        <v>3</v>
      </c>
      <c r="O75">
        <v>2</v>
      </c>
      <c r="P75">
        <v>1</v>
      </c>
      <c r="Q75">
        <v>0</v>
      </c>
      <c r="R75">
        <v>0</v>
      </c>
      <c r="S75" t="s">
        <v>23</v>
      </c>
      <c r="T75" t="s">
        <v>24</v>
      </c>
      <c r="U75" t="str">
        <f>IF(Table1[[#This Row],[YearsSince
LastPromotion]]&gt; 4, "Delayed", "Normal")</f>
        <v>Normal</v>
      </c>
      <c r="V75" t="str">
        <f>IF(Table1[[#This Row],[Years
InCurrentRole]]&gt;4, "Role Stagnent", "Normal")</f>
        <v>Normal</v>
      </c>
      <c r="W75" t="str">
        <f>IF(AND(Table1[[#This Row],[Years
InCurrentRole]]&gt; 4, Table1[[#This Row],[Performance
Rating]]&gt;=3), "High Risk", "Normal")</f>
        <v>Normal</v>
      </c>
      <c r="X75" t="str">
        <f>IF(Table1[[#This Row],[Performance
Rating]]&gt;=4, "High Performer", "Low Performer")</f>
        <v>High Performer</v>
      </c>
    </row>
    <row r="76" spans="2:24" x14ac:dyDescent="0.3">
      <c r="B76" t="s">
        <v>27</v>
      </c>
      <c r="C76" t="s">
        <v>20</v>
      </c>
      <c r="D76">
        <v>1</v>
      </c>
      <c r="E76" t="s">
        <v>21</v>
      </c>
      <c r="F76">
        <v>2</v>
      </c>
      <c r="G76" t="s">
        <v>32</v>
      </c>
      <c r="H76">
        <v>3</v>
      </c>
      <c r="I76">
        <v>5238</v>
      </c>
      <c r="J76">
        <v>18</v>
      </c>
      <c r="K76">
        <v>3</v>
      </c>
      <c r="L76">
        <v>0</v>
      </c>
      <c r="M76">
        <v>12</v>
      </c>
      <c r="N76">
        <v>3</v>
      </c>
      <c r="O76">
        <v>2</v>
      </c>
      <c r="P76">
        <v>1</v>
      </c>
      <c r="Q76">
        <v>0</v>
      </c>
      <c r="R76">
        <v>0</v>
      </c>
      <c r="S76" t="s">
        <v>23</v>
      </c>
      <c r="T76" t="s">
        <v>24</v>
      </c>
      <c r="U76" t="str">
        <f>IF(Table1[[#This Row],[YearsSince
LastPromotion]]&gt; 4, "Delayed", "Normal")</f>
        <v>Normal</v>
      </c>
      <c r="V76" t="str">
        <f>IF(Table1[[#This Row],[Years
InCurrentRole]]&gt;4, "Role Stagnent", "Normal")</f>
        <v>Normal</v>
      </c>
      <c r="W76" t="str">
        <f>IF(AND(Table1[[#This Row],[Years
InCurrentRole]]&gt; 4, Table1[[#This Row],[Performance
Rating]]&gt;=3), "High Risk", "Normal")</f>
        <v>Normal</v>
      </c>
      <c r="X76" t="str">
        <f>IF(Table1[[#This Row],[Performance
Rating]]&gt;=4, "High Performer", "Low Performer")</f>
        <v>Low Performer</v>
      </c>
    </row>
    <row r="77" spans="2:24" x14ac:dyDescent="0.3">
      <c r="B77" t="s">
        <v>19</v>
      </c>
      <c r="C77" t="s">
        <v>25</v>
      </c>
      <c r="D77">
        <v>1</v>
      </c>
      <c r="E77" t="s">
        <v>21</v>
      </c>
      <c r="F77">
        <v>1</v>
      </c>
      <c r="G77" t="s">
        <v>29</v>
      </c>
      <c r="H77">
        <v>1</v>
      </c>
      <c r="I77">
        <v>2670</v>
      </c>
      <c r="J77">
        <v>20</v>
      </c>
      <c r="K77">
        <v>4</v>
      </c>
      <c r="L77">
        <v>3</v>
      </c>
      <c r="M77">
        <v>12</v>
      </c>
      <c r="N77">
        <v>3</v>
      </c>
      <c r="O77">
        <v>2</v>
      </c>
      <c r="P77">
        <v>1</v>
      </c>
      <c r="Q77">
        <v>0</v>
      </c>
      <c r="R77">
        <v>0</v>
      </c>
      <c r="S77" t="s">
        <v>23</v>
      </c>
      <c r="T77" t="s">
        <v>24</v>
      </c>
      <c r="U77" t="str">
        <f>IF(Table1[[#This Row],[YearsSince
LastPromotion]]&gt; 4, "Delayed", "Normal")</f>
        <v>Normal</v>
      </c>
      <c r="V77" t="str">
        <f>IF(Table1[[#This Row],[Years
InCurrentRole]]&gt;4, "Role Stagnent", "Normal")</f>
        <v>Normal</v>
      </c>
      <c r="W77" t="str">
        <f>IF(AND(Table1[[#This Row],[Years
InCurrentRole]]&gt; 4, Table1[[#This Row],[Performance
Rating]]&gt;=3), "High Risk", "Normal")</f>
        <v>Normal</v>
      </c>
      <c r="X77" t="str">
        <f>IF(Table1[[#This Row],[Performance
Rating]]&gt;=4, "High Performer", "Low Performer")</f>
        <v>High Performer</v>
      </c>
    </row>
    <row r="78" spans="2:24" x14ac:dyDescent="0.3">
      <c r="B78" t="s">
        <v>19</v>
      </c>
      <c r="C78" t="s">
        <v>20</v>
      </c>
      <c r="D78">
        <v>1</v>
      </c>
      <c r="E78" t="s">
        <v>28</v>
      </c>
      <c r="F78">
        <v>1</v>
      </c>
      <c r="G78" t="s">
        <v>30</v>
      </c>
      <c r="H78">
        <v>1</v>
      </c>
      <c r="I78">
        <v>2858</v>
      </c>
      <c r="J78">
        <v>14</v>
      </c>
      <c r="K78">
        <v>3</v>
      </c>
      <c r="L78">
        <v>0</v>
      </c>
      <c r="M78">
        <v>20</v>
      </c>
      <c r="N78">
        <v>3</v>
      </c>
      <c r="O78">
        <v>2</v>
      </c>
      <c r="P78">
        <v>1</v>
      </c>
      <c r="Q78">
        <v>0</v>
      </c>
      <c r="R78">
        <v>0</v>
      </c>
      <c r="S78" t="s">
        <v>23</v>
      </c>
      <c r="T78" t="s">
        <v>24</v>
      </c>
      <c r="U78" t="str">
        <f>IF(Table1[[#This Row],[YearsSince
LastPromotion]]&gt; 4, "Delayed", "Normal")</f>
        <v>Normal</v>
      </c>
      <c r="V78" t="str">
        <f>IF(Table1[[#This Row],[Years
InCurrentRole]]&gt;4, "Role Stagnent", "Normal")</f>
        <v>Normal</v>
      </c>
      <c r="W78" t="str">
        <f>IF(AND(Table1[[#This Row],[Years
InCurrentRole]]&gt; 4, Table1[[#This Row],[Performance
Rating]]&gt;=3), "High Risk", "Normal")</f>
        <v>Normal</v>
      </c>
      <c r="X78" t="str">
        <f>IF(Table1[[#This Row],[Performance
Rating]]&gt;=4, "High Performer", "Low Performer")</f>
        <v>Low Performer</v>
      </c>
    </row>
    <row r="79" spans="2:24" x14ac:dyDescent="0.3">
      <c r="B79" t="s">
        <v>19</v>
      </c>
      <c r="C79" t="s">
        <v>25</v>
      </c>
      <c r="D79">
        <v>1</v>
      </c>
      <c r="E79" t="s">
        <v>28</v>
      </c>
      <c r="F79">
        <v>4</v>
      </c>
      <c r="G79" t="s">
        <v>35</v>
      </c>
      <c r="H79">
        <v>4</v>
      </c>
      <c r="I79">
        <v>16627</v>
      </c>
      <c r="J79">
        <v>14</v>
      </c>
      <c r="K79">
        <v>3</v>
      </c>
      <c r="L79">
        <v>1</v>
      </c>
      <c r="M79">
        <v>21</v>
      </c>
      <c r="N79">
        <v>3</v>
      </c>
      <c r="O79">
        <v>2</v>
      </c>
      <c r="P79">
        <v>1</v>
      </c>
      <c r="Q79">
        <v>0</v>
      </c>
      <c r="R79">
        <v>0</v>
      </c>
      <c r="S79" t="s">
        <v>23</v>
      </c>
      <c r="T79" t="s">
        <v>24</v>
      </c>
      <c r="U79" t="str">
        <f>IF(Table1[[#This Row],[YearsSince
LastPromotion]]&gt; 4, "Delayed", "Normal")</f>
        <v>Normal</v>
      </c>
      <c r="V79" t="str">
        <f>IF(Table1[[#This Row],[Years
InCurrentRole]]&gt;4, "Role Stagnent", "Normal")</f>
        <v>Normal</v>
      </c>
      <c r="W79" t="str">
        <f>IF(AND(Table1[[#This Row],[Years
InCurrentRole]]&gt; 4, Table1[[#This Row],[Performance
Rating]]&gt;=3), "High Risk", "Normal")</f>
        <v>Normal</v>
      </c>
      <c r="X79" t="str">
        <f>IF(Table1[[#This Row],[Performance
Rating]]&gt;=4, "High Performer", "Low Performer")</f>
        <v>Low Performer</v>
      </c>
    </row>
    <row r="80" spans="2:24" x14ac:dyDescent="0.3">
      <c r="B80" t="s">
        <v>19</v>
      </c>
      <c r="C80" t="s">
        <v>20</v>
      </c>
      <c r="D80">
        <v>1</v>
      </c>
      <c r="E80" t="s">
        <v>28</v>
      </c>
      <c r="F80">
        <v>4</v>
      </c>
      <c r="G80" t="s">
        <v>22</v>
      </c>
      <c r="H80">
        <v>4</v>
      </c>
      <c r="I80">
        <v>14118</v>
      </c>
      <c r="J80">
        <v>12</v>
      </c>
      <c r="K80">
        <v>3</v>
      </c>
      <c r="L80">
        <v>1</v>
      </c>
      <c r="M80">
        <v>32</v>
      </c>
      <c r="N80">
        <v>3</v>
      </c>
      <c r="O80">
        <v>2</v>
      </c>
      <c r="P80">
        <v>1</v>
      </c>
      <c r="Q80">
        <v>0</v>
      </c>
      <c r="R80">
        <v>0</v>
      </c>
      <c r="S80" t="s">
        <v>23</v>
      </c>
      <c r="T80" t="s">
        <v>24</v>
      </c>
      <c r="U80" t="str">
        <f>IF(Table1[[#This Row],[YearsSince
LastPromotion]]&gt; 4, "Delayed", "Normal")</f>
        <v>Normal</v>
      </c>
      <c r="V80" t="str">
        <f>IF(Table1[[#This Row],[Years
InCurrentRole]]&gt;4, "Role Stagnent", "Normal")</f>
        <v>Normal</v>
      </c>
      <c r="W80" t="str">
        <f>IF(AND(Table1[[#This Row],[Years
InCurrentRole]]&gt; 4, Table1[[#This Row],[Performance
Rating]]&gt;=3), "High Risk", "Normal")</f>
        <v>Normal</v>
      </c>
      <c r="X80" t="str">
        <f>IF(Table1[[#This Row],[Performance
Rating]]&gt;=4, "High Performer", "Low Performer")</f>
        <v>Low Performer</v>
      </c>
    </row>
    <row r="81" spans="2:24" x14ac:dyDescent="0.3">
      <c r="B81" t="s">
        <v>19</v>
      </c>
      <c r="C81" t="s">
        <v>25</v>
      </c>
      <c r="D81">
        <v>1</v>
      </c>
      <c r="E81" t="s">
        <v>28</v>
      </c>
      <c r="F81">
        <v>1</v>
      </c>
      <c r="G81" t="s">
        <v>29</v>
      </c>
      <c r="H81">
        <v>2</v>
      </c>
      <c r="I81">
        <v>2559</v>
      </c>
      <c r="J81">
        <v>11</v>
      </c>
      <c r="K81">
        <v>3</v>
      </c>
      <c r="L81">
        <v>0</v>
      </c>
      <c r="M81">
        <v>7</v>
      </c>
      <c r="N81">
        <v>4</v>
      </c>
      <c r="O81">
        <v>2</v>
      </c>
      <c r="P81">
        <v>1</v>
      </c>
      <c r="Q81">
        <v>0</v>
      </c>
      <c r="R81">
        <v>0</v>
      </c>
      <c r="S81" t="s">
        <v>23</v>
      </c>
      <c r="T81" t="s">
        <v>24</v>
      </c>
      <c r="U81" t="str">
        <f>IF(Table1[[#This Row],[YearsSince
LastPromotion]]&gt; 4, "Delayed", "Normal")</f>
        <v>Normal</v>
      </c>
      <c r="V81" t="str">
        <f>IF(Table1[[#This Row],[Years
InCurrentRole]]&gt;4, "Role Stagnent", "Normal")</f>
        <v>Normal</v>
      </c>
      <c r="W81" t="str">
        <f>IF(AND(Table1[[#This Row],[Years
InCurrentRole]]&gt; 4, Table1[[#This Row],[Performance
Rating]]&gt;=3), "High Risk", "Normal")</f>
        <v>Normal</v>
      </c>
      <c r="X81" t="str">
        <f>IF(Table1[[#This Row],[Performance
Rating]]&gt;=4, "High Performer", "Low Performer")</f>
        <v>Low Performer</v>
      </c>
    </row>
    <row r="82" spans="2:24" x14ac:dyDescent="0.3">
      <c r="B82" t="s">
        <v>19</v>
      </c>
      <c r="C82" t="s">
        <v>20</v>
      </c>
      <c r="D82">
        <v>1</v>
      </c>
      <c r="E82" t="s">
        <v>21</v>
      </c>
      <c r="F82">
        <v>2</v>
      </c>
      <c r="G82" t="s">
        <v>32</v>
      </c>
      <c r="H82">
        <v>3</v>
      </c>
      <c r="I82">
        <v>4768</v>
      </c>
      <c r="J82">
        <v>12</v>
      </c>
      <c r="K82">
        <v>3</v>
      </c>
      <c r="L82">
        <v>1</v>
      </c>
      <c r="M82">
        <v>11</v>
      </c>
      <c r="N82">
        <v>4</v>
      </c>
      <c r="O82">
        <v>2</v>
      </c>
      <c r="P82">
        <v>1</v>
      </c>
      <c r="Q82">
        <v>0</v>
      </c>
      <c r="R82">
        <v>0</v>
      </c>
      <c r="S82" t="s">
        <v>23</v>
      </c>
      <c r="T82" t="s">
        <v>24</v>
      </c>
      <c r="U82" t="str">
        <f>IF(Table1[[#This Row],[YearsSince
LastPromotion]]&gt; 4, "Delayed", "Normal")</f>
        <v>Normal</v>
      </c>
      <c r="V82" t="str">
        <f>IF(Table1[[#This Row],[Years
InCurrentRole]]&gt;4, "Role Stagnent", "Normal")</f>
        <v>Normal</v>
      </c>
      <c r="W82" t="str">
        <f>IF(AND(Table1[[#This Row],[Years
InCurrentRole]]&gt; 4, Table1[[#This Row],[Performance
Rating]]&gt;=3), "High Risk", "Normal")</f>
        <v>Normal</v>
      </c>
      <c r="X82" t="str">
        <f>IF(Table1[[#This Row],[Performance
Rating]]&gt;=4, "High Performer", "Low Performer")</f>
        <v>Low Performer</v>
      </c>
    </row>
    <row r="83" spans="2:24" x14ac:dyDescent="0.3">
      <c r="B83" t="s">
        <v>19</v>
      </c>
      <c r="C83" t="s">
        <v>25</v>
      </c>
      <c r="D83">
        <v>1</v>
      </c>
      <c r="E83" t="s">
        <v>28</v>
      </c>
      <c r="F83">
        <v>1</v>
      </c>
      <c r="G83" t="s">
        <v>29</v>
      </c>
      <c r="H83">
        <v>4</v>
      </c>
      <c r="I83">
        <v>2690</v>
      </c>
      <c r="J83">
        <v>18</v>
      </c>
      <c r="K83">
        <v>3</v>
      </c>
      <c r="L83">
        <v>1</v>
      </c>
      <c r="M83">
        <v>1</v>
      </c>
      <c r="N83">
        <v>5</v>
      </c>
      <c r="O83">
        <v>2</v>
      </c>
      <c r="P83">
        <v>1</v>
      </c>
      <c r="Q83">
        <v>0</v>
      </c>
      <c r="R83">
        <v>0</v>
      </c>
      <c r="S83" t="s">
        <v>23</v>
      </c>
      <c r="T83" t="s">
        <v>24</v>
      </c>
      <c r="U83" t="str">
        <f>IF(Table1[[#This Row],[YearsSince
LastPromotion]]&gt; 4, "Delayed", "Normal")</f>
        <v>Normal</v>
      </c>
      <c r="V83" t="str">
        <f>IF(Table1[[#This Row],[Years
InCurrentRole]]&gt;4, "Role Stagnent", "Normal")</f>
        <v>Normal</v>
      </c>
      <c r="W83" t="str">
        <f>IF(AND(Table1[[#This Row],[Years
InCurrentRole]]&gt; 4, Table1[[#This Row],[Performance
Rating]]&gt;=3), "High Risk", "Normal")</f>
        <v>Normal</v>
      </c>
      <c r="X83" t="str">
        <f>IF(Table1[[#This Row],[Performance
Rating]]&gt;=4, "High Performer", "Low Performer")</f>
        <v>Low Performer</v>
      </c>
    </row>
    <row r="84" spans="2:24" x14ac:dyDescent="0.3">
      <c r="B84" t="s">
        <v>19</v>
      </c>
      <c r="C84" t="s">
        <v>25</v>
      </c>
      <c r="D84">
        <v>1</v>
      </c>
      <c r="E84" t="s">
        <v>21</v>
      </c>
      <c r="F84">
        <v>1</v>
      </c>
      <c r="G84" t="s">
        <v>26</v>
      </c>
      <c r="H84">
        <v>3</v>
      </c>
      <c r="I84">
        <v>2585</v>
      </c>
      <c r="J84">
        <v>17</v>
      </c>
      <c r="K84">
        <v>3</v>
      </c>
      <c r="L84">
        <v>0</v>
      </c>
      <c r="M84">
        <v>2</v>
      </c>
      <c r="N84">
        <v>5</v>
      </c>
      <c r="O84">
        <v>2</v>
      </c>
      <c r="P84">
        <v>1</v>
      </c>
      <c r="Q84">
        <v>0</v>
      </c>
      <c r="R84">
        <v>0</v>
      </c>
      <c r="S84" t="s">
        <v>23</v>
      </c>
      <c r="T84" t="s">
        <v>24</v>
      </c>
      <c r="U84" t="str">
        <f>IF(Table1[[#This Row],[YearsSince
LastPromotion]]&gt; 4, "Delayed", "Normal")</f>
        <v>Normal</v>
      </c>
      <c r="V84" t="str">
        <f>IF(Table1[[#This Row],[Years
InCurrentRole]]&gt;4, "Role Stagnent", "Normal")</f>
        <v>Normal</v>
      </c>
      <c r="W84" t="str">
        <f>IF(AND(Table1[[#This Row],[Years
InCurrentRole]]&gt; 4, Table1[[#This Row],[Performance
Rating]]&gt;=3), "High Risk", "Normal")</f>
        <v>Normal</v>
      </c>
      <c r="X84" t="str">
        <f>IF(Table1[[#This Row],[Performance
Rating]]&gt;=4, "High Performer", "Low Performer")</f>
        <v>Low Performer</v>
      </c>
    </row>
    <row r="85" spans="2:24" x14ac:dyDescent="0.3">
      <c r="B85" t="s">
        <v>27</v>
      </c>
      <c r="C85" t="s">
        <v>20</v>
      </c>
      <c r="D85">
        <v>1</v>
      </c>
      <c r="E85" t="s">
        <v>21</v>
      </c>
      <c r="F85">
        <v>1</v>
      </c>
      <c r="G85" t="s">
        <v>30</v>
      </c>
      <c r="H85">
        <v>2</v>
      </c>
      <c r="I85">
        <v>2716</v>
      </c>
      <c r="J85">
        <v>15</v>
      </c>
      <c r="K85">
        <v>3</v>
      </c>
      <c r="L85">
        <v>0</v>
      </c>
      <c r="M85">
        <v>1</v>
      </c>
      <c r="N85">
        <v>0</v>
      </c>
      <c r="O85">
        <v>3</v>
      </c>
      <c r="P85">
        <v>1</v>
      </c>
      <c r="Q85">
        <v>0</v>
      </c>
      <c r="R85">
        <v>0</v>
      </c>
      <c r="S85" t="s">
        <v>34</v>
      </c>
      <c r="T85" t="s">
        <v>24</v>
      </c>
      <c r="U85" t="str">
        <f>IF(Table1[[#This Row],[YearsSince
LastPromotion]]&gt; 4, "Delayed", "Normal")</f>
        <v>Normal</v>
      </c>
      <c r="V85" t="str">
        <f>IF(Table1[[#This Row],[Years
InCurrentRole]]&gt;4, "Role Stagnent", "Normal")</f>
        <v>Normal</v>
      </c>
      <c r="W85" t="str">
        <f>IF(AND(Table1[[#This Row],[Years
InCurrentRole]]&gt; 4, Table1[[#This Row],[Performance
Rating]]&gt;=3), "High Risk", "Normal")</f>
        <v>Normal</v>
      </c>
      <c r="X85" t="str">
        <f>IF(Table1[[#This Row],[Performance
Rating]]&gt;=4, "High Performer", "Low Performer")</f>
        <v>Low Performer</v>
      </c>
    </row>
    <row r="86" spans="2:24" x14ac:dyDescent="0.3">
      <c r="B86" t="s">
        <v>27</v>
      </c>
      <c r="C86" t="s">
        <v>25</v>
      </c>
      <c r="D86">
        <v>1</v>
      </c>
      <c r="E86" t="s">
        <v>21</v>
      </c>
      <c r="F86">
        <v>1</v>
      </c>
      <c r="G86" t="s">
        <v>29</v>
      </c>
      <c r="H86">
        <v>1</v>
      </c>
      <c r="I86">
        <v>2319</v>
      </c>
      <c r="J86">
        <v>11</v>
      </c>
      <c r="K86">
        <v>3</v>
      </c>
      <c r="L86">
        <v>1</v>
      </c>
      <c r="M86">
        <v>1</v>
      </c>
      <c r="N86">
        <v>1</v>
      </c>
      <c r="O86">
        <v>3</v>
      </c>
      <c r="P86">
        <v>1</v>
      </c>
      <c r="Q86">
        <v>0</v>
      </c>
      <c r="R86">
        <v>0</v>
      </c>
      <c r="S86" t="s">
        <v>34</v>
      </c>
      <c r="T86" t="s">
        <v>24</v>
      </c>
      <c r="U86" t="str">
        <f>IF(Table1[[#This Row],[YearsSince
LastPromotion]]&gt; 4, "Delayed", "Normal")</f>
        <v>Normal</v>
      </c>
      <c r="V86" t="str">
        <f>IF(Table1[[#This Row],[Years
InCurrentRole]]&gt;4, "Role Stagnent", "Normal")</f>
        <v>Normal</v>
      </c>
      <c r="W86" t="str">
        <f>IF(AND(Table1[[#This Row],[Years
InCurrentRole]]&gt; 4, Table1[[#This Row],[Performance
Rating]]&gt;=3), "High Risk", "Normal")</f>
        <v>Normal</v>
      </c>
      <c r="X86" t="str">
        <f>IF(Table1[[#This Row],[Performance
Rating]]&gt;=4, "High Performer", "Low Performer")</f>
        <v>Low Performer</v>
      </c>
    </row>
    <row r="87" spans="2:24" x14ac:dyDescent="0.3">
      <c r="B87" t="s">
        <v>27</v>
      </c>
      <c r="C87" t="s">
        <v>25</v>
      </c>
      <c r="D87">
        <v>1</v>
      </c>
      <c r="E87" t="s">
        <v>28</v>
      </c>
      <c r="F87">
        <v>2</v>
      </c>
      <c r="G87" t="s">
        <v>33</v>
      </c>
      <c r="H87">
        <v>3</v>
      </c>
      <c r="I87">
        <v>5916</v>
      </c>
      <c r="J87">
        <v>13</v>
      </c>
      <c r="K87">
        <v>3</v>
      </c>
      <c r="L87">
        <v>0</v>
      </c>
      <c r="M87">
        <v>8</v>
      </c>
      <c r="N87">
        <v>1</v>
      </c>
      <c r="O87">
        <v>3</v>
      </c>
      <c r="P87">
        <v>1</v>
      </c>
      <c r="Q87">
        <v>0</v>
      </c>
      <c r="R87">
        <v>0</v>
      </c>
      <c r="S87" t="s">
        <v>34</v>
      </c>
      <c r="T87" t="s">
        <v>24</v>
      </c>
      <c r="U87" t="str">
        <f>IF(Table1[[#This Row],[YearsSince
LastPromotion]]&gt; 4, "Delayed", "Normal")</f>
        <v>Normal</v>
      </c>
      <c r="V87" t="str">
        <f>IF(Table1[[#This Row],[Years
InCurrentRole]]&gt;4, "Role Stagnent", "Normal")</f>
        <v>Normal</v>
      </c>
      <c r="W87" t="str">
        <f>IF(AND(Table1[[#This Row],[Years
InCurrentRole]]&gt; 4, Table1[[#This Row],[Performance
Rating]]&gt;=3), "High Risk", "Normal")</f>
        <v>Normal</v>
      </c>
      <c r="X87" t="str">
        <f>IF(Table1[[#This Row],[Performance
Rating]]&gt;=4, "High Performer", "Low Performer")</f>
        <v>Low Performer</v>
      </c>
    </row>
    <row r="88" spans="2:24" x14ac:dyDescent="0.3">
      <c r="B88" t="s">
        <v>19</v>
      </c>
      <c r="C88" t="s">
        <v>25</v>
      </c>
      <c r="D88">
        <v>1</v>
      </c>
      <c r="E88" t="s">
        <v>28</v>
      </c>
      <c r="F88">
        <v>1</v>
      </c>
      <c r="G88" t="s">
        <v>26</v>
      </c>
      <c r="H88">
        <v>2</v>
      </c>
      <c r="I88">
        <v>3022</v>
      </c>
      <c r="J88">
        <v>21</v>
      </c>
      <c r="K88">
        <v>4</v>
      </c>
      <c r="L88">
        <v>0</v>
      </c>
      <c r="M88">
        <v>8</v>
      </c>
      <c r="N88">
        <v>1</v>
      </c>
      <c r="O88">
        <v>3</v>
      </c>
      <c r="P88">
        <v>1</v>
      </c>
      <c r="Q88">
        <v>0</v>
      </c>
      <c r="R88">
        <v>0</v>
      </c>
      <c r="S88" t="s">
        <v>34</v>
      </c>
      <c r="T88" t="s">
        <v>24</v>
      </c>
      <c r="U88" t="str">
        <f>IF(Table1[[#This Row],[YearsSince
LastPromotion]]&gt; 4, "Delayed", "Normal")</f>
        <v>Normal</v>
      </c>
      <c r="V88" t="str">
        <f>IF(Table1[[#This Row],[Years
InCurrentRole]]&gt;4, "Role Stagnent", "Normal")</f>
        <v>Normal</v>
      </c>
      <c r="W88" t="str">
        <f>IF(AND(Table1[[#This Row],[Years
InCurrentRole]]&gt; 4, Table1[[#This Row],[Performance
Rating]]&gt;=3), "High Risk", "Normal")</f>
        <v>Normal</v>
      </c>
      <c r="X88" t="str">
        <f>IF(Table1[[#This Row],[Performance
Rating]]&gt;=4, "High Performer", "Low Performer")</f>
        <v>High Performer</v>
      </c>
    </row>
    <row r="89" spans="2:24" x14ac:dyDescent="0.3">
      <c r="B89" t="s">
        <v>19</v>
      </c>
      <c r="C89" t="s">
        <v>25</v>
      </c>
      <c r="D89">
        <v>1</v>
      </c>
      <c r="E89" t="s">
        <v>28</v>
      </c>
      <c r="F89">
        <v>2</v>
      </c>
      <c r="G89" t="s">
        <v>33</v>
      </c>
      <c r="H89">
        <v>4</v>
      </c>
      <c r="I89">
        <v>9679</v>
      </c>
      <c r="J89">
        <v>24</v>
      </c>
      <c r="K89">
        <v>4</v>
      </c>
      <c r="L89">
        <v>0</v>
      </c>
      <c r="M89">
        <v>8</v>
      </c>
      <c r="N89">
        <v>1</v>
      </c>
      <c r="O89">
        <v>3</v>
      </c>
      <c r="P89">
        <v>1</v>
      </c>
      <c r="Q89">
        <v>0</v>
      </c>
      <c r="R89">
        <v>0</v>
      </c>
      <c r="S89" t="s">
        <v>34</v>
      </c>
      <c r="T89" t="s">
        <v>24</v>
      </c>
      <c r="U89" t="str">
        <f>IF(Table1[[#This Row],[YearsSince
LastPromotion]]&gt; 4, "Delayed", "Normal")</f>
        <v>Normal</v>
      </c>
      <c r="V89" t="str">
        <f>IF(Table1[[#This Row],[Years
InCurrentRole]]&gt;4, "Role Stagnent", "Normal")</f>
        <v>Normal</v>
      </c>
      <c r="W89" t="str">
        <f>IF(AND(Table1[[#This Row],[Years
InCurrentRole]]&gt; 4, Table1[[#This Row],[Performance
Rating]]&gt;=3), "High Risk", "Normal")</f>
        <v>Normal</v>
      </c>
      <c r="X89" t="str">
        <f>IF(Table1[[#This Row],[Performance
Rating]]&gt;=4, "High Performer", "Low Performer")</f>
        <v>High Performer</v>
      </c>
    </row>
    <row r="90" spans="2:24" x14ac:dyDescent="0.3">
      <c r="B90" t="s">
        <v>19</v>
      </c>
      <c r="C90" t="s">
        <v>20</v>
      </c>
      <c r="D90">
        <v>1</v>
      </c>
      <c r="E90" t="s">
        <v>28</v>
      </c>
      <c r="F90">
        <v>2</v>
      </c>
      <c r="G90" t="s">
        <v>32</v>
      </c>
      <c r="H90">
        <v>4</v>
      </c>
      <c r="I90">
        <v>6861</v>
      </c>
      <c r="J90">
        <v>12</v>
      </c>
      <c r="K90">
        <v>3</v>
      </c>
      <c r="L90">
        <v>0</v>
      </c>
      <c r="M90">
        <v>19</v>
      </c>
      <c r="N90">
        <v>1</v>
      </c>
      <c r="O90">
        <v>3</v>
      </c>
      <c r="P90">
        <v>1</v>
      </c>
      <c r="Q90">
        <v>0</v>
      </c>
      <c r="R90">
        <v>0</v>
      </c>
      <c r="S90" t="s">
        <v>34</v>
      </c>
      <c r="T90" t="s">
        <v>24</v>
      </c>
      <c r="U90" t="str">
        <f>IF(Table1[[#This Row],[YearsSince
LastPromotion]]&gt; 4, "Delayed", "Normal")</f>
        <v>Normal</v>
      </c>
      <c r="V90" t="str">
        <f>IF(Table1[[#This Row],[Years
InCurrentRole]]&gt;4, "Role Stagnent", "Normal")</f>
        <v>Normal</v>
      </c>
      <c r="W90" t="str">
        <f>IF(AND(Table1[[#This Row],[Years
InCurrentRole]]&gt; 4, Table1[[#This Row],[Performance
Rating]]&gt;=3), "High Risk", "Normal")</f>
        <v>Normal</v>
      </c>
      <c r="X90" t="str">
        <f>IF(Table1[[#This Row],[Performance
Rating]]&gt;=4, "High Performer", "Low Performer")</f>
        <v>Low Performer</v>
      </c>
    </row>
    <row r="91" spans="2:24" x14ac:dyDescent="0.3">
      <c r="B91" t="s">
        <v>27</v>
      </c>
      <c r="C91" t="s">
        <v>25</v>
      </c>
      <c r="D91">
        <v>1</v>
      </c>
      <c r="E91" t="s">
        <v>28</v>
      </c>
      <c r="F91">
        <v>1</v>
      </c>
      <c r="G91" t="s">
        <v>29</v>
      </c>
      <c r="H91">
        <v>2</v>
      </c>
      <c r="I91">
        <v>1393</v>
      </c>
      <c r="J91">
        <v>12</v>
      </c>
      <c r="K91">
        <v>3</v>
      </c>
      <c r="L91">
        <v>0</v>
      </c>
      <c r="M91">
        <v>1</v>
      </c>
      <c r="N91">
        <v>2</v>
      </c>
      <c r="O91">
        <v>3</v>
      </c>
      <c r="P91">
        <v>1</v>
      </c>
      <c r="Q91">
        <v>0</v>
      </c>
      <c r="R91">
        <v>0</v>
      </c>
      <c r="S91" t="s">
        <v>34</v>
      </c>
      <c r="T91" t="s">
        <v>24</v>
      </c>
      <c r="U91" t="str">
        <f>IF(Table1[[#This Row],[YearsSince
LastPromotion]]&gt; 4, "Delayed", "Normal")</f>
        <v>Normal</v>
      </c>
      <c r="V91" t="str">
        <f>IF(Table1[[#This Row],[Years
InCurrentRole]]&gt;4, "Role Stagnent", "Normal")</f>
        <v>Normal</v>
      </c>
      <c r="W91" t="str">
        <f>IF(AND(Table1[[#This Row],[Years
InCurrentRole]]&gt; 4, Table1[[#This Row],[Performance
Rating]]&gt;=3), "High Risk", "Normal")</f>
        <v>Normal</v>
      </c>
      <c r="X91" t="str">
        <f>IF(Table1[[#This Row],[Performance
Rating]]&gt;=4, "High Performer", "Low Performer")</f>
        <v>Low Performer</v>
      </c>
    </row>
    <row r="92" spans="2:24" x14ac:dyDescent="0.3">
      <c r="B92" t="s">
        <v>27</v>
      </c>
      <c r="C92" t="s">
        <v>36</v>
      </c>
      <c r="D92">
        <v>1</v>
      </c>
      <c r="E92" t="s">
        <v>21</v>
      </c>
      <c r="F92">
        <v>1</v>
      </c>
      <c r="G92" t="s">
        <v>36</v>
      </c>
      <c r="H92">
        <v>2</v>
      </c>
      <c r="I92">
        <v>2863</v>
      </c>
      <c r="J92">
        <v>12</v>
      </c>
      <c r="K92">
        <v>3</v>
      </c>
      <c r="L92">
        <v>0</v>
      </c>
      <c r="M92">
        <v>1</v>
      </c>
      <c r="N92">
        <v>2</v>
      </c>
      <c r="O92">
        <v>3</v>
      </c>
      <c r="P92">
        <v>1</v>
      </c>
      <c r="Q92">
        <v>0</v>
      </c>
      <c r="R92">
        <v>0</v>
      </c>
      <c r="S92" t="s">
        <v>34</v>
      </c>
      <c r="T92" t="s">
        <v>24</v>
      </c>
      <c r="U92" t="str">
        <f>IF(Table1[[#This Row],[YearsSince
LastPromotion]]&gt; 4, "Delayed", "Normal")</f>
        <v>Normal</v>
      </c>
      <c r="V92" t="str">
        <f>IF(Table1[[#This Row],[Years
InCurrentRole]]&gt;4, "Role Stagnent", "Normal")</f>
        <v>Normal</v>
      </c>
      <c r="W92" t="str">
        <f>IF(AND(Table1[[#This Row],[Years
InCurrentRole]]&gt; 4, Table1[[#This Row],[Performance
Rating]]&gt;=3), "High Risk", "Normal")</f>
        <v>Normal</v>
      </c>
      <c r="X92" t="str">
        <f>IF(Table1[[#This Row],[Performance
Rating]]&gt;=4, "High Performer", "Low Performer")</f>
        <v>Low Performer</v>
      </c>
    </row>
    <row r="93" spans="2:24" x14ac:dyDescent="0.3">
      <c r="B93" t="s">
        <v>19</v>
      </c>
      <c r="C93" t="s">
        <v>25</v>
      </c>
      <c r="D93">
        <v>1</v>
      </c>
      <c r="E93" t="s">
        <v>21</v>
      </c>
      <c r="F93">
        <v>1</v>
      </c>
      <c r="G93" t="s">
        <v>26</v>
      </c>
      <c r="H93">
        <v>4</v>
      </c>
      <c r="I93">
        <v>2994</v>
      </c>
      <c r="J93">
        <v>12</v>
      </c>
      <c r="K93">
        <v>3</v>
      </c>
      <c r="L93">
        <v>0</v>
      </c>
      <c r="M93">
        <v>1</v>
      </c>
      <c r="N93">
        <v>2</v>
      </c>
      <c r="O93">
        <v>3</v>
      </c>
      <c r="P93">
        <v>1</v>
      </c>
      <c r="Q93">
        <v>0</v>
      </c>
      <c r="R93">
        <v>0</v>
      </c>
      <c r="S93" t="s">
        <v>34</v>
      </c>
      <c r="T93" t="s">
        <v>24</v>
      </c>
      <c r="U93" t="str">
        <f>IF(Table1[[#This Row],[YearsSince
LastPromotion]]&gt; 4, "Delayed", "Normal")</f>
        <v>Normal</v>
      </c>
      <c r="V93" t="str">
        <f>IF(Table1[[#This Row],[Years
InCurrentRole]]&gt;4, "Role Stagnent", "Normal")</f>
        <v>Normal</v>
      </c>
      <c r="W93" t="str">
        <f>IF(AND(Table1[[#This Row],[Years
InCurrentRole]]&gt; 4, Table1[[#This Row],[Performance
Rating]]&gt;=3), "High Risk", "Normal")</f>
        <v>Normal</v>
      </c>
      <c r="X93" t="str">
        <f>IF(Table1[[#This Row],[Performance
Rating]]&gt;=4, "High Performer", "Low Performer")</f>
        <v>Low Performer</v>
      </c>
    </row>
    <row r="94" spans="2:24" x14ac:dyDescent="0.3">
      <c r="B94" t="s">
        <v>27</v>
      </c>
      <c r="C94" t="s">
        <v>20</v>
      </c>
      <c r="D94">
        <v>1</v>
      </c>
      <c r="E94" t="s">
        <v>21</v>
      </c>
      <c r="F94">
        <v>1</v>
      </c>
      <c r="G94" t="s">
        <v>30</v>
      </c>
      <c r="H94">
        <v>3</v>
      </c>
      <c r="I94">
        <v>2851</v>
      </c>
      <c r="J94">
        <v>13</v>
      </c>
      <c r="K94">
        <v>3</v>
      </c>
      <c r="L94">
        <v>0</v>
      </c>
      <c r="M94">
        <v>1</v>
      </c>
      <c r="N94">
        <v>2</v>
      </c>
      <c r="O94">
        <v>3</v>
      </c>
      <c r="P94">
        <v>1</v>
      </c>
      <c r="Q94">
        <v>0</v>
      </c>
      <c r="R94">
        <v>0</v>
      </c>
      <c r="S94" t="s">
        <v>34</v>
      </c>
      <c r="T94" t="s">
        <v>24</v>
      </c>
      <c r="U94" t="str">
        <f>IF(Table1[[#This Row],[YearsSince
LastPromotion]]&gt; 4, "Delayed", "Normal")</f>
        <v>Normal</v>
      </c>
      <c r="V94" t="str">
        <f>IF(Table1[[#This Row],[Years
InCurrentRole]]&gt;4, "Role Stagnent", "Normal")</f>
        <v>Normal</v>
      </c>
      <c r="W94" t="str">
        <f>IF(AND(Table1[[#This Row],[Years
InCurrentRole]]&gt; 4, Table1[[#This Row],[Performance
Rating]]&gt;=3), "High Risk", "Normal")</f>
        <v>Normal</v>
      </c>
      <c r="X94" t="str">
        <f>IF(Table1[[#This Row],[Performance
Rating]]&gt;=4, "High Performer", "Low Performer")</f>
        <v>Low Performer</v>
      </c>
    </row>
    <row r="95" spans="2:24" x14ac:dyDescent="0.3">
      <c r="B95" t="s">
        <v>19</v>
      </c>
      <c r="C95" t="s">
        <v>25</v>
      </c>
      <c r="D95">
        <v>1</v>
      </c>
      <c r="E95" t="s">
        <v>28</v>
      </c>
      <c r="F95">
        <v>1</v>
      </c>
      <c r="G95" t="s">
        <v>26</v>
      </c>
      <c r="H95">
        <v>1</v>
      </c>
      <c r="I95">
        <v>2956</v>
      </c>
      <c r="J95">
        <v>13</v>
      </c>
      <c r="K95">
        <v>3</v>
      </c>
      <c r="L95">
        <v>0</v>
      </c>
      <c r="M95">
        <v>1</v>
      </c>
      <c r="N95">
        <v>2</v>
      </c>
      <c r="O95">
        <v>3</v>
      </c>
      <c r="P95">
        <v>1</v>
      </c>
      <c r="Q95">
        <v>0</v>
      </c>
      <c r="R95">
        <v>0</v>
      </c>
      <c r="S95" t="s">
        <v>34</v>
      </c>
      <c r="T95" t="s">
        <v>24</v>
      </c>
      <c r="U95" t="str">
        <f>IF(Table1[[#This Row],[YearsSince
LastPromotion]]&gt; 4, "Delayed", "Normal")</f>
        <v>Normal</v>
      </c>
      <c r="V95" t="str">
        <f>IF(Table1[[#This Row],[Years
InCurrentRole]]&gt;4, "Role Stagnent", "Normal")</f>
        <v>Normal</v>
      </c>
      <c r="W95" t="str">
        <f>IF(AND(Table1[[#This Row],[Years
InCurrentRole]]&gt; 4, Table1[[#This Row],[Performance
Rating]]&gt;=3), "High Risk", "Normal")</f>
        <v>Normal</v>
      </c>
      <c r="X95" t="str">
        <f>IF(Table1[[#This Row],[Performance
Rating]]&gt;=4, "High Performer", "Low Performer")</f>
        <v>Low Performer</v>
      </c>
    </row>
    <row r="96" spans="2:24" x14ac:dyDescent="0.3">
      <c r="B96" t="s">
        <v>27</v>
      </c>
      <c r="C96" t="s">
        <v>25</v>
      </c>
      <c r="D96">
        <v>1</v>
      </c>
      <c r="E96" t="s">
        <v>21</v>
      </c>
      <c r="F96">
        <v>1</v>
      </c>
      <c r="G96" t="s">
        <v>26</v>
      </c>
      <c r="H96">
        <v>1</v>
      </c>
      <c r="I96">
        <v>2600</v>
      </c>
      <c r="J96">
        <v>15</v>
      </c>
      <c r="K96">
        <v>3</v>
      </c>
      <c r="L96">
        <v>0</v>
      </c>
      <c r="M96">
        <v>1</v>
      </c>
      <c r="N96">
        <v>2</v>
      </c>
      <c r="O96">
        <v>3</v>
      </c>
      <c r="P96">
        <v>1</v>
      </c>
      <c r="Q96">
        <v>0</v>
      </c>
      <c r="R96">
        <v>0</v>
      </c>
      <c r="S96" t="s">
        <v>34</v>
      </c>
      <c r="T96" t="s">
        <v>24</v>
      </c>
      <c r="U96" t="str">
        <f>IF(Table1[[#This Row],[YearsSince
LastPromotion]]&gt; 4, "Delayed", "Normal")</f>
        <v>Normal</v>
      </c>
      <c r="V96" t="str">
        <f>IF(Table1[[#This Row],[Years
InCurrentRole]]&gt;4, "Role Stagnent", "Normal")</f>
        <v>Normal</v>
      </c>
      <c r="W96" t="str">
        <f>IF(AND(Table1[[#This Row],[Years
InCurrentRole]]&gt; 4, Table1[[#This Row],[Performance
Rating]]&gt;=3), "High Risk", "Normal")</f>
        <v>Normal</v>
      </c>
      <c r="X96" t="str">
        <f>IF(Table1[[#This Row],[Performance
Rating]]&gt;=4, "High Performer", "Low Performer")</f>
        <v>Low Performer</v>
      </c>
    </row>
    <row r="97" spans="2:24" x14ac:dyDescent="0.3">
      <c r="B97" t="s">
        <v>19</v>
      </c>
      <c r="C97" t="s">
        <v>25</v>
      </c>
      <c r="D97">
        <v>1</v>
      </c>
      <c r="E97" t="s">
        <v>28</v>
      </c>
      <c r="F97">
        <v>1</v>
      </c>
      <c r="G97" t="s">
        <v>29</v>
      </c>
      <c r="H97">
        <v>4</v>
      </c>
      <c r="I97">
        <v>2269</v>
      </c>
      <c r="J97">
        <v>19</v>
      </c>
      <c r="K97">
        <v>3</v>
      </c>
      <c r="L97">
        <v>0</v>
      </c>
      <c r="M97">
        <v>1</v>
      </c>
      <c r="N97">
        <v>2</v>
      </c>
      <c r="O97">
        <v>3</v>
      </c>
      <c r="P97">
        <v>1</v>
      </c>
      <c r="Q97">
        <v>0</v>
      </c>
      <c r="R97">
        <v>0</v>
      </c>
      <c r="S97" t="s">
        <v>34</v>
      </c>
      <c r="T97" t="s">
        <v>24</v>
      </c>
      <c r="U97" t="str">
        <f>IF(Table1[[#This Row],[YearsSince
LastPromotion]]&gt; 4, "Delayed", "Normal")</f>
        <v>Normal</v>
      </c>
      <c r="V97" t="str">
        <f>IF(Table1[[#This Row],[Years
InCurrentRole]]&gt;4, "Role Stagnent", "Normal")</f>
        <v>Normal</v>
      </c>
      <c r="W97" t="str">
        <f>IF(AND(Table1[[#This Row],[Years
InCurrentRole]]&gt; 4, Table1[[#This Row],[Performance
Rating]]&gt;=3), "High Risk", "Normal")</f>
        <v>Normal</v>
      </c>
      <c r="X97" t="str">
        <f>IF(Table1[[#This Row],[Performance
Rating]]&gt;=4, "High Performer", "Low Performer")</f>
        <v>Low Performer</v>
      </c>
    </row>
    <row r="98" spans="2:24" x14ac:dyDescent="0.3">
      <c r="B98" t="s">
        <v>27</v>
      </c>
      <c r="C98" t="s">
        <v>25</v>
      </c>
      <c r="D98">
        <v>1</v>
      </c>
      <c r="E98" t="s">
        <v>28</v>
      </c>
      <c r="F98">
        <v>1</v>
      </c>
      <c r="G98" t="s">
        <v>29</v>
      </c>
      <c r="H98">
        <v>1</v>
      </c>
      <c r="I98">
        <v>2973</v>
      </c>
      <c r="J98">
        <v>19</v>
      </c>
      <c r="K98">
        <v>3</v>
      </c>
      <c r="L98">
        <v>0</v>
      </c>
      <c r="M98">
        <v>1</v>
      </c>
      <c r="N98">
        <v>2</v>
      </c>
      <c r="O98">
        <v>3</v>
      </c>
      <c r="P98">
        <v>1</v>
      </c>
      <c r="Q98">
        <v>0</v>
      </c>
      <c r="R98">
        <v>0</v>
      </c>
      <c r="S98" t="s">
        <v>34</v>
      </c>
      <c r="T98" t="s">
        <v>24</v>
      </c>
      <c r="U98" t="str">
        <f>IF(Table1[[#This Row],[YearsSince
LastPromotion]]&gt; 4, "Delayed", "Normal")</f>
        <v>Normal</v>
      </c>
      <c r="V98" t="str">
        <f>IF(Table1[[#This Row],[Years
InCurrentRole]]&gt;4, "Role Stagnent", "Normal")</f>
        <v>Normal</v>
      </c>
      <c r="W98" t="str">
        <f>IF(AND(Table1[[#This Row],[Years
InCurrentRole]]&gt; 4, Table1[[#This Row],[Performance
Rating]]&gt;=3), "High Risk", "Normal")</f>
        <v>Normal</v>
      </c>
      <c r="X98" t="str">
        <f>IF(Table1[[#This Row],[Performance
Rating]]&gt;=4, "High Performer", "Low Performer")</f>
        <v>Low Performer</v>
      </c>
    </row>
    <row r="99" spans="2:24" x14ac:dyDescent="0.3">
      <c r="B99" t="s">
        <v>27</v>
      </c>
      <c r="C99" t="s">
        <v>25</v>
      </c>
      <c r="D99">
        <v>1</v>
      </c>
      <c r="E99" t="s">
        <v>28</v>
      </c>
      <c r="F99">
        <v>1</v>
      </c>
      <c r="G99" t="s">
        <v>26</v>
      </c>
      <c r="H99">
        <v>2</v>
      </c>
      <c r="I99">
        <v>2472</v>
      </c>
      <c r="J99">
        <v>23</v>
      </c>
      <c r="K99">
        <v>4</v>
      </c>
      <c r="L99">
        <v>0</v>
      </c>
      <c r="M99">
        <v>1</v>
      </c>
      <c r="N99">
        <v>2</v>
      </c>
      <c r="O99">
        <v>3</v>
      </c>
      <c r="P99">
        <v>1</v>
      </c>
      <c r="Q99">
        <v>0</v>
      </c>
      <c r="R99">
        <v>0</v>
      </c>
      <c r="S99" t="s">
        <v>34</v>
      </c>
      <c r="T99" t="s">
        <v>24</v>
      </c>
      <c r="U99" t="str">
        <f>IF(Table1[[#This Row],[YearsSince
LastPromotion]]&gt; 4, "Delayed", "Normal")</f>
        <v>Normal</v>
      </c>
      <c r="V99" t="str">
        <f>IF(Table1[[#This Row],[Years
InCurrentRole]]&gt;4, "Role Stagnent", "Normal")</f>
        <v>Normal</v>
      </c>
      <c r="W99" t="str">
        <f>IF(AND(Table1[[#This Row],[Years
InCurrentRole]]&gt; 4, Table1[[#This Row],[Performance
Rating]]&gt;=3), "High Risk", "Normal")</f>
        <v>Normal</v>
      </c>
      <c r="X99" t="str">
        <f>IF(Table1[[#This Row],[Performance
Rating]]&gt;=4, "High Performer", "Low Performer")</f>
        <v>High Performer</v>
      </c>
    </row>
    <row r="100" spans="2:24" x14ac:dyDescent="0.3">
      <c r="B100" t="s">
        <v>27</v>
      </c>
      <c r="C100" t="s">
        <v>36</v>
      </c>
      <c r="D100">
        <v>1</v>
      </c>
      <c r="E100" t="s">
        <v>28</v>
      </c>
      <c r="F100">
        <v>1</v>
      </c>
      <c r="G100" t="s">
        <v>36</v>
      </c>
      <c r="H100">
        <v>3</v>
      </c>
      <c r="I100">
        <v>1555</v>
      </c>
      <c r="J100">
        <v>11</v>
      </c>
      <c r="K100">
        <v>3</v>
      </c>
      <c r="L100">
        <v>1</v>
      </c>
      <c r="M100">
        <v>1</v>
      </c>
      <c r="N100">
        <v>2</v>
      </c>
      <c r="O100">
        <v>3</v>
      </c>
      <c r="P100">
        <v>1</v>
      </c>
      <c r="Q100">
        <v>0</v>
      </c>
      <c r="R100">
        <v>0</v>
      </c>
      <c r="S100" t="s">
        <v>34</v>
      </c>
      <c r="T100" t="s">
        <v>24</v>
      </c>
      <c r="U100" t="str">
        <f>IF(Table1[[#This Row],[YearsSince
LastPromotion]]&gt; 4, "Delayed", "Normal")</f>
        <v>Normal</v>
      </c>
      <c r="V100" t="str">
        <f>IF(Table1[[#This Row],[Years
InCurrentRole]]&gt;4, "Role Stagnent", "Normal")</f>
        <v>Normal</v>
      </c>
      <c r="W100" t="str">
        <f>IF(AND(Table1[[#This Row],[Years
InCurrentRole]]&gt; 4, Table1[[#This Row],[Performance
Rating]]&gt;=3), "High Risk", "Normal")</f>
        <v>Normal</v>
      </c>
      <c r="X100" t="str">
        <f>IF(Table1[[#This Row],[Performance
Rating]]&gt;=4, "High Performer", "Low Performer")</f>
        <v>Low Performer</v>
      </c>
    </row>
    <row r="101" spans="2:24" x14ac:dyDescent="0.3">
      <c r="B101" t="s">
        <v>27</v>
      </c>
      <c r="C101" t="s">
        <v>25</v>
      </c>
      <c r="D101">
        <v>1</v>
      </c>
      <c r="E101" t="s">
        <v>21</v>
      </c>
      <c r="F101">
        <v>1</v>
      </c>
      <c r="G101" t="s">
        <v>29</v>
      </c>
      <c r="H101">
        <v>1</v>
      </c>
      <c r="I101">
        <v>2074</v>
      </c>
      <c r="J101">
        <v>12</v>
      </c>
      <c r="K101">
        <v>3</v>
      </c>
      <c r="L101">
        <v>1</v>
      </c>
      <c r="M101">
        <v>1</v>
      </c>
      <c r="N101">
        <v>2</v>
      </c>
      <c r="O101">
        <v>3</v>
      </c>
      <c r="P101">
        <v>1</v>
      </c>
      <c r="Q101">
        <v>0</v>
      </c>
      <c r="R101">
        <v>0</v>
      </c>
      <c r="S101" t="s">
        <v>34</v>
      </c>
      <c r="T101" t="s">
        <v>24</v>
      </c>
      <c r="U101" t="str">
        <f>IF(Table1[[#This Row],[YearsSince
LastPromotion]]&gt; 4, "Delayed", "Normal")</f>
        <v>Normal</v>
      </c>
      <c r="V101" t="str">
        <f>IF(Table1[[#This Row],[Years
InCurrentRole]]&gt;4, "Role Stagnent", "Normal")</f>
        <v>Normal</v>
      </c>
      <c r="W101" t="str">
        <f>IF(AND(Table1[[#This Row],[Years
InCurrentRole]]&gt; 4, Table1[[#This Row],[Performance
Rating]]&gt;=3), "High Risk", "Normal")</f>
        <v>Normal</v>
      </c>
      <c r="X101" t="str">
        <f>IF(Table1[[#This Row],[Performance
Rating]]&gt;=4, "High Performer", "Low Performer")</f>
        <v>Low Performer</v>
      </c>
    </row>
    <row r="102" spans="2:24" x14ac:dyDescent="0.3">
      <c r="B102" t="s">
        <v>19</v>
      </c>
      <c r="C102" t="s">
        <v>20</v>
      </c>
      <c r="D102">
        <v>1</v>
      </c>
      <c r="E102" t="s">
        <v>21</v>
      </c>
      <c r="F102">
        <v>1</v>
      </c>
      <c r="G102" t="s">
        <v>30</v>
      </c>
      <c r="H102">
        <v>2</v>
      </c>
      <c r="I102">
        <v>2033</v>
      </c>
      <c r="J102">
        <v>13</v>
      </c>
      <c r="K102">
        <v>3</v>
      </c>
      <c r="L102">
        <v>1</v>
      </c>
      <c r="M102">
        <v>1</v>
      </c>
      <c r="N102">
        <v>2</v>
      </c>
      <c r="O102">
        <v>3</v>
      </c>
      <c r="P102">
        <v>1</v>
      </c>
      <c r="Q102">
        <v>0</v>
      </c>
      <c r="R102">
        <v>0</v>
      </c>
      <c r="S102" t="s">
        <v>34</v>
      </c>
      <c r="T102" t="s">
        <v>24</v>
      </c>
      <c r="U102" t="str">
        <f>IF(Table1[[#This Row],[YearsSince
LastPromotion]]&gt; 4, "Delayed", "Normal")</f>
        <v>Normal</v>
      </c>
      <c r="V102" t="str">
        <f>IF(Table1[[#This Row],[Years
InCurrentRole]]&gt;4, "Role Stagnent", "Normal")</f>
        <v>Normal</v>
      </c>
      <c r="W102" t="str">
        <f>IF(AND(Table1[[#This Row],[Years
InCurrentRole]]&gt; 4, Table1[[#This Row],[Performance
Rating]]&gt;=3), "High Risk", "Normal")</f>
        <v>Normal</v>
      </c>
      <c r="X102" t="str">
        <f>IF(Table1[[#This Row],[Performance
Rating]]&gt;=4, "High Performer", "Low Performer")</f>
        <v>Low Performer</v>
      </c>
    </row>
    <row r="103" spans="2:24" x14ac:dyDescent="0.3">
      <c r="B103" t="s">
        <v>19</v>
      </c>
      <c r="C103" t="s">
        <v>25</v>
      </c>
      <c r="D103">
        <v>1</v>
      </c>
      <c r="E103" t="s">
        <v>21</v>
      </c>
      <c r="F103">
        <v>1</v>
      </c>
      <c r="G103" t="s">
        <v>26</v>
      </c>
      <c r="H103">
        <v>1</v>
      </c>
      <c r="I103">
        <v>2109</v>
      </c>
      <c r="J103">
        <v>13</v>
      </c>
      <c r="K103">
        <v>3</v>
      </c>
      <c r="L103">
        <v>1</v>
      </c>
      <c r="M103">
        <v>1</v>
      </c>
      <c r="N103">
        <v>2</v>
      </c>
      <c r="O103">
        <v>3</v>
      </c>
      <c r="P103">
        <v>1</v>
      </c>
      <c r="Q103">
        <v>0</v>
      </c>
      <c r="R103">
        <v>0</v>
      </c>
      <c r="S103" t="s">
        <v>34</v>
      </c>
      <c r="T103" t="s">
        <v>24</v>
      </c>
      <c r="U103" t="str">
        <f>IF(Table1[[#This Row],[YearsSince
LastPromotion]]&gt; 4, "Delayed", "Normal")</f>
        <v>Normal</v>
      </c>
      <c r="V103" t="str">
        <f>IF(Table1[[#This Row],[Years
InCurrentRole]]&gt;4, "Role Stagnent", "Normal")</f>
        <v>Normal</v>
      </c>
      <c r="W103" t="str">
        <f>IF(AND(Table1[[#This Row],[Years
InCurrentRole]]&gt; 4, Table1[[#This Row],[Performance
Rating]]&gt;=3), "High Risk", "Normal")</f>
        <v>Normal</v>
      </c>
      <c r="X103" t="str">
        <f>IF(Table1[[#This Row],[Performance
Rating]]&gt;=4, "High Performer", "Low Performer")</f>
        <v>Low Performer</v>
      </c>
    </row>
    <row r="104" spans="2:24" x14ac:dyDescent="0.3">
      <c r="B104" t="s">
        <v>19</v>
      </c>
      <c r="C104" t="s">
        <v>25</v>
      </c>
      <c r="D104">
        <v>1</v>
      </c>
      <c r="E104" t="s">
        <v>21</v>
      </c>
      <c r="F104">
        <v>1</v>
      </c>
      <c r="G104" t="s">
        <v>26</v>
      </c>
      <c r="H104">
        <v>3</v>
      </c>
      <c r="I104">
        <v>2083</v>
      </c>
      <c r="J104">
        <v>20</v>
      </c>
      <c r="K104">
        <v>4</v>
      </c>
      <c r="L104">
        <v>1</v>
      </c>
      <c r="M104">
        <v>1</v>
      </c>
      <c r="N104">
        <v>2</v>
      </c>
      <c r="O104">
        <v>3</v>
      </c>
      <c r="P104">
        <v>1</v>
      </c>
      <c r="Q104">
        <v>0</v>
      </c>
      <c r="R104">
        <v>0</v>
      </c>
      <c r="S104" t="s">
        <v>34</v>
      </c>
      <c r="T104" t="s">
        <v>24</v>
      </c>
      <c r="U104" t="str">
        <f>IF(Table1[[#This Row],[YearsSince
LastPromotion]]&gt; 4, "Delayed", "Normal")</f>
        <v>Normal</v>
      </c>
      <c r="V104" t="str">
        <f>IF(Table1[[#This Row],[Years
InCurrentRole]]&gt;4, "Role Stagnent", "Normal")</f>
        <v>Normal</v>
      </c>
      <c r="W104" t="str">
        <f>IF(AND(Table1[[#This Row],[Years
InCurrentRole]]&gt; 4, Table1[[#This Row],[Performance
Rating]]&gt;=3), "High Risk", "Normal")</f>
        <v>Normal</v>
      </c>
      <c r="X104" t="str">
        <f>IF(Table1[[#This Row],[Performance
Rating]]&gt;=4, "High Performer", "Low Performer")</f>
        <v>High Performer</v>
      </c>
    </row>
    <row r="105" spans="2:24" x14ac:dyDescent="0.3">
      <c r="B105" t="s">
        <v>19</v>
      </c>
      <c r="C105" t="s">
        <v>25</v>
      </c>
      <c r="D105">
        <v>1</v>
      </c>
      <c r="E105" t="s">
        <v>28</v>
      </c>
      <c r="F105">
        <v>1</v>
      </c>
      <c r="G105" t="s">
        <v>29</v>
      </c>
      <c r="H105">
        <v>2</v>
      </c>
      <c r="I105">
        <v>2127</v>
      </c>
      <c r="J105">
        <v>21</v>
      </c>
      <c r="K105">
        <v>4</v>
      </c>
      <c r="L105">
        <v>1</v>
      </c>
      <c r="M105">
        <v>1</v>
      </c>
      <c r="N105">
        <v>2</v>
      </c>
      <c r="O105">
        <v>3</v>
      </c>
      <c r="P105">
        <v>1</v>
      </c>
      <c r="Q105">
        <v>0</v>
      </c>
      <c r="R105">
        <v>0</v>
      </c>
      <c r="S105" t="s">
        <v>34</v>
      </c>
      <c r="T105" t="s">
        <v>24</v>
      </c>
      <c r="U105" t="str">
        <f>IF(Table1[[#This Row],[YearsSince
LastPromotion]]&gt; 4, "Delayed", "Normal")</f>
        <v>Normal</v>
      </c>
      <c r="V105" t="str">
        <f>IF(Table1[[#This Row],[Years
InCurrentRole]]&gt;4, "Role Stagnent", "Normal")</f>
        <v>Normal</v>
      </c>
      <c r="W105" t="str">
        <f>IF(AND(Table1[[#This Row],[Years
InCurrentRole]]&gt; 4, Table1[[#This Row],[Performance
Rating]]&gt;=3), "High Risk", "Normal")</f>
        <v>Normal</v>
      </c>
      <c r="X105" t="str">
        <f>IF(Table1[[#This Row],[Performance
Rating]]&gt;=4, "High Performer", "Low Performer")</f>
        <v>High Performer</v>
      </c>
    </row>
    <row r="106" spans="2:24" x14ac:dyDescent="0.3">
      <c r="B106" t="s">
        <v>19</v>
      </c>
      <c r="C106" t="s">
        <v>25</v>
      </c>
      <c r="D106">
        <v>1</v>
      </c>
      <c r="E106" t="s">
        <v>28</v>
      </c>
      <c r="F106">
        <v>1</v>
      </c>
      <c r="G106" t="s">
        <v>26</v>
      </c>
      <c r="H106">
        <v>3</v>
      </c>
      <c r="I106">
        <v>1223</v>
      </c>
      <c r="J106">
        <v>22</v>
      </c>
      <c r="K106">
        <v>4</v>
      </c>
      <c r="L106">
        <v>1</v>
      </c>
      <c r="M106">
        <v>1</v>
      </c>
      <c r="N106">
        <v>2</v>
      </c>
      <c r="O106">
        <v>3</v>
      </c>
      <c r="P106">
        <v>1</v>
      </c>
      <c r="Q106">
        <v>0</v>
      </c>
      <c r="R106">
        <v>0</v>
      </c>
      <c r="S106" t="s">
        <v>34</v>
      </c>
      <c r="T106" t="s">
        <v>24</v>
      </c>
      <c r="U106" t="str">
        <f>IF(Table1[[#This Row],[YearsSince
LastPromotion]]&gt; 4, "Delayed", "Normal")</f>
        <v>Normal</v>
      </c>
      <c r="V106" t="str">
        <f>IF(Table1[[#This Row],[Years
InCurrentRole]]&gt;4, "Role Stagnent", "Normal")</f>
        <v>Normal</v>
      </c>
      <c r="W106" t="str">
        <f>IF(AND(Table1[[#This Row],[Years
InCurrentRole]]&gt; 4, Table1[[#This Row],[Performance
Rating]]&gt;=3), "High Risk", "Normal")</f>
        <v>Normal</v>
      </c>
      <c r="X106" t="str">
        <f>IF(Table1[[#This Row],[Performance
Rating]]&gt;=4, "High Performer", "Low Performer")</f>
        <v>High Performer</v>
      </c>
    </row>
    <row r="107" spans="2:24" x14ac:dyDescent="0.3">
      <c r="B107" t="s">
        <v>19</v>
      </c>
      <c r="C107" t="s">
        <v>25</v>
      </c>
      <c r="D107">
        <v>1</v>
      </c>
      <c r="E107" t="s">
        <v>28</v>
      </c>
      <c r="F107">
        <v>1</v>
      </c>
      <c r="G107" t="s">
        <v>29</v>
      </c>
      <c r="H107">
        <v>3</v>
      </c>
      <c r="I107">
        <v>2693</v>
      </c>
      <c r="J107">
        <v>22</v>
      </c>
      <c r="K107">
        <v>4</v>
      </c>
      <c r="L107">
        <v>1</v>
      </c>
      <c r="M107">
        <v>1</v>
      </c>
      <c r="N107">
        <v>2</v>
      </c>
      <c r="O107">
        <v>3</v>
      </c>
      <c r="P107">
        <v>1</v>
      </c>
      <c r="Q107">
        <v>0</v>
      </c>
      <c r="R107">
        <v>0</v>
      </c>
      <c r="S107" t="s">
        <v>34</v>
      </c>
      <c r="T107" t="s">
        <v>24</v>
      </c>
      <c r="U107" t="str">
        <f>IF(Table1[[#This Row],[YearsSince
LastPromotion]]&gt; 4, "Delayed", "Normal")</f>
        <v>Normal</v>
      </c>
      <c r="V107" t="str">
        <f>IF(Table1[[#This Row],[Years
InCurrentRole]]&gt;4, "Role Stagnent", "Normal")</f>
        <v>Normal</v>
      </c>
      <c r="W107" t="str">
        <f>IF(AND(Table1[[#This Row],[Years
InCurrentRole]]&gt; 4, Table1[[#This Row],[Performance
Rating]]&gt;=3), "High Risk", "Normal")</f>
        <v>Normal</v>
      </c>
      <c r="X107" t="str">
        <f>IF(Table1[[#This Row],[Performance
Rating]]&gt;=4, "High Performer", "Low Performer")</f>
        <v>High Performer</v>
      </c>
    </row>
    <row r="108" spans="2:24" x14ac:dyDescent="0.3">
      <c r="B108" t="s">
        <v>27</v>
      </c>
      <c r="C108" t="s">
        <v>25</v>
      </c>
      <c r="D108">
        <v>1</v>
      </c>
      <c r="E108" t="s">
        <v>28</v>
      </c>
      <c r="F108">
        <v>1</v>
      </c>
      <c r="G108" t="s">
        <v>29</v>
      </c>
      <c r="H108">
        <v>2</v>
      </c>
      <c r="I108">
        <v>2596</v>
      </c>
      <c r="J108">
        <v>15</v>
      </c>
      <c r="K108">
        <v>3</v>
      </c>
      <c r="L108">
        <v>2</v>
      </c>
      <c r="M108">
        <v>1</v>
      </c>
      <c r="N108">
        <v>2</v>
      </c>
      <c r="O108">
        <v>3</v>
      </c>
      <c r="P108">
        <v>1</v>
      </c>
      <c r="Q108">
        <v>0</v>
      </c>
      <c r="R108">
        <v>0</v>
      </c>
      <c r="S108" t="s">
        <v>34</v>
      </c>
      <c r="T108" t="s">
        <v>24</v>
      </c>
      <c r="U108" t="str">
        <f>IF(Table1[[#This Row],[YearsSince
LastPromotion]]&gt; 4, "Delayed", "Normal")</f>
        <v>Normal</v>
      </c>
      <c r="V108" t="str">
        <f>IF(Table1[[#This Row],[Years
InCurrentRole]]&gt;4, "Role Stagnent", "Normal")</f>
        <v>Normal</v>
      </c>
      <c r="W108" t="str">
        <f>IF(AND(Table1[[#This Row],[Years
InCurrentRole]]&gt; 4, Table1[[#This Row],[Performance
Rating]]&gt;=3), "High Risk", "Normal")</f>
        <v>Normal</v>
      </c>
      <c r="X108" t="str">
        <f>IF(Table1[[#This Row],[Performance
Rating]]&gt;=4, "High Performer", "Low Performer")</f>
        <v>Low Performer</v>
      </c>
    </row>
    <row r="109" spans="2:24" x14ac:dyDescent="0.3">
      <c r="B109" t="s">
        <v>27</v>
      </c>
      <c r="C109" t="s">
        <v>20</v>
      </c>
      <c r="D109">
        <v>1</v>
      </c>
      <c r="E109" t="s">
        <v>28</v>
      </c>
      <c r="F109">
        <v>1</v>
      </c>
      <c r="G109" t="s">
        <v>30</v>
      </c>
      <c r="H109">
        <v>2</v>
      </c>
      <c r="I109">
        <v>2413</v>
      </c>
      <c r="J109">
        <v>18</v>
      </c>
      <c r="K109">
        <v>3</v>
      </c>
      <c r="L109">
        <v>3</v>
      </c>
      <c r="M109">
        <v>1</v>
      </c>
      <c r="N109">
        <v>2</v>
      </c>
      <c r="O109">
        <v>3</v>
      </c>
      <c r="P109">
        <v>1</v>
      </c>
      <c r="Q109">
        <v>0</v>
      </c>
      <c r="R109">
        <v>0</v>
      </c>
      <c r="S109" t="s">
        <v>34</v>
      </c>
      <c r="T109" t="s">
        <v>24</v>
      </c>
      <c r="U109" t="str">
        <f>IF(Table1[[#This Row],[YearsSince
LastPromotion]]&gt; 4, "Delayed", "Normal")</f>
        <v>Normal</v>
      </c>
      <c r="V109" t="str">
        <f>IF(Table1[[#This Row],[Years
InCurrentRole]]&gt;4, "Role Stagnent", "Normal")</f>
        <v>Normal</v>
      </c>
      <c r="W109" t="str">
        <f>IF(AND(Table1[[#This Row],[Years
InCurrentRole]]&gt; 4, Table1[[#This Row],[Performance
Rating]]&gt;=3), "High Risk", "Normal")</f>
        <v>Normal</v>
      </c>
      <c r="X109" t="str">
        <f>IF(Table1[[#This Row],[Performance
Rating]]&gt;=4, "High Performer", "Low Performer")</f>
        <v>Low Performer</v>
      </c>
    </row>
    <row r="110" spans="2:24" x14ac:dyDescent="0.3">
      <c r="B110" t="s">
        <v>19</v>
      </c>
      <c r="C110" t="s">
        <v>25</v>
      </c>
      <c r="D110">
        <v>1</v>
      </c>
      <c r="E110" t="s">
        <v>28</v>
      </c>
      <c r="F110">
        <v>1</v>
      </c>
      <c r="G110" t="s">
        <v>26</v>
      </c>
      <c r="H110">
        <v>4</v>
      </c>
      <c r="I110">
        <v>4680</v>
      </c>
      <c r="J110">
        <v>17</v>
      </c>
      <c r="K110">
        <v>3</v>
      </c>
      <c r="L110">
        <v>0</v>
      </c>
      <c r="M110">
        <v>4</v>
      </c>
      <c r="N110">
        <v>2</v>
      </c>
      <c r="O110">
        <v>3</v>
      </c>
      <c r="P110">
        <v>1</v>
      </c>
      <c r="Q110">
        <v>0</v>
      </c>
      <c r="R110">
        <v>0</v>
      </c>
      <c r="S110" t="s">
        <v>34</v>
      </c>
      <c r="T110" t="s">
        <v>24</v>
      </c>
      <c r="U110" t="str">
        <f>IF(Table1[[#This Row],[YearsSince
LastPromotion]]&gt; 4, "Delayed", "Normal")</f>
        <v>Normal</v>
      </c>
      <c r="V110" t="str">
        <f>IF(Table1[[#This Row],[Years
InCurrentRole]]&gt;4, "Role Stagnent", "Normal")</f>
        <v>Normal</v>
      </c>
      <c r="W110" t="str">
        <f>IF(AND(Table1[[#This Row],[Years
InCurrentRole]]&gt; 4, Table1[[#This Row],[Performance
Rating]]&gt;=3), "High Risk", "Normal")</f>
        <v>Normal</v>
      </c>
      <c r="X110" t="str">
        <f>IF(Table1[[#This Row],[Performance
Rating]]&gt;=4, "High Performer", "Low Performer")</f>
        <v>Low Performer</v>
      </c>
    </row>
    <row r="111" spans="2:24" x14ac:dyDescent="0.3">
      <c r="B111" t="s">
        <v>19</v>
      </c>
      <c r="C111" t="s">
        <v>25</v>
      </c>
      <c r="D111">
        <v>1</v>
      </c>
      <c r="E111" t="s">
        <v>28</v>
      </c>
      <c r="F111">
        <v>1</v>
      </c>
      <c r="G111" t="s">
        <v>29</v>
      </c>
      <c r="H111">
        <v>4</v>
      </c>
      <c r="I111">
        <v>3688</v>
      </c>
      <c r="J111">
        <v>18</v>
      </c>
      <c r="K111">
        <v>3</v>
      </c>
      <c r="L111">
        <v>2</v>
      </c>
      <c r="M111">
        <v>4</v>
      </c>
      <c r="N111">
        <v>2</v>
      </c>
      <c r="O111">
        <v>3</v>
      </c>
      <c r="P111">
        <v>1</v>
      </c>
      <c r="Q111">
        <v>0</v>
      </c>
      <c r="R111">
        <v>0</v>
      </c>
      <c r="S111" t="s">
        <v>34</v>
      </c>
      <c r="T111" t="s">
        <v>24</v>
      </c>
      <c r="U111" t="str">
        <f>IF(Table1[[#This Row],[YearsSince
LastPromotion]]&gt; 4, "Delayed", "Normal")</f>
        <v>Normal</v>
      </c>
      <c r="V111" t="str">
        <f>IF(Table1[[#This Row],[Years
InCurrentRole]]&gt;4, "Role Stagnent", "Normal")</f>
        <v>Normal</v>
      </c>
      <c r="W111" t="str">
        <f>IF(AND(Table1[[#This Row],[Years
InCurrentRole]]&gt; 4, Table1[[#This Row],[Performance
Rating]]&gt;=3), "High Risk", "Normal")</f>
        <v>Normal</v>
      </c>
      <c r="X111" t="str">
        <f>IF(Table1[[#This Row],[Performance
Rating]]&gt;=4, "High Performer", "Low Performer")</f>
        <v>Low Performer</v>
      </c>
    </row>
    <row r="112" spans="2:24" x14ac:dyDescent="0.3">
      <c r="B112" t="s">
        <v>19</v>
      </c>
      <c r="C112" t="s">
        <v>25</v>
      </c>
      <c r="D112">
        <v>1</v>
      </c>
      <c r="E112" t="s">
        <v>21</v>
      </c>
      <c r="F112">
        <v>1</v>
      </c>
      <c r="G112" t="s">
        <v>29</v>
      </c>
      <c r="H112">
        <v>4</v>
      </c>
      <c r="I112">
        <v>2835</v>
      </c>
      <c r="J112">
        <v>22</v>
      </c>
      <c r="K112">
        <v>4</v>
      </c>
      <c r="L112">
        <v>1</v>
      </c>
      <c r="M112">
        <v>7</v>
      </c>
      <c r="N112">
        <v>2</v>
      </c>
      <c r="O112">
        <v>3</v>
      </c>
      <c r="P112">
        <v>1</v>
      </c>
      <c r="Q112">
        <v>0</v>
      </c>
      <c r="R112">
        <v>0</v>
      </c>
      <c r="S112" t="s">
        <v>34</v>
      </c>
      <c r="T112" t="s">
        <v>24</v>
      </c>
      <c r="U112" t="str">
        <f>IF(Table1[[#This Row],[YearsSince
LastPromotion]]&gt; 4, "Delayed", "Normal")</f>
        <v>Normal</v>
      </c>
      <c r="V112" t="str">
        <f>IF(Table1[[#This Row],[Years
InCurrentRole]]&gt;4, "Role Stagnent", "Normal")</f>
        <v>Normal</v>
      </c>
      <c r="W112" t="str">
        <f>IF(AND(Table1[[#This Row],[Years
InCurrentRole]]&gt; 4, Table1[[#This Row],[Performance
Rating]]&gt;=3), "High Risk", "Normal")</f>
        <v>Normal</v>
      </c>
      <c r="X112" t="str">
        <f>IF(Table1[[#This Row],[Performance
Rating]]&gt;=4, "High Performer", "Low Performer")</f>
        <v>High Performer</v>
      </c>
    </row>
    <row r="113" spans="2:24" x14ac:dyDescent="0.3">
      <c r="B113" t="s">
        <v>19</v>
      </c>
      <c r="C113" t="s">
        <v>20</v>
      </c>
      <c r="D113">
        <v>1</v>
      </c>
      <c r="E113" t="s">
        <v>28</v>
      </c>
      <c r="F113">
        <v>2</v>
      </c>
      <c r="G113" t="s">
        <v>32</v>
      </c>
      <c r="H113">
        <v>3</v>
      </c>
      <c r="I113">
        <v>6334</v>
      </c>
      <c r="J113">
        <v>19</v>
      </c>
      <c r="K113">
        <v>3</v>
      </c>
      <c r="L113">
        <v>2</v>
      </c>
      <c r="M113">
        <v>9</v>
      </c>
      <c r="N113">
        <v>2</v>
      </c>
      <c r="O113">
        <v>3</v>
      </c>
      <c r="P113">
        <v>1</v>
      </c>
      <c r="Q113">
        <v>0</v>
      </c>
      <c r="R113">
        <v>0</v>
      </c>
      <c r="S113" t="s">
        <v>34</v>
      </c>
      <c r="T113" t="s">
        <v>24</v>
      </c>
      <c r="U113" t="str">
        <f>IF(Table1[[#This Row],[YearsSince
LastPromotion]]&gt; 4, "Delayed", "Normal")</f>
        <v>Normal</v>
      </c>
      <c r="V113" t="str">
        <f>IF(Table1[[#This Row],[Years
InCurrentRole]]&gt;4, "Role Stagnent", "Normal")</f>
        <v>Normal</v>
      </c>
      <c r="W113" t="str">
        <f>IF(AND(Table1[[#This Row],[Years
InCurrentRole]]&gt; 4, Table1[[#This Row],[Performance
Rating]]&gt;=3), "High Risk", "Normal")</f>
        <v>Normal</v>
      </c>
      <c r="X113" t="str">
        <f>IF(Table1[[#This Row],[Performance
Rating]]&gt;=4, "High Performer", "Low Performer")</f>
        <v>Low Performer</v>
      </c>
    </row>
    <row r="114" spans="2:24" x14ac:dyDescent="0.3">
      <c r="B114" t="s">
        <v>19</v>
      </c>
      <c r="C114" t="s">
        <v>20</v>
      </c>
      <c r="D114">
        <v>1</v>
      </c>
      <c r="E114" t="s">
        <v>28</v>
      </c>
      <c r="F114">
        <v>3</v>
      </c>
      <c r="G114" t="s">
        <v>32</v>
      </c>
      <c r="H114">
        <v>2</v>
      </c>
      <c r="I114">
        <v>7351</v>
      </c>
      <c r="J114">
        <v>16</v>
      </c>
      <c r="K114">
        <v>3</v>
      </c>
      <c r="L114">
        <v>0</v>
      </c>
      <c r="M114">
        <v>10</v>
      </c>
      <c r="N114">
        <v>2</v>
      </c>
      <c r="O114">
        <v>3</v>
      </c>
      <c r="P114">
        <v>1</v>
      </c>
      <c r="Q114">
        <v>0</v>
      </c>
      <c r="R114">
        <v>0</v>
      </c>
      <c r="S114" t="s">
        <v>34</v>
      </c>
      <c r="T114" t="s">
        <v>24</v>
      </c>
      <c r="U114" t="str">
        <f>IF(Table1[[#This Row],[YearsSince
LastPromotion]]&gt; 4, "Delayed", "Normal")</f>
        <v>Normal</v>
      </c>
      <c r="V114" t="str">
        <f>IF(Table1[[#This Row],[Years
InCurrentRole]]&gt;4, "Role Stagnent", "Normal")</f>
        <v>Normal</v>
      </c>
      <c r="W114" t="str">
        <f>IF(AND(Table1[[#This Row],[Years
InCurrentRole]]&gt; 4, Table1[[#This Row],[Performance
Rating]]&gt;=3), "High Risk", "Normal")</f>
        <v>Normal</v>
      </c>
      <c r="X114" t="str">
        <f>IF(Table1[[#This Row],[Performance
Rating]]&gt;=4, "High Performer", "Low Performer")</f>
        <v>Low Performer</v>
      </c>
    </row>
    <row r="115" spans="2:24" x14ac:dyDescent="0.3">
      <c r="B115" t="s">
        <v>19</v>
      </c>
      <c r="C115" t="s">
        <v>25</v>
      </c>
      <c r="D115">
        <v>1</v>
      </c>
      <c r="E115" t="s">
        <v>28</v>
      </c>
      <c r="F115">
        <v>2</v>
      </c>
      <c r="G115" t="s">
        <v>33</v>
      </c>
      <c r="H115">
        <v>3</v>
      </c>
      <c r="I115">
        <v>6132</v>
      </c>
      <c r="J115">
        <v>17</v>
      </c>
      <c r="K115">
        <v>3</v>
      </c>
      <c r="L115">
        <v>0</v>
      </c>
      <c r="M115">
        <v>10</v>
      </c>
      <c r="N115">
        <v>2</v>
      </c>
      <c r="O115">
        <v>3</v>
      </c>
      <c r="P115">
        <v>1</v>
      </c>
      <c r="Q115">
        <v>0</v>
      </c>
      <c r="R115">
        <v>0</v>
      </c>
      <c r="S115" t="s">
        <v>34</v>
      </c>
      <c r="T115" t="s">
        <v>24</v>
      </c>
      <c r="U115" t="str">
        <f>IF(Table1[[#This Row],[YearsSince
LastPromotion]]&gt; 4, "Delayed", "Normal")</f>
        <v>Normal</v>
      </c>
      <c r="V115" t="str">
        <f>IF(Table1[[#This Row],[Years
InCurrentRole]]&gt;4, "Role Stagnent", "Normal")</f>
        <v>Normal</v>
      </c>
      <c r="W115" t="str">
        <f>IF(AND(Table1[[#This Row],[Years
InCurrentRole]]&gt; 4, Table1[[#This Row],[Performance
Rating]]&gt;=3), "High Risk", "Normal")</f>
        <v>Normal</v>
      </c>
      <c r="X115" t="str">
        <f>IF(Table1[[#This Row],[Performance
Rating]]&gt;=4, "High Performer", "Low Performer")</f>
        <v>Low Performer</v>
      </c>
    </row>
    <row r="116" spans="2:24" x14ac:dyDescent="0.3">
      <c r="B116" t="s">
        <v>27</v>
      </c>
      <c r="C116" t="s">
        <v>20</v>
      </c>
      <c r="D116">
        <v>1</v>
      </c>
      <c r="E116" t="s">
        <v>28</v>
      </c>
      <c r="F116">
        <v>3</v>
      </c>
      <c r="G116" t="s">
        <v>32</v>
      </c>
      <c r="H116">
        <v>3</v>
      </c>
      <c r="I116">
        <v>8161</v>
      </c>
      <c r="J116">
        <v>13</v>
      </c>
      <c r="K116">
        <v>3</v>
      </c>
      <c r="L116">
        <v>3</v>
      </c>
      <c r="M116">
        <v>10</v>
      </c>
      <c r="N116">
        <v>2</v>
      </c>
      <c r="O116">
        <v>3</v>
      </c>
      <c r="P116">
        <v>1</v>
      </c>
      <c r="Q116">
        <v>0</v>
      </c>
      <c r="R116">
        <v>0</v>
      </c>
      <c r="S116" t="s">
        <v>34</v>
      </c>
      <c r="T116" t="s">
        <v>24</v>
      </c>
      <c r="U116" t="str">
        <f>IF(Table1[[#This Row],[YearsSince
LastPromotion]]&gt; 4, "Delayed", "Normal")</f>
        <v>Normal</v>
      </c>
      <c r="V116" t="str">
        <f>IF(Table1[[#This Row],[Years
InCurrentRole]]&gt;4, "Role Stagnent", "Normal")</f>
        <v>Normal</v>
      </c>
      <c r="W116" t="str">
        <f>IF(AND(Table1[[#This Row],[Years
InCurrentRole]]&gt; 4, Table1[[#This Row],[Performance
Rating]]&gt;=3), "High Risk", "Normal")</f>
        <v>Normal</v>
      </c>
      <c r="X116" t="str">
        <f>IF(Table1[[#This Row],[Performance
Rating]]&gt;=4, "High Performer", "Low Performer")</f>
        <v>Low Performer</v>
      </c>
    </row>
    <row r="117" spans="2:24" x14ac:dyDescent="0.3">
      <c r="B117" t="s">
        <v>27</v>
      </c>
      <c r="C117" t="s">
        <v>25</v>
      </c>
      <c r="D117">
        <v>1</v>
      </c>
      <c r="E117" t="s">
        <v>28</v>
      </c>
      <c r="F117">
        <v>3</v>
      </c>
      <c r="G117" t="s">
        <v>31</v>
      </c>
      <c r="H117">
        <v>3</v>
      </c>
      <c r="I117">
        <v>9824</v>
      </c>
      <c r="J117">
        <v>12</v>
      </c>
      <c r="K117">
        <v>3</v>
      </c>
      <c r="L117">
        <v>0</v>
      </c>
      <c r="M117">
        <v>12</v>
      </c>
      <c r="N117">
        <v>2</v>
      </c>
      <c r="O117">
        <v>3</v>
      </c>
      <c r="P117">
        <v>1</v>
      </c>
      <c r="Q117">
        <v>0</v>
      </c>
      <c r="R117">
        <v>0</v>
      </c>
      <c r="S117" t="s">
        <v>34</v>
      </c>
      <c r="T117" t="s">
        <v>24</v>
      </c>
      <c r="U117" t="str">
        <f>IF(Table1[[#This Row],[YearsSince
LastPromotion]]&gt; 4, "Delayed", "Normal")</f>
        <v>Normal</v>
      </c>
      <c r="V117" t="str">
        <f>IF(Table1[[#This Row],[Years
InCurrentRole]]&gt;4, "Role Stagnent", "Normal")</f>
        <v>Normal</v>
      </c>
      <c r="W117" t="str">
        <f>IF(AND(Table1[[#This Row],[Years
InCurrentRole]]&gt; 4, Table1[[#This Row],[Performance
Rating]]&gt;=3), "High Risk", "Normal")</f>
        <v>Normal</v>
      </c>
      <c r="X117" t="str">
        <f>IF(Table1[[#This Row],[Performance
Rating]]&gt;=4, "High Performer", "Low Performer")</f>
        <v>Low Performer</v>
      </c>
    </row>
    <row r="118" spans="2:24" x14ac:dyDescent="0.3">
      <c r="B118" t="s">
        <v>19</v>
      </c>
      <c r="C118" t="s">
        <v>25</v>
      </c>
      <c r="D118">
        <v>1</v>
      </c>
      <c r="E118" t="s">
        <v>21</v>
      </c>
      <c r="F118">
        <v>2</v>
      </c>
      <c r="G118" t="s">
        <v>26</v>
      </c>
      <c r="H118">
        <v>2</v>
      </c>
      <c r="I118">
        <v>6962</v>
      </c>
      <c r="J118">
        <v>22</v>
      </c>
      <c r="K118">
        <v>4</v>
      </c>
      <c r="L118">
        <v>1</v>
      </c>
      <c r="M118">
        <v>15</v>
      </c>
      <c r="N118">
        <v>2</v>
      </c>
      <c r="O118">
        <v>3</v>
      </c>
      <c r="P118">
        <v>1</v>
      </c>
      <c r="Q118">
        <v>0</v>
      </c>
      <c r="R118">
        <v>0</v>
      </c>
      <c r="S118" t="s">
        <v>34</v>
      </c>
      <c r="T118" t="s">
        <v>24</v>
      </c>
      <c r="U118" t="str">
        <f>IF(Table1[[#This Row],[YearsSince
LastPromotion]]&gt; 4, "Delayed", "Normal")</f>
        <v>Normal</v>
      </c>
      <c r="V118" t="str">
        <f>IF(Table1[[#This Row],[Years
InCurrentRole]]&gt;4, "Role Stagnent", "Normal")</f>
        <v>Normal</v>
      </c>
      <c r="W118" t="str">
        <f>IF(AND(Table1[[#This Row],[Years
InCurrentRole]]&gt; 4, Table1[[#This Row],[Performance
Rating]]&gt;=3), "High Risk", "Normal")</f>
        <v>Normal</v>
      </c>
      <c r="X118" t="str">
        <f>IF(Table1[[#This Row],[Performance
Rating]]&gt;=4, "High Performer", "Low Performer")</f>
        <v>High Performer</v>
      </c>
    </row>
    <row r="119" spans="2:24" x14ac:dyDescent="0.3">
      <c r="B119" t="s">
        <v>19</v>
      </c>
      <c r="C119" t="s">
        <v>25</v>
      </c>
      <c r="D119">
        <v>1</v>
      </c>
      <c r="E119" t="s">
        <v>21</v>
      </c>
      <c r="F119">
        <v>4</v>
      </c>
      <c r="G119" t="s">
        <v>35</v>
      </c>
      <c r="H119">
        <v>4</v>
      </c>
      <c r="I119">
        <v>15992</v>
      </c>
      <c r="J119">
        <v>14</v>
      </c>
      <c r="K119">
        <v>3</v>
      </c>
      <c r="L119">
        <v>0</v>
      </c>
      <c r="M119">
        <v>16</v>
      </c>
      <c r="N119">
        <v>2</v>
      </c>
      <c r="O119">
        <v>3</v>
      </c>
      <c r="P119">
        <v>1</v>
      </c>
      <c r="Q119">
        <v>0</v>
      </c>
      <c r="R119">
        <v>0</v>
      </c>
      <c r="S119" t="s">
        <v>34</v>
      </c>
      <c r="T119" t="s">
        <v>24</v>
      </c>
      <c r="U119" t="str">
        <f>IF(Table1[[#This Row],[YearsSince
LastPromotion]]&gt; 4, "Delayed", "Normal")</f>
        <v>Normal</v>
      </c>
      <c r="V119" t="str">
        <f>IF(Table1[[#This Row],[Years
InCurrentRole]]&gt;4, "Role Stagnent", "Normal")</f>
        <v>Normal</v>
      </c>
      <c r="W119" t="str">
        <f>IF(AND(Table1[[#This Row],[Years
InCurrentRole]]&gt; 4, Table1[[#This Row],[Performance
Rating]]&gt;=3), "High Risk", "Normal")</f>
        <v>Normal</v>
      </c>
      <c r="X119" t="str">
        <f>IF(Table1[[#This Row],[Performance
Rating]]&gt;=4, "High Performer", "Low Performer")</f>
        <v>Low Performer</v>
      </c>
    </row>
    <row r="120" spans="2:24" x14ac:dyDescent="0.3">
      <c r="B120" t="s">
        <v>27</v>
      </c>
      <c r="C120" t="s">
        <v>25</v>
      </c>
      <c r="D120">
        <v>1</v>
      </c>
      <c r="E120" t="s">
        <v>28</v>
      </c>
      <c r="F120">
        <v>2</v>
      </c>
      <c r="G120" t="s">
        <v>31</v>
      </c>
      <c r="H120">
        <v>1</v>
      </c>
      <c r="I120">
        <v>6673</v>
      </c>
      <c r="J120">
        <v>19</v>
      </c>
      <c r="K120">
        <v>3</v>
      </c>
      <c r="L120">
        <v>0</v>
      </c>
      <c r="M120">
        <v>17</v>
      </c>
      <c r="N120">
        <v>2</v>
      </c>
      <c r="O120">
        <v>3</v>
      </c>
      <c r="P120">
        <v>1</v>
      </c>
      <c r="Q120">
        <v>0</v>
      </c>
      <c r="R120">
        <v>0</v>
      </c>
      <c r="S120" t="s">
        <v>34</v>
      </c>
      <c r="T120" t="s">
        <v>24</v>
      </c>
      <c r="U120" t="str">
        <f>IF(Table1[[#This Row],[YearsSince
LastPromotion]]&gt; 4, "Delayed", "Normal")</f>
        <v>Normal</v>
      </c>
      <c r="V120" t="str">
        <f>IF(Table1[[#This Row],[Years
InCurrentRole]]&gt;4, "Role Stagnent", "Normal")</f>
        <v>Normal</v>
      </c>
      <c r="W120" t="str">
        <f>IF(AND(Table1[[#This Row],[Years
InCurrentRole]]&gt; 4, Table1[[#This Row],[Performance
Rating]]&gt;=3), "High Risk", "Normal")</f>
        <v>Normal</v>
      </c>
      <c r="X120" t="str">
        <f>IF(Table1[[#This Row],[Performance
Rating]]&gt;=4, "High Performer", "Low Performer")</f>
        <v>Low Performer</v>
      </c>
    </row>
    <row r="121" spans="2:24" x14ac:dyDescent="0.3">
      <c r="B121" t="s">
        <v>19</v>
      </c>
      <c r="C121" t="s">
        <v>25</v>
      </c>
      <c r="D121">
        <v>1</v>
      </c>
      <c r="E121" t="s">
        <v>21</v>
      </c>
      <c r="F121">
        <v>2</v>
      </c>
      <c r="G121" t="s">
        <v>26</v>
      </c>
      <c r="H121">
        <v>2</v>
      </c>
      <c r="I121">
        <v>2372</v>
      </c>
      <c r="J121">
        <v>16</v>
      </c>
      <c r="K121">
        <v>3</v>
      </c>
      <c r="L121">
        <v>0</v>
      </c>
      <c r="M121">
        <v>18</v>
      </c>
      <c r="N121">
        <v>2</v>
      </c>
      <c r="O121">
        <v>3</v>
      </c>
      <c r="P121">
        <v>1</v>
      </c>
      <c r="Q121">
        <v>0</v>
      </c>
      <c r="R121">
        <v>0</v>
      </c>
      <c r="S121" t="s">
        <v>34</v>
      </c>
      <c r="T121" t="s">
        <v>24</v>
      </c>
      <c r="U121" t="str">
        <f>IF(Table1[[#This Row],[YearsSince
LastPromotion]]&gt; 4, "Delayed", "Normal")</f>
        <v>Normal</v>
      </c>
      <c r="V121" t="str">
        <f>IF(Table1[[#This Row],[Years
InCurrentRole]]&gt;4, "Role Stagnent", "Normal")</f>
        <v>Normal</v>
      </c>
      <c r="W121" t="str">
        <f>IF(AND(Table1[[#This Row],[Years
InCurrentRole]]&gt; 4, Table1[[#This Row],[Performance
Rating]]&gt;=3), "High Risk", "Normal")</f>
        <v>Normal</v>
      </c>
      <c r="X121" t="str">
        <f>IF(Table1[[#This Row],[Performance
Rating]]&gt;=4, "High Performer", "Low Performer")</f>
        <v>Low Performer</v>
      </c>
    </row>
    <row r="122" spans="2:24" x14ac:dyDescent="0.3">
      <c r="B122" t="s">
        <v>19</v>
      </c>
      <c r="C122" t="s">
        <v>20</v>
      </c>
      <c r="D122">
        <v>1</v>
      </c>
      <c r="E122" t="s">
        <v>28</v>
      </c>
      <c r="F122">
        <v>3</v>
      </c>
      <c r="G122" t="s">
        <v>32</v>
      </c>
      <c r="H122">
        <v>1</v>
      </c>
      <c r="I122">
        <v>10932</v>
      </c>
      <c r="J122">
        <v>15</v>
      </c>
      <c r="K122">
        <v>3</v>
      </c>
      <c r="L122">
        <v>1</v>
      </c>
      <c r="M122">
        <v>20</v>
      </c>
      <c r="N122">
        <v>2</v>
      </c>
      <c r="O122">
        <v>3</v>
      </c>
      <c r="P122">
        <v>1</v>
      </c>
      <c r="Q122">
        <v>0</v>
      </c>
      <c r="R122">
        <v>0</v>
      </c>
      <c r="S122" t="s">
        <v>34</v>
      </c>
      <c r="T122" t="s">
        <v>24</v>
      </c>
      <c r="U122" t="str">
        <f>IF(Table1[[#This Row],[YearsSince
LastPromotion]]&gt; 4, "Delayed", "Normal")</f>
        <v>Normal</v>
      </c>
      <c r="V122" t="str">
        <f>IF(Table1[[#This Row],[Years
InCurrentRole]]&gt;4, "Role Stagnent", "Normal")</f>
        <v>Normal</v>
      </c>
      <c r="W122" t="str">
        <f>IF(AND(Table1[[#This Row],[Years
InCurrentRole]]&gt; 4, Table1[[#This Row],[Performance
Rating]]&gt;=3), "High Risk", "Normal")</f>
        <v>Normal</v>
      </c>
      <c r="X122" t="str">
        <f>IF(Table1[[#This Row],[Performance
Rating]]&gt;=4, "High Performer", "Low Performer")</f>
        <v>Low Performer</v>
      </c>
    </row>
    <row r="123" spans="2:24" x14ac:dyDescent="0.3">
      <c r="B123" t="s">
        <v>27</v>
      </c>
      <c r="C123" t="s">
        <v>25</v>
      </c>
      <c r="D123">
        <v>1</v>
      </c>
      <c r="E123" t="s">
        <v>28</v>
      </c>
      <c r="F123">
        <v>3</v>
      </c>
      <c r="G123" t="s">
        <v>29</v>
      </c>
      <c r="H123">
        <v>3</v>
      </c>
      <c r="I123">
        <v>5381</v>
      </c>
      <c r="J123">
        <v>13</v>
      </c>
      <c r="K123">
        <v>3</v>
      </c>
      <c r="L123">
        <v>0</v>
      </c>
      <c r="M123">
        <v>23</v>
      </c>
      <c r="N123">
        <v>2</v>
      </c>
      <c r="O123">
        <v>3</v>
      </c>
      <c r="P123">
        <v>1</v>
      </c>
      <c r="Q123">
        <v>0</v>
      </c>
      <c r="R123">
        <v>0</v>
      </c>
      <c r="S123" t="s">
        <v>34</v>
      </c>
      <c r="T123" t="s">
        <v>24</v>
      </c>
      <c r="U123" t="str">
        <f>IF(Table1[[#This Row],[YearsSince
LastPromotion]]&gt; 4, "Delayed", "Normal")</f>
        <v>Normal</v>
      </c>
      <c r="V123" t="str">
        <f>IF(Table1[[#This Row],[Years
InCurrentRole]]&gt;4, "Role Stagnent", "Normal")</f>
        <v>Normal</v>
      </c>
      <c r="W123" t="str">
        <f>IF(AND(Table1[[#This Row],[Years
InCurrentRole]]&gt; 4, Table1[[#This Row],[Performance
Rating]]&gt;=3), "High Risk", "Normal")</f>
        <v>Normal</v>
      </c>
      <c r="X123" t="str">
        <f>IF(Table1[[#This Row],[Performance
Rating]]&gt;=4, "High Performer", "Low Performer")</f>
        <v>Low Performer</v>
      </c>
    </row>
    <row r="124" spans="2:24" x14ac:dyDescent="0.3">
      <c r="B124" t="s">
        <v>19</v>
      </c>
      <c r="C124" t="s">
        <v>25</v>
      </c>
      <c r="D124">
        <v>1</v>
      </c>
      <c r="E124" t="s">
        <v>28</v>
      </c>
      <c r="F124">
        <v>5</v>
      </c>
      <c r="G124" t="s">
        <v>22</v>
      </c>
      <c r="H124">
        <v>4</v>
      </c>
      <c r="I124">
        <v>19613</v>
      </c>
      <c r="J124">
        <v>22</v>
      </c>
      <c r="K124">
        <v>4</v>
      </c>
      <c r="L124">
        <v>0</v>
      </c>
      <c r="M124">
        <v>24</v>
      </c>
      <c r="N124">
        <v>2</v>
      </c>
      <c r="O124">
        <v>3</v>
      </c>
      <c r="P124">
        <v>1</v>
      </c>
      <c r="Q124">
        <v>0</v>
      </c>
      <c r="R124">
        <v>0</v>
      </c>
      <c r="S124" t="s">
        <v>34</v>
      </c>
      <c r="T124" t="s">
        <v>24</v>
      </c>
      <c r="U124" t="str">
        <f>IF(Table1[[#This Row],[YearsSince
LastPromotion]]&gt; 4, "Delayed", "Normal")</f>
        <v>Normal</v>
      </c>
      <c r="V124" t="str">
        <f>IF(Table1[[#This Row],[Years
InCurrentRole]]&gt;4, "Role Stagnent", "Normal")</f>
        <v>Normal</v>
      </c>
      <c r="W124" t="str">
        <f>IF(AND(Table1[[#This Row],[Years
InCurrentRole]]&gt; 4, Table1[[#This Row],[Performance
Rating]]&gt;=3), "High Risk", "Normal")</f>
        <v>Normal</v>
      </c>
      <c r="X124" t="str">
        <f>IF(Table1[[#This Row],[Performance
Rating]]&gt;=4, "High Performer", "Low Performer")</f>
        <v>High Performer</v>
      </c>
    </row>
    <row r="125" spans="2:24" x14ac:dyDescent="0.3">
      <c r="B125" t="s">
        <v>19</v>
      </c>
      <c r="C125" t="s">
        <v>25</v>
      </c>
      <c r="D125">
        <v>1</v>
      </c>
      <c r="E125" t="s">
        <v>28</v>
      </c>
      <c r="F125">
        <v>3</v>
      </c>
      <c r="G125" t="s">
        <v>26</v>
      </c>
      <c r="H125">
        <v>1</v>
      </c>
      <c r="I125">
        <v>9724</v>
      </c>
      <c r="J125">
        <v>17</v>
      </c>
      <c r="K125">
        <v>3</v>
      </c>
      <c r="L125">
        <v>1</v>
      </c>
      <c r="M125">
        <v>25</v>
      </c>
      <c r="N125">
        <v>2</v>
      </c>
      <c r="O125">
        <v>3</v>
      </c>
      <c r="P125">
        <v>1</v>
      </c>
      <c r="Q125">
        <v>0</v>
      </c>
      <c r="R125">
        <v>0</v>
      </c>
      <c r="S125" t="s">
        <v>34</v>
      </c>
      <c r="T125" t="s">
        <v>24</v>
      </c>
      <c r="U125" t="str">
        <f>IF(Table1[[#This Row],[YearsSince
LastPromotion]]&gt; 4, "Delayed", "Normal")</f>
        <v>Normal</v>
      </c>
      <c r="V125" t="str">
        <f>IF(Table1[[#This Row],[Years
InCurrentRole]]&gt;4, "Role Stagnent", "Normal")</f>
        <v>Normal</v>
      </c>
      <c r="W125" t="str">
        <f>IF(AND(Table1[[#This Row],[Years
InCurrentRole]]&gt; 4, Table1[[#This Row],[Performance
Rating]]&gt;=3), "High Risk", "Normal")</f>
        <v>Normal</v>
      </c>
      <c r="X125" t="str">
        <f>IF(Table1[[#This Row],[Performance
Rating]]&gt;=4, "High Performer", "Low Performer")</f>
        <v>Low Performer</v>
      </c>
    </row>
    <row r="126" spans="2:24" x14ac:dyDescent="0.3">
      <c r="B126" t="s">
        <v>19</v>
      </c>
      <c r="C126" t="s">
        <v>20</v>
      </c>
      <c r="D126">
        <v>1</v>
      </c>
      <c r="E126" t="s">
        <v>28</v>
      </c>
      <c r="F126">
        <v>5</v>
      </c>
      <c r="G126" t="s">
        <v>22</v>
      </c>
      <c r="H126">
        <v>3</v>
      </c>
      <c r="I126">
        <v>19331</v>
      </c>
      <c r="J126">
        <v>16</v>
      </c>
      <c r="K126">
        <v>3</v>
      </c>
      <c r="L126">
        <v>1</v>
      </c>
      <c r="M126">
        <v>27</v>
      </c>
      <c r="N126">
        <v>2</v>
      </c>
      <c r="O126">
        <v>3</v>
      </c>
      <c r="P126">
        <v>1</v>
      </c>
      <c r="Q126">
        <v>0</v>
      </c>
      <c r="R126">
        <v>0</v>
      </c>
      <c r="S126" t="s">
        <v>34</v>
      </c>
      <c r="T126" t="s">
        <v>24</v>
      </c>
      <c r="U126" t="str">
        <f>IF(Table1[[#This Row],[YearsSince
LastPromotion]]&gt; 4, "Delayed", "Normal")</f>
        <v>Normal</v>
      </c>
      <c r="V126" t="str">
        <f>IF(Table1[[#This Row],[Years
InCurrentRole]]&gt;4, "Role Stagnent", "Normal")</f>
        <v>Normal</v>
      </c>
      <c r="W126" t="str">
        <f>IF(AND(Table1[[#This Row],[Years
InCurrentRole]]&gt; 4, Table1[[#This Row],[Performance
Rating]]&gt;=3), "High Risk", "Normal")</f>
        <v>Normal</v>
      </c>
      <c r="X126" t="str">
        <f>IF(Table1[[#This Row],[Performance
Rating]]&gt;=4, "High Performer", "Low Performer")</f>
        <v>Low Performer</v>
      </c>
    </row>
    <row r="127" spans="2:24" x14ac:dyDescent="0.3">
      <c r="B127" t="s">
        <v>19</v>
      </c>
      <c r="C127" t="s">
        <v>25</v>
      </c>
      <c r="D127">
        <v>1</v>
      </c>
      <c r="E127" t="s">
        <v>28</v>
      </c>
      <c r="F127">
        <v>5</v>
      </c>
      <c r="G127" t="s">
        <v>35</v>
      </c>
      <c r="H127">
        <v>1</v>
      </c>
      <c r="I127">
        <v>19038</v>
      </c>
      <c r="J127">
        <v>12</v>
      </c>
      <c r="K127">
        <v>3</v>
      </c>
      <c r="L127">
        <v>3</v>
      </c>
      <c r="M127">
        <v>34</v>
      </c>
      <c r="N127">
        <v>2</v>
      </c>
      <c r="O127">
        <v>3</v>
      </c>
      <c r="P127">
        <v>1</v>
      </c>
      <c r="Q127">
        <v>0</v>
      </c>
      <c r="R127">
        <v>0</v>
      </c>
      <c r="S127" t="s">
        <v>34</v>
      </c>
      <c r="T127" t="s">
        <v>24</v>
      </c>
      <c r="U127" t="str">
        <f>IF(Table1[[#This Row],[YearsSince
LastPromotion]]&gt; 4, "Delayed", "Normal")</f>
        <v>Normal</v>
      </c>
      <c r="V127" t="str">
        <f>IF(Table1[[#This Row],[Years
InCurrentRole]]&gt;4, "Role Stagnent", "Normal")</f>
        <v>Normal</v>
      </c>
      <c r="W127" t="str">
        <f>IF(AND(Table1[[#This Row],[Years
InCurrentRole]]&gt; 4, Table1[[#This Row],[Performance
Rating]]&gt;=3), "High Risk", "Normal")</f>
        <v>Normal</v>
      </c>
      <c r="X127" t="str">
        <f>IF(Table1[[#This Row],[Performance
Rating]]&gt;=4, "High Performer", "Low Performer")</f>
        <v>Low Performer</v>
      </c>
    </row>
    <row r="128" spans="2:24" x14ac:dyDescent="0.3">
      <c r="B128" t="s">
        <v>19</v>
      </c>
      <c r="C128" t="s">
        <v>36</v>
      </c>
      <c r="D128">
        <v>1</v>
      </c>
      <c r="E128" t="s">
        <v>28</v>
      </c>
      <c r="F128">
        <v>1</v>
      </c>
      <c r="G128" t="s">
        <v>36</v>
      </c>
      <c r="H128">
        <v>2</v>
      </c>
      <c r="I128">
        <v>2804</v>
      </c>
      <c r="J128">
        <v>11</v>
      </c>
      <c r="K128">
        <v>3</v>
      </c>
      <c r="L128">
        <v>0</v>
      </c>
      <c r="M128">
        <v>1</v>
      </c>
      <c r="N128">
        <v>3</v>
      </c>
      <c r="O128">
        <v>3</v>
      </c>
      <c r="P128">
        <v>1</v>
      </c>
      <c r="Q128">
        <v>0</v>
      </c>
      <c r="R128">
        <v>0</v>
      </c>
      <c r="S128" t="s">
        <v>34</v>
      </c>
      <c r="T128" t="s">
        <v>24</v>
      </c>
      <c r="U128" t="str">
        <f>IF(Table1[[#This Row],[YearsSince
LastPromotion]]&gt; 4, "Delayed", "Normal")</f>
        <v>Normal</v>
      </c>
      <c r="V128" t="str">
        <f>IF(Table1[[#This Row],[Years
InCurrentRole]]&gt;4, "Role Stagnent", "Normal")</f>
        <v>Normal</v>
      </c>
      <c r="W128" t="str">
        <f>IF(AND(Table1[[#This Row],[Years
InCurrentRole]]&gt; 4, Table1[[#This Row],[Performance
Rating]]&gt;=3), "High Risk", "Normal")</f>
        <v>Normal</v>
      </c>
      <c r="X128" t="str">
        <f>IF(Table1[[#This Row],[Performance
Rating]]&gt;=4, "High Performer", "Low Performer")</f>
        <v>Low Performer</v>
      </c>
    </row>
    <row r="129" spans="2:24" x14ac:dyDescent="0.3">
      <c r="B129" t="s">
        <v>27</v>
      </c>
      <c r="C129" t="s">
        <v>20</v>
      </c>
      <c r="D129">
        <v>1</v>
      </c>
      <c r="E129" t="s">
        <v>21</v>
      </c>
      <c r="F129">
        <v>1</v>
      </c>
      <c r="G129" t="s">
        <v>30</v>
      </c>
      <c r="H129">
        <v>3</v>
      </c>
      <c r="I129">
        <v>1359</v>
      </c>
      <c r="J129">
        <v>12</v>
      </c>
      <c r="K129">
        <v>3</v>
      </c>
      <c r="L129">
        <v>0</v>
      </c>
      <c r="M129">
        <v>1</v>
      </c>
      <c r="N129">
        <v>3</v>
      </c>
      <c r="O129">
        <v>3</v>
      </c>
      <c r="P129">
        <v>1</v>
      </c>
      <c r="Q129">
        <v>0</v>
      </c>
      <c r="R129">
        <v>0</v>
      </c>
      <c r="S129" t="s">
        <v>34</v>
      </c>
      <c r="T129" t="s">
        <v>24</v>
      </c>
      <c r="U129" t="str">
        <f>IF(Table1[[#This Row],[YearsSince
LastPromotion]]&gt; 4, "Delayed", "Normal")</f>
        <v>Normal</v>
      </c>
      <c r="V129" t="str">
        <f>IF(Table1[[#This Row],[Years
InCurrentRole]]&gt;4, "Role Stagnent", "Normal")</f>
        <v>Normal</v>
      </c>
      <c r="W129" t="str">
        <f>IF(AND(Table1[[#This Row],[Years
InCurrentRole]]&gt; 4, Table1[[#This Row],[Performance
Rating]]&gt;=3), "High Risk", "Normal")</f>
        <v>Normal</v>
      </c>
      <c r="X129" t="str">
        <f>IF(Table1[[#This Row],[Performance
Rating]]&gt;=4, "High Performer", "Low Performer")</f>
        <v>Low Performer</v>
      </c>
    </row>
    <row r="130" spans="2:24" x14ac:dyDescent="0.3">
      <c r="B130" t="s">
        <v>19</v>
      </c>
      <c r="C130" t="s">
        <v>25</v>
      </c>
      <c r="D130">
        <v>1</v>
      </c>
      <c r="E130" t="s">
        <v>21</v>
      </c>
      <c r="F130">
        <v>1</v>
      </c>
      <c r="G130" t="s">
        <v>29</v>
      </c>
      <c r="H130">
        <v>2</v>
      </c>
      <c r="I130">
        <v>1483</v>
      </c>
      <c r="J130">
        <v>14</v>
      </c>
      <c r="K130">
        <v>3</v>
      </c>
      <c r="L130">
        <v>0</v>
      </c>
      <c r="M130">
        <v>1</v>
      </c>
      <c r="N130">
        <v>3</v>
      </c>
      <c r="O130">
        <v>3</v>
      </c>
      <c r="P130">
        <v>1</v>
      </c>
      <c r="Q130">
        <v>0</v>
      </c>
      <c r="R130">
        <v>0</v>
      </c>
      <c r="S130" t="s">
        <v>34</v>
      </c>
      <c r="T130" t="s">
        <v>24</v>
      </c>
      <c r="U130" t="str">
        <f>IF(Table1[[#This Row],[YearsSince
LastPromotion]]&gt; 4, "Delayed", "Normal")</f>
        <v>Normal</v>
      </c>
      <c r="V130" t="str">
        <f>IF(Table1[[#This Row],[Years
InCurrentRole]]&gt;4, "Role Stagnent", "Normal")</f>
        <v>Normal</v>
      </c>
      <c r="W130" t="str">
        <f>IF(AND(Table1[[#This Row],[Years
InCurrentRole]]&gt; 4, Table1[[#This Row],[Performance
Rating]]&gt;=3), "High Risk", "Normal")</f>
        <v>Normal</v>
      </c>
      <c r="X130" t="str">
        <f>IF(Table1[[#This Row],[Performance
Rating]]&gt;=4, "High Performer", "Low Performer")</f>
        <v>Low Performer</v>
      </c>
    </row>
    <row r="131" spans="2:24" x14ac:dyDescent="0.3">
      <c r="B131" t="s">
        <v>19</v>
      </c>
      <c r="C131" t="s">
        <v>25</v>
      </c>
      <c r="D131">
        <v>1</v>
      </c>
      <c r="E131" t="s">
        <v>21</v>
      </c>
      <c r="F131">
        <v>1</v>
      </c>
      <c r="G131" t="s">
        <v>26</v>
      </c>
      <c r="H131">
        <v>3</v>
      </c>
      <c r="I131">
        <v>2274</v>
      </c>
      <c r="J131">
        <v>14</v>
      </c>
      <c r="K131">
        <v>3</v>
      </c>
      <c r="L131">
        <v>0</v>
      </c>
      <c r="M131">
        <v>1</v>
      </c>
      <c r="N131">
        <v>3</v>
      </c>
      <c r="O131">
        <v>3</v>
      </c>
      <c r="P131">
        <v>1</v>
      </c>
      <c r="Q131">
        <v>0</v>
      </c>
      <c r="R131">
        <v>0</v>
      </c>
      <c r="S131" t="s">
        <v>34</v>
      </c>
      <c r="T131" t="s">
        <v>24</v>
      </c>
      <c r="U131" t="str">
        <f>IF(Table1[[#This Row],[YearsSince
LastPromotion]]&gt; 4, "Delayed", "Normal")</f>
        <v>Normal</v>
      </c>
      <c r="V131" t="str">
        <f>IF(Table1[[#This Row],[Years
InCurrentRole]]&gt;4, "Role Stagnent", "Normal")</f>
        <v>Normal</v>
      </c>
      <c r="W131" t="str">
        <f>IF(AND(Table1[[#This Row],[Years
InCurrentRole]]&gt; 4, Table1[[#This Row],[Performance
Rating]]&gt;=3), "High Risk", "Normal")</f>
        <v>Normal</v>
      </c>
      <c r="X131" t="str">
        <f>IF(Table1[[#This Row],[Performance
Rating]]&gt;=4, "High Performer", "Low Performer")</f>
        <v>Low Performer</v>
      </c>
    </row>
    <row r="132" spans="2:24" x14ac:dyDescent="0.3">
      <c r="B132" t="s">
        <v>27</v>
      </c>
      <c r="C132" t="s">
        <v>20</v>
      </c>
      <c r="D132">
        <v>1</v>
      </c>
      <c r="E132" t="s">
        <v>28</v>
      </c>
      <c r="F132">
        <v>1</v>
      </c>
      <c r="G132" t="s">
        <v>30</v>
      </c>
      <c r="H132">
        <v>1</v>
      </c>
      <c r="I132">
        <v>1091</v>
      </c>
      <c r="J132">
        <v>17</v>
      </c>
      <c r="K132">
        <v>3</v>
      </c>
      <c r="L132">
        <v>0</v>
      </c>
      <c r="M132">
        <v>1</v>
      </c>
      <c r="N132">
        <v>3</v>
      </c>
      <c r="O132">
        <v>3</v>
      </c>
      <c r="P132">
        <v>1</v>
      </c>
      <c r="Q132">
        <v>0</v>
      </c>
      <c r="R132">
        <v>0</v>
      </c>
      <c r="S132" t="s">
        <v>34</v>
      </c>
      <c r="T132" t="s">
        <v>24</v>
      </c>
      <c r="U132" t="str">
        <f>IF(Table1[[#This Row],[YearsSince
LastPromotion]]&gt; 4, "Delayed", "Normal")</f>
        <v>Normal</v>
      </c>
      <c r="V132" t="str">
        <f>IF(Table1[[#This Row],[Years
InCurrentRole]]&gt;4, "Role Stagnent", "Normal")</f>
        <v>Normal</v>
      </c>
      <c r="W132" t="str">
        <f>IF(AND(Table1[[#This Row],[Years
InCurrentRole]]&gt; 4, Table1[[#This Row],[Performance
Rating]]&gt;=3), "High Risk", "Normal")</f>
        <v>Normal</v>
      </c>
      <c r="X132" t="str">
        <f>IF(Table1[[#This Row],[Performance
Rating]]&gt;=4, "High Performer", "Low Performer")</f>
        <v>Low Performer</v>
      </c>
    </row>
    <row r="133" spans="2:24" x14ac:dyDescent="0.3">
      <c r="B133" t="s">
        <v>19</v>
      </c>
      <c r="C133" t="s">
        <v>25</v>
      </c>
      <c r="D133">
        <v>1</v>
      </c>
      <c r="E133" t="s">
        <v>28</v>
      </c>
      <c r="F133">
        <v>1</v>
      </c>
      <c r="G133" t="s">
        <v>29</v>
      </c>
      <c r="H133">
        <v>4</v>
      </c>
      <c r="I133">
        <v>1951</v>
      </c>
      <c r="J133">
        <v>12</v>
      </c>
      <c r="K133">
        <v>3</v>
      </c>
      <c r="L133">
        <v>1</v>
      </c>
      <c r="M133">
        <v>1</v>
      </c>
      <c r="N133">
        <v>3</v>
      </c>
      <c r="O133">
        <v>3</v>
      </c>
      <c r="P133">
        <v>1</v>
      </c>
      <c r="Q133">
        <v>0</v>
      </c>
      <c r="R133">
        <v>0</v>
      </c>
      <c r="S133" t="s">
        <v>34</v>
      </c>
      <c r="T133" t="s">
        <v>24</v>
      </c>
      <c r="U133" t="str">
        <f>IF(Table1[[#This Row],[YearsSince
LastPromotion]]&gt; 4, "Delayed", "Normal")</f>
        <v>Normal</v>
      </c>
      <c r="V133" t="str">
        <f>IF(Table1[[#This Row],[Years
InCurrentRole]]&gt;4, "Role Stagnent", "Normal")</f>
        <v>Normal</v>
      </c>
      <c r="W133" t="str">
        <f>IF(AND(Table1[[#This Row],[Years
InCurrentRole]]&gt; 4, Table1[[#This Row],[Performance
Rating]]&gt;=3), "High Risk", "Normal")</f>
        <v>Normal</v>
      </c>
      <c r="X133" t="str">
        <f>IF(Table1[[#This Row],[Performance
Rating]]&gt;=4, "High Performer", "Low Performer")</f>
        <v>Low Performer</v>
      </c>
    </row>
    <row r="134" spans="2:24" x14ac:dyDescent="0.3">
      <c r="B134" t="s">
        <v>19</v>
      </c>
      <c r="C134" t="s">
        <v>20</v>
      </c>
      <c r="D134">
        <v>1</v>
      </c>
      <c r="E134" t="s">
        <v>28</v>
      </c>
      <c r="F134">
        <v>1</v>
      </c>
      <c r="G134" t="s">
        <v>30</v>
      </c>
      <c r="H134">
        <v>3</v>
      </c>
      <c r="I134">
        <v>2404</v>
      </c>
      <c r="J134">
        <v>13</v>
      </c>
      <c r="K134">
        <v>3</v>
      </c>
      <c r="L134">
        <v>1</v>
      </c>
      <c r="M134">
        <v>1</v>
      </c>
      <c r="N134">
        <v>3</v>
      </c>
      <c r="O134">
        <v>3</v>
      </c>
      <c r="P134">
        <v>1</v>
      </c>
      <c r="Q134">
        <v>0</v>
      </c>
      <c r="R134">
        <v>0</v>
      </c>
      <c r="S134" t="s">
        <v>34</v>
      </c>
      <c r="T134" t="s">
        <v>24</v>
      </c>
      <c r="U134" t="str">
        <f>IF(Table1[[#This Row],[YearsSince
LastPromotion]]&gt; 4, "Delayed", "Normal")</f>
        <v>Normal</v>
      </c>
      <c r="V134" t="str">
        <f>IF(Table1[[#This Row],[Years
InCurrentRole]]&gt;4, "Role Stagnent", "Normal")</f>
        <v>Normal</v>
      </c>
      <c r="W134" t="str">
        <f>IF(AND(Table1[[#This Row],[Years
InCurrentRole]]&gt; 4, Table1[[#This Row],[Performance
Rating]]&gt;=3), "High Risk", "Normal")</f>
        <v>Normal</v>
      </c>
      <c r="X134" t="str">
        <f>IF(Table1[[#This Row],[Performance
Rating]]&gt;=4, "High Performer", "Low Performer")</f>
        <v>Low Performer</v>
      </c>
    </row>
    <row r="135" spans="2:24" x14ac:dyDescent="0.3">
      <c r="B135" t="s">
        <v>19</v>
      </c>
      <c r="C135" t="s">
        <v>20</v>
      </c>
      <c r="D135">
        <v>1</v>
      </c>
      <c r="E135" t="s">
        <v>28</v>
      </c>
      <c r="F135">
        <v>1</v>
      </c>
      <c r="G135" t="s">
        <v>30</v>
      </c>
      <c r="H135">
        <v>2</v>
      </c>
      <c r="I135">
        <v>2476</v>
      </c>
      <c r="J135">
        <v>18</v>
      </c>
      <c r="K135">
        <v>3</v>
      </c>
      <c r="L135">
        <v>1</v>
      </c>
      <c r="M135">
        <v>1</v>
      </c>
      <c r="N135">
        <v>3</v>
      </c>
      <c r="O135">
        <v>3</v>
      </c>
      <c r="P135">
        <v>1</v>
      </c>
      <c r="Q135">
        <v>0</v>
      </c>
      <c r="R135">
        <v>0</v>
      </c>
      <c r="S135" t="s">
        <v>34</v>
      </c>
      <c r="T135" t="s">
        <v>24</v>
      </c>
      <c r="U135" t="str">
        <f>IF(Table1[[#This Row],[YearsSince
LastPromotion]]&gt; 4, "Delayed", "Normal")</f>
        <v>Normal</v>
      </c>
      <c r="V135" t="str">
        <f>IF(Table1[[#This Row],[Years
InCurrentRole]]&gt;4, "Role Stagnent", "Normal")</f>
        <v>Normal</v>
      </c>
      <c r="W135" t="str">
        <f>IF(AND(Table1[[#This Row],[Years
InCurrentRole]]&gt; 4, Table1[[#This Row],[Performance
Rating]]&gt;=3), "High Risk", "Normal")</f>
        <v>Normal</v>
      </c>
      <c r="X135" t="str">
        <f>IF(Table1[[#This Row],[Performance
Rating]]&gt;=4, "High Performer", "Low Performer")</f>
        <v>Low Performer</v>
      </c>
    </row>
    <row r="136" spans="2:24" x14ac:dyDescent="0.3">
      <c r="B136" t="s">
        <v>19</v>
      </c>
      <c r="C136" t="s">
        <v>20</v>
      </c>
      <c r="D136">
        <v>1</v>
      </c>
      <c r="E136" t="s">
        <v>21</v>
      </c>
      <c r="F136">
        <v>1</v>
      </c>
      <c r="G136" t="s">
        <v>30</v>
      </c>
      <c r="H136">
        <v>2</v>
      </c>
      <c r="I136">
        <v>2856</v>
      </c>
      <c r="J136">
        <v>19</v>
      </c>
      <c r="K136">
        <v>3</v>
      </c>
      <c r="L136">
        <v>1</v>
      </c>
      <c r="M136">
        <v>1</v>
      </c>
      <c r="N136">
        <v>3</v>
      </c>
      <c r="O136">
        <v>3</v>
      </c>
      <c r="P136">
        <v>1</v>
      </c>
      <c r="Q136">
        <v>0</v>
      </c>
      <c r="R136">
        <v>0</v>
      </c>
      <c r="S136" t="s">
        <v>34</v>
      </c>
      <c r="T136" t="s">
        <v>24</v>
      </c>
      <c r="U136" t="str">
        <f>IF(Table1[[#This Row],[YearsSince
LastPromotion]]&gt; 4, "Delayed", "Normal")</f>
        <v>Normal</v>
      </c>
      <c r="V136" t="str">
        <f>IF(Table1[[#This Row],[Years
InCurrentRole]]&gt;4, "Role Stagnent", "Normal")</f>
        <v>Normal</v>
      </c>
      <c r="W136" t="str">
        <f>IF(AND(Table1[[#This Row],[Years
InCurrentRole]]&gt; 4, Table1[[#This Row],[Performance
Rating]]&gt;=3), "High Risk", "Normal")</f>
        <v>Normal</v>
      </c>
      <c r="X136" t="str">
        <f>IF(Table1[[#This Row],[Performance
Rating]]&gt;=4, "High Performer", "Low Performer")</f>
        <v>Low Performer</v>
      </c>
    </row>
    <row r="137" spans="2:24" x14ac:dyDescent="0.3">
      <c r="B137" t="s">
        <v>19</v>
      </c>
      <c r="C137" t="s">
        <v>25</v>
      </c>
      <c r="D137">
        <v>1</v>
      </c>
      <c r="E137" t="s">
        <v>28</v>
      </c>
      <c r="F137">
        <v>1</v>
      </c>
      <c r="G137" t="s">
        <v>29</v>
      </c>
      <c r="H137">
        <v>4</v>
      </c>
      <c r="I137">
        <v>1702</v>
      </c>
      <c r="J137">
        <v>23</v>
      </c>
      <c r="K137">
        <v>4</v>
      </c>
      <c r="L137">
        <v>1</v>
      </c>
      <c r="M137">
        <v>1</v>
      </c>
      <c r="N137">
        <v>3</v>
      </c>
      <c r="O137">
        <v>3</v>
      </c>
      <c r="P137">
        <v>1</v>
      </c>
      <c r="Q137">
        <v>0</v>
      </c>
      <c r="R137">
        <v>0</v>
      </c>
      <c r="S137" t="s">
        <v>34</v>
      </c>
      <c r="T137" t="s">
        <v>24</v>
      </c>
      <c r="U137" t="str">
        <f>IF(Table1[[#This Row],[YearsSince
LastPromotion]]&gt; 4, "Delayed", "Normal")</f>
        <v>Normal</v>
      </c>
      <c r="V137" t="str">
        <f>IF(Table1[[#This Row],[Years
InCurrentRole]]&gt;4, "Role Stagnent", "Normal")</f>
        <v>Normal</v>
      </c>
      <c r="W137" t="str">
        <f>IF(AND(Table1[[#This Row],[Years
InCurrentRole]]&gt; 4, Table1[[#This Row],[Performance
Rating]]&gt;=3), "High Risk", "Normal")</f>
        <v>Normal</v>
      </c>
      <c r="X137" t="str">
        <f>IF(Table1[[#This Row],[Performance
Rating]]&gt;=4, "High Performer", "Low Performer")</f>
        <v>High Performer</v>
      </c>
    </row>
    <row r="138" spans="2:24" x14ac:dyDescent="0.3">
      <c r="B138" t="s">
        <v>19</v>
      </c>
      <c r="C138" t="s">
        <v>25</v>
      </c>
      <c r="D138">
        <v>1</v>
      </c>
      <c r="E138" t="s">
        <v>28</v>
      </c>
      <c r="F138">
        <v>1</v>
      </c>
      <c r="G138" t="s">
        <v>29</v>
      </c>
      <c r="H138">
        <v>3</v>
      </c>
      <c r="I138">
        <v>1281</v>
      </c>
      <c r="J138">
        <v>18</v>
      </c>
      <c r="K138">
        <v>3</v>
      </c>
      <c r="L138">
        <v>2</v>
      </c>
      <c r="M138">
        <v>1</v>
      </c>
      <c r="N138">
        <v>3</v>
      </c>
      <c r="O138">
        <v>3</v>
      </c>
      <c r="P138">
        <v>1</v>
      </c>
      <c r="Q138">
        <v>0</v>
      </c>
      <c r="R138">
        <v>0</v>
      </c>
      <c r="S138" t="s">
        <v>34</v>
      </c>
      <c r="T138" t="s">
        <v>24</v>
      </c>
      <c r="U138" t="str">
        <f>IF(Table1[[#This Row],[YearsSince
LastPromotion]]&gt; 4, "Delayed", "Normal")</f>
        <v>Normal</v>
      </c>
      <c r="V138" t="str">
        <f>IF(Table1[[#This Row],[Years
InCurrentRole]]&gt;4, "Role Stagnent", "Normal")</f>
        <v>Normal</v>
      </c>
      <c r="W138" t="str">
        <f>IF(AND(Table1[[#This Row],[Years
InCurrentRole]]&gt; 4, Table1[[#This Row],[Performance
Rating]]&gt;=3), "High Risk", "Normal")</f>
        <v>Normal</v>
      </c>
      <c r="X138" t="str">
        <f>IF(Table1[[#This Row],[Performance
Rating]]&gt;=4, "High Performer", "Low Performer")</f>
        <v>Low Performer</v>
      </c>
    </row>
    <row r="139" spans="2:24" x14ac:dyDescent="0.3">
      <c r="B139" t="s">
        <v>19</v>
      </c>
      <c r="C139" t="s">
        <v>20</v>
      </c>
      <c r="D139">
        <v>1</v>
      </c>
      <c r="E139" t="s">
        <v>21</v>
      </c>
      <c r="F139">
        <v>1</v>
      </c>
      <c r="G139" t="s">
        <v>30</v>
      </c>
      <c r="H139">
        <v>1</v>
      </c>
      <c r="I139">
        <v>2827</v>
      </c>
      <c r="J139">
        <v>12</v>
      </c>
      <c r="K139">
        <v>3</v>
      </c>
      <c r="L139">
        <v>3</v>
      </c>
      <c r="M139">
        <v>1</v>
      </c>
      <c r="N139">
        <v>3</v>
      </c>
      <c r="O139">
        <v>3</v>
      </c>
      <c r="P139">
        <v>1</v>
      </c>
      <c r="Q139">
        <v>0</v>
      </c>
      <c r="R139">
        <v>0</v>
      </c>
      <c r="S139" t="s">
        <v>34</v>
      </c>
      <c r="T139" t="s">
        <v>24</v>
      </c>
      <c r="U139" t="str">
        <f>IF(Table1[[#This Row],[YearsSince
LastPromotion]]&gt; 4, "Delayed", "Normal")</f>
        <v>Normal</v>
      </c>
      <c r="V139" t="str">
        <f>IF(Table1[[#This Row],[Years
InCurrentRole]]&gt;4, "Role Stagnent", "Normal")</f>
        <v>Normal</v>
      </c>
      <c r="W139" t="str">
        <f>IF(AND(Table1[[#This Row],[Years
InCurrentRole]]&gt; 4, Table1[[#This Row],[Performance
Rating]]&gt;=3), "High Risk", "Normal")</f>
        <v>Normal</v>
      </c>
      <c r="X139" t="str">
        <f>IF(Table1[[#This Row],[Performance
Rating]]&gt;=4, "High Performer", "Low Performer")</f>
        <v>Low Performer</v>
      </c>
    </row>
    <row r="140" spans="2:24" x14ac:dyDescent="0.3">
      <c r="B140" t="s">
        <v>19</v>
      </c>
      <c r="C140" t="s">
        <v>25</v>
      </c>
      <c r="D140">
        <v>1</v>
      </c>
      <c r="E140" t="s">
        <v>28</v>
      </c>
      <c r="F140">
        <v>1</v>
      </c>
      <c r="G140" t="s">
        <v>29</v>
      </c>
      <c r="H140">
        <v>2</v>
      </c>
      <c r="I140">
        <v>4841</v>
      </c>
      <c r="J140">
        <v>14</v>
      </c>
      <c r="K140">
        <v>3</v>
      </c>
      <c r="L140">
        <v>1</v>
      </c>
      <c r="M140">
        <v>4</v>
      </c>
      <c r="N140">
        <v>3</v>
      </c>
      <c r="O140">
        <v>3</v>
      </c>
      <c r="P140">
        <v>1</v>
      </c>
      <c r="Q140">
        <v>0</v>
      </c>
      <c r="R140">
        <v>0</v>
      </c>
      <c r="S140" t="s">
        <v>34</v>
      </c>
      <c r="T140" t="s">
        <v>24</v>
      </c>
      <c r="U140" t="str">
        <f>IF(Table1[[#This Row],[YearsSince
LastPromotion]]&gt; 4, "Delayed", "Normal")</f>
        <v>Normal</v>
      </c>
      <c r="V140" t="str">
        <f>IF(Table1[[#This Row],[Years
InCurrentRole]]&gt;4, "Role Stagnent", "Normal")</f>
        <v>Normal</v>
      </c>
      <c r="W140" t="str">
        <f>IF(AND(Table1[[#This Row],[Years
InCurrentRole]]&gt; 4, Table1[[#This Row],[Performance
Rating]]&gt;=3), "High Risk", "Normal")</f>
        <v>Normal</v>
      </c>
      <c r="X140" t="str">
        <f>IF(Table1[[#This Row],[Performance
Rating]]&gt;=4, "High Performer", "Low Performer")</f>
        <v>Low Performer</v>
      </c>
    </row>
    <row r="141" spans="2:24" x14ac:dyDescent="0.3">
      <c r="B141" t="s">
        <v>19</v>
      </c>
      <c r="C141" t="s">
        <v>25</v>
      </c>
      <c r="D141">
        <v>1</v>
      </c>
      <c r="E141" t="s">
        <v>21</v>
      </c>
      <c r="F141">
        <v>1</v>
      </c>
      <c r="G141" t="s">
        <v>29</v>
      </c>
      <c r="H141">
        <v>4</v>
      </c>
      <c r="I141">
        <v>3038</v>
      </c>
      <c r="J141">
        <v>12</v>
      </c>
      <c r="K141">
        <v>3</v>
      </c>
      <c r="L141">
        <v>0</v>
      </c>
      <c r="M141">
        <v>5</v>
      </c>
      <c r="N141">
        <v>3</v>
      </c>
      <c r="O141">
        <v>3</v>
      </c>
      <c r="P141">
        <v>1</v>
      </c>
      <c r="Q141">
        <v>0</v>
      </c>
      <c r="R141">
        <v>0</v>
      </c>
      <c r="S141" t="s">
        <v>34</v>
      </c>
      <c r="T141" t="s">
        <v>24</v>
      </c>
      <c r="U141" t="str">
        <f>IF(Table1[[#This Row],[YearsSince
LastPromotion]]&gt; 4, "Delayed", "Normal")</f>
        <v>Normal</v>
      </c>
      <c r="V141" t="str">
        <f>IF(Table1[[#This Row],[Years
InCurrentRole]]&gt;4, "Role Stagnent", "Normal")</f>
        <v>Normal</v>
      </c>
      <c r="W141" t="str">
        <f>IF(AND(Table1[[#This Row],[Years
InCurrentRole]]&gt; 4, Table1[[#This Row],[Performance
Rating]]&gt;=3), "High Risk", "Normal")</f>
        <v>Normal</v>
      </c>
      <c r="X141" t="str">
        <f>IF(Table1[[#This Row],[Performance
Rating]]&gt;=4, "High Performer", "Low Performer")</f>
        <v>Low Performer</v>
      </c>
    </row>
    <row r="142" spans="2:24" x14ac:dyDescent="0.3">
      <c r="B142" t="s">
        <v>19</v>
      </c>
      <c r="C142" t="s">
        <v>25</v>
      </c>
      <c r="D142">
        <v>1</v>
      </c>
      <c r="E142" t="s">
        <v>21</v>
      </c>
      <c r="F142">
        <v>2</v>
      </c>
      <c r="G142" t="s">
        <v>26</v>
      </c>
      <c r="H142">
        <v>2</v>
      </c>
      <c r="I142">
        <v>4505</v>
      </c>
      <c r="J142">
        <v>15</v>
      </c>
      <c r="K142">
        <v>3</v>
      </c>
      <c r="L142">
        <v>1</v>
      </c>
      <c r="M142">
        <v>12</v>
      </c>
      <c r="N142">
        <v>3</v>
      </c>
      <c r="O142">
        <v>3</v>
      </c>
      <c r="P142">
        <v>1</v>
      </c>
      <c r="Q142">
        <v>0</v>
      </c>
      <c r="R142">
        <v>0</v>
      </c>
      <c r="S142" t="s">
        <v>34</v>
      </c>
      <c r="T142" t="s">
        <v>24</v>
      </c>
      <c r="U142" t="str">
        <f>IF(Table1[[#This Row],[YearsSince
LastPromotion]]&gt; 4, "Delayed", "Normal")</f>
        <v>Normal</v>
      </c>
      <c r="V142" t="str">
        <f>IF(Table1[[#This Row],[Years
InCurrentRole]]&gt;4, "Role Stagnent", "Normal")</f>
        <v>Normal</v>
      </c>
      <c r="W142" t="str">
        <f>IF(AND(Table1[[#This Row],[Years
InCurrentRole]]&gt; 4, Table1[[#This Row],[Performance
Rating]]&gt;=3), "High Risk", "Normal")</f>
        <v>Normal</v>
      </c>
      <c r="X142" t="str">
        <f>IF(Table1[[#This Row],[Performance
Rating]]&gt;=4, "High Performer", "Low Performer")</f>
        <v>Low Performer</v>
      </c>
    </row>
    <row r="143" spans="2:24" x14ac:dyDescent="0.3">
      <c r="B143" t="s">
        <v>19</v>
      </c>
      <c r="C143" t="s">
        <v>25</v>
      </c>
      <c r="D143">
        <v>1</v>
      </c>
      <c r="E143" t="s">
        <v>28</v>
      </c>
      <c r="F143">
        <v>2</v>
      </c>
      <c r="G143" t="s">
        <v>33</v>
      </c>
      <c r="H143">
        <v>3</v>
      </c>
      <c r="I143">
        <v>6553</v>
      </c>
      <c r="J143">
        <v>14</v>
      </c>
      <c r="K143">
        <v>3</v>
      </c>
      <c r="L143">
        <v>0</v>
      </c>
      <c r="M143">
        <v>14</v>
      </c>
      <c r="N143">
        <v>3</v>
      </c>
      <c r="O143">
        <v>3</v>
      </c>
      <c r="P143">
        <v>1</v>
      </c>
      <c r="Q143">
        <v>0</v>
      </c>
      <c r="R143">
        <v>0</v>
      </c>
      <c r="S143" t="s">
        <v>34</v>
      </c>
      <c r="T143" t="s">
        <v>24</v>
      </c>
      <c r="U143" t="str">
        <f>IF(Table1[[#This Row],[YearsSince
LastPromotion]]&gt; 4, "Delayed", "Normal")</f>
        <v>Normal</v>
      </c>
      <c r="V143" t="str">
        <f>IF(Table1[[#This Row],[Years
InCurrentRole]]&gt;4, "Role Stagnent", "Normal")</f>
        <v>Normal</v>
      </c>
      <c r="W143" t="str">
        <f>IF(AND(Table1[[#This Row],[Years
InCurrentRole]]&gt; 4, Table1[[#This Row],[Performance
Rating]]&gt;=3), "High Risk", "Normal")</f>
        <v>Normal</v>
      </c>
      <c r="X143" t="str">
        <f>IF(Table1[[#This Row],[Performance
Rating]]&gt;=4, "High Performer", "Low Performer")</f>
        <v>Low Performer</v>
      </c>
    </row>
    <row r="144" spans="2:24" x14ac:dyDescent="0.3">
      <c r="B144" t="s">
        <v>19</v>
      </c>
      <c r="C144" t="s">
        <v>20</v>
      </c>
      <c r="D144">
        <v>1</v>
      </c>
      <c r="E144" t="s">
        <v>21</v>
      </c>
      <c r="F144">
        <v>3</v>
      </c>
      <c r="G144" t="s">
        <v>22</v>
      </c>
      <c r="H144">
        <v>4</v>
      </c>
      <c r="I144">
        <v>13591</v>
      </c>
      <c r="J144">
        <v>18</v>
      </c>
      <c r="K144">
        <v>3</v>
      </c>
      <c r="L144">
        <v>0</v>
      </c>
      <c r="M144">
        <v>16</v>
      </c>
      <c r="N144">
        <v>3</v>
      </c>
      <c r="O144">
        <v>3</v>
      </c>
      <c r="P144">
        <v>1</v>
      </c>
      <c r="Q144">
        <v>0</v>
      </c>
      <c r="R144">
        <v>0</v>
      </c>
      <c r="S144" t="s">
        <v>34</v>
      </c>
      <c r="T144" t="s">
        <v>24</v>
      </c>
      <c r="U144" t="str">
        <f>IF(Table1[[#This Row],[YearsSince
LastPromotion]]&gt; 4, "Delayed", "Normal")</f>
        <v>Normal</v>
      </c>
      <c r="V144" t="str">
        <f>IF(Table1[[#This Row],[Years
InCurrentRole]]&gt;4, "Role Stagnent", "Normal")</f>
        <v>Normal</v>
      </c>
      <c r="W144" t="str">
        <f>IF(AND(Table1[[#This Row],[Years
InCurrentRole]]&gt; 4, Table1[[#This Row],[Performance
Rating]]&gt;=3), "High Risk", "Normal")</f>
        <v>Normal</v>
      </c>
      <c r="X144" t="str">
        <f>IF(Table1[[#This Row],[Performance
Rating]]&gt;=4, "High Performer", "Low Performer")</f>
        <v>Low Performer</v>
      </c>
    </row>
    <row r="145" spans="2:24" x14ac:dyDescent="0.3">
      <c r="B145" t="s">
        <v>19</v>
      </c>
      <c r="C145" t="s">
        <v>25</v>
      </c>
      <c r="D145">
        <v>1</v>
      </c>
      <c r="E145" t="s">
        <v>28</v>
      </c>
      <c r="F145">
        <v>2</v>
      </c>
      <c r="G145" t="s">
        <v>29</v>
      </c>
      <c r="H145">
        <v>4</v>
      </c>
      <c r="I145">
        <v>4272</v>
      </c>
      <c r="J145">
        <v>19</v>
      </c>
      <c r="K145">
        <v>3</v>
      </c>
      <c r="L145">
        <v>0</v>
      </c>
      <c r="M145">
        <v>16</v>
      </c>
      <c r="N145">
        <v>3</v>
      </c>
      <c r="O145">
        <v>3</v>
      </c>
      <c r="P145">
        <v>1</v>
      </c>
      <c r="Q145">
        <v>0</v>
      </c>
      <c r="R145">
        <v>0</v>
      </c>
      <c r="S145" t="s">
        <v>34</v>
      </c>
      <c r="T145" t="s">
        <v>24</v>
      </c>
      <c r="U145" t="str">
        <f>IF(Table1[[#This Row],[YearsSince
LastPromotion]]&gt; 4, "Delayed", "Normal")</f>
        <v>Normal</v>
      </c>
      <c r="V145" t="str">
        <f>IF(Table1[[#This Row],[Years
InCurrentRole]]&gt;4, "Role Stagnent", "Normal")</f>
        <v>Normal</v>
      </c>
      <c r="W145" t="str">
        <f>IF(AND(Table1[[#This Row],[Years
InCurrentRole]]&gt; 4, Table1[[#This Row],[Performance
Rating]]&gt;=3), "High Risk", "Normal")</f>
        <v>Normal</v>
      </c>
      <c r="X145" t="str">
        <f>IF(Table1[[#This Row],[Performance
Rating]]&gt;=4, "High Performer", "Low Performer")</f>
        <v>Low Performer</v>
      </c>
    </row>
    <row r="146" spans="2:24" x14ac:dyDescent="0.3">
      <c r="B146" t="s">
        <v>19</v>
      </c>
      <c r="C146" t="s">
        <v>25</v>
      </c>
      <c r="D146">
        <v>1</v>
      </c>
      <c r="E146" t="s">
        <v>21</v>
      </c>
      <c r="F146">
        <v>2</v>
      </c>
      <c r="G146" t="s">
        <v>33</v>
      </c>
      <c r="H146">
        <v>1</v>
      </c>
      <c r="I146">
        <v>6516</v>
      </c>
      <c r="J146">
        <v>16</v>
      </c>
      <c r="K146">
        <v>3</v>
      </c>
      <c r="L146">
        <v>1</v>
      </c>
      <c r="M146">
        <v>18</v>
      </c>
      <c r="N146">
        <v>3</v>
      </c>
      <c r="O146">
        <v>3</v>
      </c>
      <c r="P146">
        <v>1</v>
      </c>
      <c r="Q146">
        <v>0</v>
      </c>
      <c r="R146">
        <v>0</v>
      </c>
      <c r="S146" t="s">
        <v>34</v>
      </c>
      <c r="T146" t="s">
        <v>24</v>
      </c>
      <c r="U146" t="str">
        <f>IF(Table1[[#This Row],[YearsSince
LastPromotion]]&gt; 4, "Delayed", "Normal")</f>
        <v>Normal</v>
      </c>
      <c r="V146" t="str">
        <f>IF(Table1[[#This Row],[Years
InCurrentRole]]&gt;4, "Role Stagnent", "Normal")</f>
        <v>Normal</v>
      </c>
      <c r="W146" t="str">
        <f>IF(AND(Table1[[#This Row],[Years
InCurrentRole]]&gt; 4, Table1[[#This Row],[Performance
Rating]]&gt;=3), "High Risk", "Normal")</f>
        <v>Normal</v>
      </c>
      <c r="X146" t="str">
        <f>IF(Table1[[#This Row],[Performance
Rating]]&gt;=4, "High Performer", "Low Performer")</f>
        <v>Low Performer</v>
      </c>
    </row>
    <row r="147" spans="2:24" x14ac:dyDescent="0.3">
      <c r="B147" t="s">
        <v>19</v>
      </c>
      <c r="C147" t="s">
        <v>25</v>
      </c>
      <c r="D147">
        <v>1</v>
      </c>
      <c r="E147" t="s">
        <v>21</v>
      </c>
      <c r="F147">
        <v>2</v>
      </c>
      <c r="G147" t="s">
        <v>29</v>
      </c>
      <c r="H147">
        <v>3</v>
      </c>
      <c r="I147">
        <v>3780</v>
      </c>
      <c r="J147">
        <v>11</v>
      </c>
      <c r="K147">
        <v>3</v>
      </c>
      <c r="L147">
        <v>0</v>
      </c>
      <c r="M147">
        <v>19</v>
      </c>
      <c r="N147">
        <v>3</v>
      </c>
      <c r="O147">
        <v>3</v>
      </c>
      <c r="P147">
        <v>1</v>
      </c>
      <c r="Q147">
        <v>0</v>
      </c>
      <c r="R147">
        <v>0</v>
      </c>
      <c r="S147" t="s">
        <v>34</v>
      </c>
      <c r="T147" t="s">
        <v>24</v>
      </c>
      <c r="U147" t="str">
        <f>IF(Table1[[#This Row],[YearsSince
LastPromotion]]&gt; 4, "Delayed", "Normal")</f>
        <v>Normal</v>
      </c>
      <c r="V147" t="str">
        <f>IF(Table1[[#This Row],[Years
InCurrentRole]]&gt;4, "Role Stagnent", "Normal")</f>
        <v>Normal</v>
      </c>
      <c r="W147" t="str">
        <f>IF(AND(Table1[[#This Row],[Years
InCurrentRole]]&gt; 4, Table1[[#This Row],[Performance
Rating]]&gt;=3), "High Risk", "Normal")</f>
        <v>Normal</v>
      </c>
      <c r="X147" t="str">
        <f>IF(Table1[[#This Row],[Performance
Rating]]&gt;=4, "High Performer", "Low Performer")</f>
        <v>Low Performer</v>
      </c>
    </row>
    <row r="148" spans="2:24" x14ac:dyDescent="0.3">
      <c r="B148" t="s">
        <v>19</v>
      </c>
      <c r="C148" t="s">
        <v>25</v>
      </c>
      <c r="D148">
        <v>1</v>
      </c>
      <c r="E148" t="s">
        <v>21</v>
      </c>
      <c r="F148">
        <v>2</v>
      </c>
      <c r="G148" t="s">
        <v>29</v>
      </c>
      <c r="H148">
        <v>3</v>
      </c>
      <c r="I148">
        <v>3448</v>
      </c>
      <c r="J148">
        <v>22</v>
      </c>
      <c r="K148">
        <v>4</v>
      </c>
      <c r="L148">
        <v>1</v>
      </c>
      <c r="M148">
        <v>20</v>
      </c>
      <c r="N148">
        <v>3</v>
      </c>
      <c r="O148">
        <v>3</v>
      </c>
      <c r="P148">
        <v>1</v>
      </c>
      <c r="Q148">
        <v>0</v>
      </c>
      <c r="R148">
        <v>0</v>
      </c>
      <c r="S148" t="s">
        <v>34</v>
      </c>
      <c r="T148" t="s">
        <v>24</v>
      </c>
      <c r="U148" t="str">
        <f>IF(Table1[[#This Row],[YearsSince
LastPromotion]]&gt; 4, "Delayed", "Normal")</f>
        <v>Normal</v>
      </c>
      <c r="V148" t="str">
        <f>IF(Table1[[#This Row],[Years
InCurrentRole]]&gt;4, "Role Stagnent", "Normal")</f>
        <v>Normal</v>
      </c>
      <c r="W148" t="str">
        <f>IF(AND(Table1[[#This Row],[Years
InCurrentRole]]&gt; 4, Table1[[#This Row],[Performance
Rating]]&gt;=3), "High Risk", "Normal")</f>
        <v>Normal</v>
      </c>
      <c r="X148" t="str">
        <f>IF(Table1[[#This Row],[Performance
Rating]]&gt;=4, "High Performer", "Low Performer")</f>
        <v>High Performer</v>
      </c>
    </row>
    <row r="149" spans="2:24" x14ac:dyDescent="0.3">
      <c r="B149" t="s">
        <v>19</v>
      </c>
      <c r="C149" t="s">
        <v>25</v>
      </c>
      <c r="D149">
        <v>1</v>
      </c>
      <c r="E149" t="s">
        <v>21</v>
      </c>
      <c r="F149">
        <v>1</v>
      </c>
      <c r="G149" t="s">
        <v>29</v>
      </c>
      <c r="H149">
        <v>4</v>
      </c>
      <c r="I149">
        <v>1129</v>
      </c>
      <c r="J149">
        <v>11</v>
      </c>
      <c r="K149">
        <v>3</v>
      </c>
      <c r="L149">
        <v>3</v>
      </c>
      <c r="M149">
        <v>1</v>
      </c>
      <c r="N149">
        <v>4</v>
      </c>
      <c r="O149">
        <v>3</v>
      </c>
      <c r="P149">
        <v>1</v>
      </c>
      <c r="Q149">
        <v>0</v>
      </c>
      <c r="R149">
        <v>0</v>
      </c>
      <c r="S149" t="s">
        <v>34</v>
      </c>
      <c r="T149" t="s">
        <v>24</v>
      </c>
      <c r="U149" t="str">
        <f>IF(Table1[[#This Row],[YearsSince
LastPromotion]]&gt; 4, "Delayed", "Normal")</f>
        <v>Normal</v>
      </c>
      <c r="V149" t="str">
        <f>IF(Table1[[#This Row],[Years
InCurrentRole]]&gt;4, "Role Stagnent", "Normal")</f>
        <v>Normal</v>
      </c>
      <c r="W149" t="str">
        <f>IF(AND(Table1[[#This Row],[Years
InCurrentRole]]&gt; 4, Table1[[#This Row],[Performance
Rating]]&gt;=3), "High Risk", "Normal")</f>
        <v>Normal</v>
      </c>
      <c r="X149" t="str">
        <f>IF(Table1[[#This Row],[Performance
Rating]]&gt;=4, "High Performer", "Low Performer")</f>
        <v>Low Performer</v>
      </c>
    </row>
    <row r="150" spans="2:24" x14ac:dyDescent="0.3">
      <c r="B150" t="s">
        <v>19</v>
      </c>
      <c r="C150" t="s">
        <v>25</v>
      </c>
      <c r="D150">
        <v>1</v>
      </c>
      <c r="E150" t="s">
        <v>28</v>
      </c>
      <c r="F150">
        <v>1</v>
      </c>
      <c r="G150" t="s">
        <v>29</v>
      </c>
      <c r="H150">
        <v>2</v>
      </c>
      <c r="I150">
        <v>2694</v>
      </c>
      <c r="J150">
        <v>11</v>
      </c>
      <c r="K150">
        <v>3</v>
      </c>
      <c r="L150">
        <v>3</v>
      </c>
      <c r="M150">
        <v>1</v>
      </c>
      <c r="N150">
        <v>4</v>
      </c>
      <c r="O150">
        <v>3</v>
      </c>
      <c r="P150">
        <v>1</v>
      </c>
      <c r="Q150">
        <v>0</v>
      </c>
      <c r="R150">
        <v>0</v>
      </c>
      <c r="S150" t="s">
        <v>34</v>
      </c>
      <c r="T150" t="s">
        <v>24</v>
      </c>
      <c r="U150" t="str">
        <f>IF(Table1[[#This Row],[YearsSince
LastPromotion]]&gt; 4, "Delayed", "Normal")</f>
        <v>Normal</v>
      </c>
      <c r="V150" t="str">
        <f>IF(Table1[[#This Row],[Years
InCurrentRole]]&gt;4, "Role Stagnent", "Normal")</f>
        <v>Normal</v>
      </c>
      <c r="W150" t="str">
        <f>IF(AND(Table1[[#This Row],[Years
InCurrentRole]]&gt; 4, Table1[[#This Row],[Performance
Rating]]&gt;=3), "High Risk", "Normal")</f>
        <v>Normal</v>
      </c>
      <c r="X150" t="str">
        <f>IF(Table1[[#This Row],[Performance
Rating]]&gt;=4, "High Performer", "Low Performer")</f>
        <v>Low Performer</v>
      </c>
    </row>
    <row r="151" spans="2:24" x14ac:dyDescent="0.3">
      <c r="B151" t="s">
        <v>27</v>
      </c>
      <c r="C151" t="s">
        <v>36</v>
      </c>
      <c r="D151">
        <v>1</v>
      </c>
      <c r="E151" t="s">
        <v>28</v>
      </c>
      <c r="F151">
        <v>1</v>
      </c>
      <c r="G151" t="s">
        <v>36</v>
      </c>
      <c r="H151">
        <v>1</v>
      </c>
      <c r="I151">
        <v>2956</v>
      </c>
      <c r="J151">
        <v>17</v>
      </c>
      <c r="K151">
        <v>3</v>
      </c>
      <c r="L151">
        <v>0</v>
      </c>
      <c r="M151">
        <v>2</v>
      </c>
      <c r="N151">
        <v>4</v>
      </c>
      <c r="O151">
        <v>3</v>
      </c>
      <c r="P151">
        <v>1</v>
      </c>
      <c r="Q151">
        <v>0</v>
      </c>
      <c r="R151">
        <v>0</v>
      </c>
      <c r="S151" t="s">
        <v>34</v>
      </c>
      <c r="T151" t="s">
        <v>24</v>
      </c>
      <c r="U151" t="str">
        <f>IF(Table1[[#This Row],[YearsSince
LastPromotion]]&gt; 4, "Delayed", "Normal")</f>
        <v>Normal</v>
      </c>
      <c r="V151" t="str">
        <f>IF(Table1[[#This Row],[Years
InCurrentRole]]&gt;4, "Role Stagnent", "Normal")</f>
        <v>Normal</v>
      </c>
      <c r="W151" t="str">
        <f>IF(AND(Table1[[#This Row],[Years
InCurrentRole]]&gt; 4, Table1[[#This Row],[Performance
Rating]]&gt;=3), "High Risk", "Normal")</f>
        <v>Normal</v>
      </c>
      <c r="X151" t="str">
        <f>IF(Table1[[#This Row],[Performance
Rating]]&gt;=4, "High Performer", "Low Performer")</f>
        <v>Low Performer</v>
      </c>
    </row>
    <row r="152" spans="2:24" x14ac:dyDescent="0.3">
      <c r="B152" t="s">
        <v>27</v>
      </c>
      <c r="C152" t="s">
        <v>25</v>
      </c>
      <c r="D152">
        <v>1</v>
      </c>
      <c r="E152" t="s">
        <v>28</v>
      </c>
      <c r="F152">
        <v>1</v>
      </c>
      <c r="G152" t="s">
        <v>26</v>
      </c>
      <c r="H152">
        <v>4</v>
      </c>
      <c r="I152">
        <v>2285</v>
      </c>
      <c r="J152">
        <v>23</v>
      </c>
      <c r="K152">
        <v>4</v>
      </c>
      <c r="L152">
        <v>0</v>
      </c>
      <c r="M152">
        <v>3</v>
      </c>
      <c r="N152">
        <v>4</v>
      </c>
      <c r="O152">
        <v>3</v>
      </c>
      <c r="P152">
        <v>1</v>
      </c>
      <c r="Q152">
        <v>0</v>
      </c>
      <c r="R152">
        <v>0</v>
      </c>
      <c r="S152" t="s">
        <v>34</v>
      </c>
      <c r="T152" t="s">
        <v>24</v>
      </c>
      <c r="U152" t="str">
        <f>IF(Table1[[#This Row],[YearsSince
LastPromotion]]&gt; 4, "Delayed", "Normal")</f>
        <v>Normal</v>
      </c>
      <c r="V152" t="str">
        <f>IF(Table1[[#This Row],[Years
InCurrentRole]]&gt;4, "Role Stagnent", "Normal")</f>
        <v>Normal</v>
      </c>
      <c r="W152" t="str">
        <f>IF(AND(Table1[[#This Row],[Years
InCurrentRole]]&gt; 4, Table1[[#This Row],[Performance
Rating]]&gt;=3), "High Risk", "Normal")</f>
        <v>Normal</v>
      </c>
      <c r="X152" t="str">
        <f>IF(Table1[[#This Row],[Performance
Rating]]&gt;=4, "High Performer", "Low Performer")</f>
        <v>High Performer</v>
      </c>
    </row>
    <row r="153" spans="2:24" x14ac:dyDescent="0.3">
      <c r="B153" t="s">
        <v>19</v>
      </c>
      <c r="C153" t="s">
        <v>20</v>
      </c>
      <c r="D153">
        <v>1</v>
      </c>
      <c r="E153" t="s">
        <v>21</v>
      </c>
      <c r="F153">
        <v>1</v>
      </c>
      <c r="G153" t="s">
        <v>30</v>
      </c>
      <c r="H153">
        <v>4</v>
      </c>
      <c r="I153">
        <v>2534</v>
      </c>
      <c r="J153">
        <v>14</v>
      </c>
      <c r="K153">
        <v>3</v>
      </c>
      <c r="L153">
        <v>1</v>
      </c>
      <c r="M153">
        <v>5</v>
      </c>
      <c r="N153">
        <v>4</v>
      </c>
      <c r="O153">
        <v>3</v>
      </c>
      <c r="P153">
        <v>1</v>
      </c>
      <c r="Q153">
        <v>0</v>
      </c>
      <c r="R153">
        <v>0</v>
      </c>
      <c r="S153" t="s">
        <v>34</v>
      </c>
      <c r="T153" t="s">
        <v>24</v>
      </c>
      <c r="U153" t="str">
        <f>IF(Table1[[#This Row],[YearsSince
LastPromotion]]&gt; 4, "Delayed", "Normal")</f>
        <v>Normal</v>
      </c>
      <c r="V153" t="str">
        <f>IF(Table1[[#This Row],[Years
InCurrentRole]]&gt;4, "Role Stagnent", "Normal")</f>
        <v>Normal</v>
      </c>
      <c r="W153" t="str">
        <f>IF(AND(Table1[[#This Row],[Years
InCurrentRole]]&gt; 4, Table1[[#This Row],[Performance
Rating]]&gt;=3), "High Risk", "Normal")</f>
        <v>Normal</v>
      </c>
      <c r="X153" t="str">
        <f>IF(Table1[[#This Row],[Performance
Rating]]&gt;=4, "High Performer", "Low Performer")</f>
        <v>Low Performer</v>
      </c>
    </row>
    <row r="154" spans="2:24" x14ac:dyDescent="0.3">
      <c r="B154" t="s">
        <v>19</v>
      </c>
      <c r="C154" t="s">
        <v>25</v>
      </c>
      <c r="D154">
        <v>1</v>
      </c>
      <c r="E154" t="s">
        <v>28</v>
      </c>
      <c r="F154">
        <v>1</v>
      </c>
      <c r="G154" t="s">
        <v>29</v>
      </c>
      <c r="H154">
        <v>4</v>
      </c>
      <c r="I154">
        <v>4766</v>
      </c>
      <c r="J154">
        <v>11</v>
      </c>
      <c r="K154">
        <v>3</v>
      </c>
      <c r="L154">
        <v>1</v>
      </c>
      <c r="M154">
        <v>6</v>
      </c>
      <c r="N154">
        <v>4</v>
      </c>
      <c r="O154">
        <v>3</v>
      </c>
      <c r="P154">
        <v>1</v>
      </c>
      <c r="Q154">
        <v>0</v>
      </c>
      <c r="R154">
        <v>0</v>
      </c>
      <c r="S154" t="s">
        <v>34</v>
      </c>
      <c r="T154" t="s">
        <v>24</v>
      </c>
      <c r="U154" t="str">
        <f>IF(Table1[[#This Row],[YearsSince
LastPromotion]]&gt; 4, "Delayed", "Normal")</f>
        <v>Normal</v>
      </c>
      <c r="V154" t="str">
        <f>IF(Table1[[#This Row],[Years
InCurrentRole]]&gt;4, "Role Stagnent", "Normal")</f>
        <v>Normal</v>
      </c>
      <c r="W154" t="str">
        <f>IF(AND(Table1[[#This Row],[Years
InCurrentRole]]&gt; 4, Table1[[#This Row],[Performance
Rating]]&gt;=3), "High Risk", "Normal")</f>
        <v>Normal</v>
      </c>
      <c r="X154" t="str">
        <f>IF(Table1[[#This Row],[Performance
Rating]]&gt;=4, "High Performer", "Low Performer")</f>
        <v>Low Performer</v>
      </c>
    </row>
    <row r="155" spans="2:24" x14ac:dyDescent="0.3">
      <c r="B155" t="s">
        <v>27</v>
      </c>
      <c r="C155" t="s">
        <v>25</v>
      </c>
      <c r="D155">
        <v>1</v>
      </c>
      <c r="E155" t="s">
        <v>28</v>
      </c>
      <c r="F155">
        <v>1</v>
      </c>
      <c r="G155" t="s">
        <v>26</v>
      </c>
      <c r="H155">
        <v>3</v>
      </c>
      <c r="I155">
        <v>2437</v>
      </c>
      <c r="J155">
        <v>16</v>
      </c>
      <c r="K155">
        <v>3</v>
      </c>
      <c r="L155">
        <v>1</v>
      </c>
      <c r="M155">
        <v>6</v>
      </c>
      <c r="N155">
        <v>4</v>
      </c>
      <c r="O155">
        <v>3</v>
      </c>
      <c r="P155">
        <v>1</v>
      </c>
      <c r="Q155">
        <v>0</v>
      </c>
      <c r="R155">
        <v>0</v>
      </c>
      <c r="S155" t="s">
        <v>34</v>
      </c>
      <c r="T155" t="s">
        <v>24</v>
      </c>
      <c r="U155" t="str">
        <f>IF(Table1[[#This Row],[YearsSince
LastPromotion]]&gt; 4, "Delayed", "Normal")</f>
        <v>Normal</v>
      </c>
      <c r="V155" t="str">
        <f>IF(Table1[[#This Row],[Years
InCurrentRole]]&gt;4, "Role Stagnent", "Normal")</f>
        <v>Normal</v>
      </c>
      <c r="W155" t="str">
        <f>IF(AND(Table1[[#This Row],[Years
InCurrentRole]]&gt; 4, Table1[[#This Row],[Performance
Rating]]&gt;=3), "High Risk", "Normal")</f>
        <v>Normal</v>
      </c>
      <c r="X155" t="str">
        <f>IF(Table1[[#This Row],[Performance
Rating]]&gt;=4, "High Performer", "Low Performer")</f>
        <v>Low Performer</v>
      </c>
    </row>
    <row r="156" spans="2:24" x14ac:dyDescent="0.3">
      <c r="B156" t="s">
        <v>27</v>
      </c>
      <c r="C156" t="s">
        <v>25</v>
      </c>
      <c r="D156">
        <v>1</v>
      </c>
      <c r="E156" t="s">
        <v>28</v>
      </c>
      <c r="F156">
        <v>1</v>
      </c>
      <c r="G156" t="s">
        <v>26</v>
      </c>
      <c r="H156">
        <v>3</v>
      </c>
      <c r="I156">
        <v>2479</v>
      </c>
      <c r="J156">
        <v>24</v>
      </c>
      <c r="K156">
        <v>4</v>
      </c>
      <c r="L156">
        <v>0</v>
      </c>
      <c r="M156">
        <v>7</v>
      </c>
      <c r="N156">
        <v>4</v>
      </c>
      <c r="O156">
        <v>3</v>
      </c>
      <c r="P156">
        <v>1</v>
      </c>
      <c r="Q156">
        <v>0</v>
      </c>
      <c r="R156">
        <v>0</v>
      </c>
      <c r="S156" t="s">
        <v>34</v>
      </c>
      <c r="T156" t="s">
        <v>24</v>
      </c>
      <c r="U156" t="str">
        <f>IF(Table1[[#This Row],[YearsSince
LastPromotion]]&gt; 4, "Delayed", "Normal")</f>
        <v>Normal</v>
      </c>
      <c r="V156" t="str">
        <f>IF(Table1[[#This Row],[Years
InCurrentRole]]&gt;4, "Role Stagnent", "Normal")</f>
        <v>Normal</v>
      </c>
      <c r="W156" t="str">
        <f>IF(AND(Table1[[#This Row],[Years
InCurrentRole]]&gt; 4, Table1[[#This Row],[Performance
Rating]]&gt;=3), "High Risk", "Normal")</f>
        <v>Normal</v>
      </c>
      <c r="X156" t="str">
        <f>IF(Table1[[#This Row],[Performance
Rating]]&gt;=4, "High Performer", "Low Performer")</f>
        <v>High Performer</v>
      </c>
    </row>
    <row r="157" spans="2:24" x14ac:dyDescent="0.3">
      <c r="B157" t="s">
        <v>19</v>
      </c>
      <c r="C157" t="s">
        <v>25</v>
      </c>
      <c r="D157">
        <v>1</v>
      </c>
      <c r="E157" t="s">
        <v>21</v>
      </c>
      <c r="F157">
        <v>2</v>
      </c>
      <c r="G157" t="s">
        <v>31</v>
      </c>
      <c r="H157">
        <v>3</v>
      </c>
      <c r="I157">
        <v>9824</v>
      </c>
      <c r="J157">
        <v>19</v>
      </c>
      <c r="K157">
        <v>3</v>
      </c>
      <c r="L157">
        <v>1</v>
      </c>
      <c r="M157">
        <v>18</v>
      </c>
      <c r="N157">
        <v>4</v>
      </c>
      <c r="O157">
        <v>3</v>
      </c>
      <c r="P157">
        <v>1</v>
      </c>
      <c r="Q157">
        <v>0</v>
      </c>
      <c r="R157">
        <v>0</v>
      </c>
      <c r="S157" t="s">
        <v>34</v>
      </c>
      <c r="T157" t="s">
        <v>24</v>
      </c>
      <c r="U157" t="str">
        <f>IF(Table1[[#This Row],[YearsSince
LastPromotion]]&gt; 4, "Delayed", "Normal")</f>
        <v>Normal</v>
      </c>
      <c r="V157" t="str">
        <f>IF(Table1[[#This Row],[Years
InCurrentRole]]&gt;4, "Role Stagnent", "Normal")</f>
        <v>Normal</v>
      </c>
      <c r="W157" t="str">
        <f>IF(AND(Table1[[#This Row],[Years
InCurrentRole]]&gt; 4, Table1[[#This Row],[Performance
Rating]]&gt;=3), "High Risk", "Normal")</f>
        <v>Normal</v>
      </c>
      <c r="X157" t="str">
        <f>IF(Table1[[#This Row],[Performance
Rating]]&gt;=4, "High Performer", "Low Performer")</f>
        <v>Low Performer</v>
      </c>
    </row>
    <row r="158" spans="2:24" x14ac:dyDescent="0.3">
      <c r="B158" t="s">
        <v>19</v>
      </c>
      <c r="C158" t="s">
        <v>25</v>
      </c>
      <c r="D158">
        <v>1</v>
      </c>
      <c r="E158" t="s">
        <v>21</v>
      </c>
      <c r="F158">
        <v>1</v>
      </c>
      <c r="G158" t="s">
        <v>26</v>
      </c>
      <c r="H158">
        <v>4</v>
      </c>
      <c r="I158">
        <v>2061</v>
      </c>
      <c r="J158">
        <v>21</v>
      </c>
      <c r="K158">
        <v>4</v>
      </c>
      <c r="L158">
        <v>0</v>
      </c>
      <c r="M158">
        <v>1</v>
      </c>
      <c r="N158">
        <v>5</v>
      </c>
      <c r="O158">
        <v>3</v>
      </c>
      <c r="P158">
        <v>1</v>
      </c>
      <c r="Q158">
        <v>0</v>
      </c>
      <c r="R158">
        <v>0</v>
      </c>
      <c r="S158" t="s">
        <v>34</v>
      </c>
      <c r="T158" t="s">
        <v>24</v>
      </c>
      <c r="U158" t="str">
        <f>IF(Table1[[#This Row],[YearsSince
LastPromotion]]&gt; 4, "Delayed", "Normal")</f>
        <v>Normal</v>
      </c>
      <c r="V158" t="str">
        <f>IF(Table1[[#This Row],[Years
InCurrentRole]]&gt;4, "Role Stagnent", "Normal")</f>
        <v>Normal</v>
      </c>
      <c r="W158" t="str">
        <f>IF(AND(Table1[[#This Row],[Years
InCurrentRole]]&gt; 4, Table1[[#This Row],[Performance
Rating]]&gt;=3), "High Risk", "Normal")</f>
        <v>Normal</v>
      </c>
      <c r="X158" t="str">
        <f>IF(Table1[[#This Row],[Performance
Rating]]&gt;=4, "High Performer", "Low Performer")</f>
        <v>High Performer</v>
      </c>
    </row>
    <row r="159" spans="2:24" x14ac:dyDescent="0.3">
      <c r="B159" t="s">
        <v>19</v>
      </c>
      <c r="C159" t="s">
        <v>20</v>
      </c>
      <c r="D159">
        <v>1</v>
      </c>
      <c r="E159" t="s">
        <v>28</v>
      </c>
      <c r="F159">
        <v>1</v>
      </c>
      <c r="G159" t="s">
        <v>30</v>
      </c>
      <c r="H159">
        <v>2</v>
      </c>
      <c r="I159">
        <v>1052</v>
      </c>
      <c r="J159">
        <v>22</v>
      </c>
      <c r="K159">
        <v>4</v>
      </c>
      <c r="L159">
        <v>0</v>
      </c>
      <c r="M159">
        <v>1</v>
      </c>
      <c r="N159">
        <v>5</v>
      </c>
      <c r="O159">
        <v>3</v>
      </c>
      <c r="P159">
        <v>1</v>
      </c>
      <c r="Q159">
        <v>0</v>
      </c>
      <c r="R159">
        <v>0</v>
      </c>
      <c r="S159" t="s">
        <v>34</v>
      </c>
      <c r="T159" t="s">
        <v>24</v>
      </c>
      <c r="U159" t="str">
        <f>IF(Table1[[#This Row],[YearsSince
LastPromotion]]&gt; 4, "Delayed", "Normal")</f>
        <v>Normal</v>
      </c>
      <c r="V159" t="str">
        <f>IF(Table1[[#This Row],[Years
InCurrentRole]]&gt;4, "Role Stagnent", "Normal")</f>
        <v>Normal</v>
      </c>
      <c r="W159" t="str">
        <f>IF(AND(Table1[[#This Row],[Years
InCurrentRole]]&gt; 4, Table1[[#This Row],[Performance
Rating]]&gt;=3), "High Risk", "Normal")</f>
        <v>Normal</v>
      </c>
      <c r="X159" t="str">
        <f>IF(Table1[[#This Row],[Performance
Rating]]&gt;=4, "High Performer", "Low Performer")</f>
        <v>High Performer</v>
      </c>
    </row>
    <row r="160" spans="2:24" x14ac:dyDescent="0.3">
      <c r="B160" t="s">
        <v>19</v>
      </c>
      <c r="C160" t="s">
        <v>25</v>
      </c>
      <c r="D160">
        <v>1</v>
      </c>
      <c r="E160" t="s">
        <v>28</v>
      </c>
      <c r="F160">
        <v>1</v>
      </c>
      <c r="G160" t="s">
        <v>29</v>
      </c>
      <c r="H160">
        <v>4</v>
      </c>
      <c r="I160">
        <v>2380</v>
      </c>
      <c r="J160">
        <v>18</v>
      </c>
      <c r="K160">
        <v>3</v>
      </c>
      <c r="L160">
        <v>0</v>
      </c>
      <c r="M160">
        <v>8</v>
      </c>
      <c r="N160">
        <v>5</v>
      </c>
      <c r="O160">
        <v>3</v>
      </c>
      <c r="P160">
        <v>1</v>
      </c>
      <c r="Q160">
        <v>0</v>
      </c>
      <c r="R160">
        <v>0</v>
      </c>
      <c r="S160" t="s">
        <v>34</v>
      </c>
      <c r="T160" t="s">
        <v>24</v>
      </c>
      <c r="U160" t="str">
        <f>IF(Table1[[#This Row],[YearsSince
LastPromotion]]&gt; 4, "Delayed", "Normal")</f>
        <v>Normal</v>
      </c>
      <c r="V160" t="str">
        <f>IF(Table1[[#This Row],[Years
InCurrentRole]]&gt;4, "Role Stagnent", "Normal")</f>
        <v>Normal</v>
      </c>
      <c r="W160" t="str">
        <f>IF(AND(Table1[[#This Row],[Years
InCurrentRole]]&gt; 4, Table1[[#This Row],[Performance
Rating]]&gt;=3), "High Risk", "Normal")</f>
        <v>Normal</v>
      </c>
      <c r="X160" t="str">
        <f>IF(Table1[[#This Row],[Performance
Rating]]&gt;=4, "High Performer", "Low Performer")</f>
        <v>Low Performer</v>
      </c>
    </row>
    <row r="161" spans="2:24" x14ac:dyDescent="0.3">
      <c r="B161" t="s">
        <v>19</v>
      </c>
      <c r="C161" t="s">
        <v>20</v>
      </c>
      <c r="D161">
        <v>1</v>
      </c>
      <c r="E161" t="s">
        <v>21</v>
      </c>
      <c r="F161">
        <v>2</v>
      </c>
      <c r="G161" t="s">
        <v>32</v>
      </c>
      <c r="H161">
        <v>4</v>
      </c>
      <c r="I161">
        <v>6694</v>
      </c>
      <c r="J161">
        <v>14</v>
      </c>
      <c r="K161">
        <v>3</v>
      </c>
      <c r="L161">
        <v>3</v>
      </c>
      <c r="M161">
        <v>8</v>
      </c>
      <c r="N161">
        <v>5</v>
      </c>
      <c r="O161">
        <v>3</v>
      </c>
      <c r="P161">
        <v>1</v>
      </c>
      <c r="Q161">
        <v>0</v>
      </c>
      <c r="R161">
        <v>0</v>
      </c>
      <c r="S161" t="s">
        <v>34</v>
      </c>
      <c r="T161" t="s">
        <v>24</v>
      </c>
      <c r="U161" t="str">
        <f>IF(Table1[[#This Row],[YearsSince
LastPromotion]]&gt; 4, "Delayed", "Normal")</f>
        <v>Normal</v>
      </c>
      <c r="V161" t="str">
        <f>IF(Table1[[#This Row],[Years
InCurrentRole]]&gt;4, "Role Stagnent", "Normal")</f>
        <v>Normal</v>
      </c>
      <c r="W161" t="str">
        <f>IF(AND(Table1[[#This Row],[Years
InCurrentRole]]&gt; 4, Table1[[#This Row],[Performance
Rating]]&gt;=3), "High Risk", "Normal")</f>
        <v>Normal</v>
      </c>
      <c r="X161" t="str">
        <f>IF(Table1[[#This Row],[Performance
Rating]]&gt;=4, "High Performer", "Low Performer")</f>
        <v>Low Performer</v>
      </c>
    </row>
    <row r="162" spans="2:24" x14ac:dyDescent="0.3">
      <c r="B162" t="s">
        <v>19</v>
      </c>
      <c r="C162" t="s">
        <v>20</v>
      </c>
      <c r="D162">
        <v>1</v>
      </c>
      <c r="E162" t="s">
        <v>21</v>
      </c>
      <c r="F162">
        <v>2</v>
      </c>
      <c r="G162" t="s">
        <v>32</v>
      </c>
      <c r="H162">
        <v>3</v>
      </c>
      <c r="I162">
        <v>6815</v>
      </c>
      <c r="J162">
        <v>13</v>
      </c>
      <c r="K162">
        <v>3</v>
      </c>
      <c r="L162">
        <v>0</v>
      </c>
      <c r="M162">
        <v>15</v>
      </c>
      <c r="N162">
        <v>5</v>
      </c>
      <c r="O162">
        <v>3</v>
      </c>
      <c r="P162">
        <v>1</v>
      </c>
      <c r="Q162">
        <v>0</v>
      </c>
      <c r="R162">
        <v>0</v>
      </c>
      <c r="S162" t="s">
        <v>34</v>
      </c>
      <c r="T162" t="s">
        <v>24</v>
      </c>
      <c r="U162" t="str">
        <f>IF(Table1[[#This Row],[YearsSince
LastPromotion]]&gt; 4, "Delayed", "Normal")</f>
        <v>Normal</v>
      </c>
      <c r="V162" t="str">
        <f>IF(Table1[[#This Row],[Years
InCurrentRole]]&gt;4, "Role Stagnent", "Normal")</f>
        <v>Normal</v>
      </c>
      <c r="W162" t="str">
        <f>IF(AND(Table1[[#This Row],[Years
InCurrentRole]]&gt; 4, Table1[[#This Row],[Performance
Rating]]&gt;=3), "High Risk", "Normal")</f>
        <v>Normal</v>
      </c>
      <c r="X162" t="str">
        <f>IF(Table1[[#This Row],[Performance
Rating]]&gt;=4, "High Performer", "Low Performer")</f>
        <v>Low Performer</v>
      </c>
    </row>
    <row r="163" spans="2:24" x14ac:dyDescent="0.3">
      <c r="B163" t="s">
        <v>27</v>
      </c>
      <c r="C163" t="s">
        <v>25</v>
      </c>
      <c r="D163">
        <v>1</v>
      </c>
      <c r="E163" t="s">
        <v>28</v>
      </c>
      <c r="F163">
        <v>3</v>
      </c>
      <c r="G163" t="s">
        <v>33</v>
      </c>
      <c r="H163">
        <v>3</v>
      </c>
      <c r="I163">
        <v>10048</v>
      </c>
      <c r="J163">
        <v>11</v>
      </c>
      <c r="K163">
        <v>3</v>
      </c>
      <c r="L163">
        <v>2</v>
      </c>
      <c r="M163">
        <v>17</v>
      </c>
      <c r="N163">
        <v>5</v>
      </c>
      <c r="O163">
        <v>3</v>
      </c>
      <c r="P163">
        <v>1</v>
      </c>
      <c r="Q163">
        <v>0</v>
      </c>
      <c r="R163">
        <v>0</v>
      </c>
      <c r="S163" t="s">
        <v>34</v>
      </c>
      <c r="T163" t="s">
        <v>24</v>
      </c>
      <c r="U163" t="str">
        <f>IF(Table1[[#This Row],[YearsSince
LastPromotion]]&gt; 4, "Delayed", "Normal")</f>
        <v>Normal</v>
      </c>
      <c r="V163" t="str">
        <f>IF(Table1[[#This Row],[Years
InCurrentRole]]&gt;4, "Role Stagnent", "Normal")</f>
        <v>Normal</v>
      </c>
      <c r="W163" t="str">
        <f>IF(AND(Table1[[#This Row],[Years
InCurrentRole]]&gt; 4, Table1[[#This Row],[Performance
Rating]]&gt;=3), "High Risk", "Normal")</f>
        <v>Normal</v>
      </c>
      <c r="X163" t="str">
        <f>IF(Table1[[#This Row],[Performance
Rating]]&gt;=4, "High Performer", "Low Performer")</f>
        <v>Low Performer</v>
      </c>
    </row>
    <row r="164" spans="2:24" x14ac:dyDescent="0.3">
      <c r="B164" t="s">
        <v>19</v>
      </c>
      <c r="C164" t="s">
        <v>20</v>
      </c>
      <c r="D164">
        <v>1</v>
      </c>
      <c r="E164" t="s">
        <v>28</v>
      </c>
      <c r="F164">
        <v>3</v>
      </c>
      <c r="G164" t="s">
        <v>32</v>
      </c>
      <c r="H164">
        <v>4</v>
      </c>
      <c r="I164">
        <v>10798</v>
      </c>
      <c r="J164">
        <v>13</v>
      </c>
      <c r="K164">
        <v>3</v>
      </c>
      <c r="L164">
        <v>1</v>
      </c>
      <c r="M164">
        <v>18</v>
      </c>
      <c r="N164">
        <v>5</v>
      </c>
      <c r="O164">
        <v>3</v>
      </c>
      <c r="P164">
        <v>1</v>
      </c>
      <c r="Q164">
        <v>0</v>
      </c>
      <c r="R164">
        <v>0</v>
      </c>
      <c r="S164" t="s">
        <v>34</v>
      </c>
      <c r="T164" t="s">
        <v>24</v>
      </c>
      <c r="U164" t="str">
        <f>IF(Table1[[#This Row],[YearsSince
LastPromotion]]&gt; 4, "Delayed", "Normal")</f>
        <v>Normal</v>
      </c>
      <c r="V164" t="str">
        <f>IF(Table1[[#This Row],[Years
InCurrentRole]]&gt;4, "Role Stagnent", "Normal")</f>
        <v>Normal</v>
      </c>
      <c r="W164" t="str">
        <f>IF(AND(Table1[[#This Row],[Years
InCurrentRole]]&gt; 4, Table1[[#This Row],[Performance
Rating]]&gt;=3), "High Risk", "Normal")</f>
        <v>Normal</v>
      </c>
      <c r="X164" t="str">
        <f>IF(Table1[[#This Row],[Performance
Rating]]&gt;=4, "High Performer", "Low Performer")</f>
        <v>Low Performer</v>
      </c>
    </row>
    <row r="165" spans="2:24" x14ac:dyDescent="0.3">
      <c r="B165" t="s">
        <v>19</v>
      </c>
      <c r="C165" t="s">
        <v>20</v>
      </c>
      <c r="D165">
        <v>1</v>
      </c>
      <c r="E165" t="s">
        <v>28</v>
      </c>
      <c r="F165">
        <v>1</v>
      </c>
      <c r="G165" t="s">
        <v>30</v>
      </c>
      <c r="H165">
        <v>3</v>
      </c>
      <c r="I165">
        <v>2642</v>
      </c>
      <c r="J165">
        <v>11</v>
      </c>
      <c r="K165">
        <v>3</v>
      </c>
      <c r="L165">
        <v>0</v>
      </c>
      <c r="M165">
        <v>1</v>
      </c>
      <c r="N165">
        <v>6</v>
      </c>
      <c r="O165">
        <v>3</v>
      </c>
      <c r="P165">
        <v>1</v>
      </c>
      <c r="Q165">
        <v>0</v>
      </c>
      <c r="R165">
        <v>0</v>
      </c>
      <c r="S165" t="s">
        <v>34</v>
      </c>
      <c r="T165" t="s">
        <v>24</v>
      </c>
      <c r="U165" t="str">
        <f>IF(Table1[[#This Row],[YearsSince
LastPromotion]]&gt; 4, "Delayed", "Normal")</f>
        <v>Normal</v>
      </c>
      <c r="V165" t="str">
        <f>IF(Table1[[#This Row],[Years
InCurrentRole]]&gt;4, "Role Stagnent", "Normal")</f>
        <v>Normal</v>
      </c>
      <c r="W165" t="str">
        <f>IF(AND(Table1[[#This Row],[Years
InCurrentRole]]&gt; 4, Table1[[#This Row],[Performance
Rating]]&gt;=3), "High Risk", "Normal")</f>
        <v>Normal</v>
      </c>
      <c r="X165" t="str">
        <f>IF(Table1[[#This Row],[Performance
Rating]]&gt;=4, "High Performer", "Low Performer")</f>
        <v>Low Performer</v>
      </c>
    </row>
    <row r="166" spans="2:24" x14ac:dyDescent="0.3">
      <c r="B166" t="s">
        <v>27</v>
      </c>
      <c r="C166" t="s">
        <v>25</v>
      </c>
      <c r="D166">
        <v>1</v>
      </c>
      <c r="E166" t="s">
        <v>21</v>
      </c>
      <c r="F166">
        <v>1</v>
      </c>
      <c r="G166" t="s">
        <v>29</v>
      </c>
      <c r="H166">
        <v>1</v>
      </c>
      <c r="I166">
        <v>2398</v>
      </c>
      <c r="J166">
        <v>17</v>
      </c>
      <c r="K166">
        <v>3</v>
      </c>
      <c r="L166">
        <v>0</v>
      </c>
      <c r="M166">
        <v>1</v>
      </c>
      <c r="N166">
        <v>6</v>
      </c>
      <c r="O166">
        <v>3</v>
      </c>
      <c r="P166">
        <v>1</v>
      </c>
      <c r="Q166">
        <v>0</v>
      </c>
      <c r="R166">
        <v>0</v>
      </c>
      <c r="S166" t="s">
        <v>34</v>
      </c>
      <c r="T166" t="s">
        <v>24</v>
      </c>
      <c r="U166" t="str">
        <f>IF(Table1[[#This Row],[YearsSince
LastPromotion]]&gt; 4, "Delayed", "Normal")</f>
        <v>Normal</v>
      </c>
      <c r="V166" t="str">
        <f>IF(Table1[[#This Row],[Years
InCurrentRole]]&gt;4, "Role Stagnent", "Normal")</f>
        <v>Normal</v>
      </c>
      <c r="W166" t="str">
        <f>IF(AND(Table1[[#This Row],[Years
InCurrentRole]]&gt; 4, Table1[[#This Row],[Performance
Rating]]&gt;=3), "High Risk", "Normal")</f>
        <v>Normal</v>
      </c>
      <c r="X166" t="str">
        <f>IF(Table1[[#This Row],[Performance
Rating]]&gt;=4, "High Performer", "Low Performer")</f>
        <v>Low Performer</v>
      </c>
    </row>
    <row r="167" spans="2:24" x14ac:dyDescent="0.3">
      <c r="B167" t="s">
        <v>19</v>
      </c>
      <c r="C167" t="s">
        <v>25</v>
      </c>
      <c r="D167">
        <v>1</v>
      </c>
      <c r="E167" t="s">
        <v>21</v>
      </c>
      <c r="F167">
        <v>1</v>
      </c>
      <c r="G167" t="s">
        <v>29</v>
      </c>
      <c r="H167">
        <v>1</v>
      </c>
      <c r="I167">
        <v>2341</v>
      </c>
      <c r="J167">
        <v>13</v>
      </c>
      <c r="K167">
        <v>3</v>
      </c>
      <c r="L167">
        <v>1</v>
      </c>
      <c r="M167">
        <v>1</v>
      </c>
      <c r="N167">
        <v>6</v>
      </c>
      <c r="O167">
        <v>3</v>
      </c>
      <c r="P167">
        <v>1</v>
      </c>
      <c r="Q167">
        <v>0</v>
      </c>
      <c r="R167">
        <v>0</v>
      </c>
      <c r="S167" t="s">
        <v>34</v>
      </c>
      <c r="T167" t="s">
        <v>24</v>
      </c>
      <c r="U167" t="str">
        <f>IF(Table1[[#This Row],[YearsSince
LastPromotion]]&gt; 4, "Delayed", "Normal")</f>
        <v>Normal</v>
      </c>
      <c r="V167" t="str">
        <f>IF(Table1[[#This Row],[Years
InCurrentRole]]&gt;4, "Role Stagnent", "Normal")</f>
        <v>Normal</v>
      </c>
      <c r="W167" t="str">
        <f>IF(AND(Table1[[#This Row],[Years
InCurrentRole]]&gt; 4, Table1[[#This Row],[Performance
Rating]]&gt;=3), "High Risk", "Normal")</f>
        <v>Normal</v>
      </c>
      <c r="X167" t="str">
        <f>IF(Table1[[#This Row],[Performance
Rating]]&gt;=4, "High Performer", "Low Performer")</f>
        <v>Low Performer</v>
      </c>
    </row>
    <row r="168" spans="2:24" x14ac:dyDescent="0.3">
      <c r="B168" t="s">
        <v>19</v>
      </c>
      <c r="C168" t="s">
        <v>20</v>
      </c>
      <c r="D168">
        <v>1</v>
      </c>
      <c r="E168" t="s">
        <v>21</v>
      </c>
      <c r="F168">
        <v>2</v>
      </c>
      <c r="G168" t="s">
        <v>32</v>
      </c>
      <c r="H168">
        <v>4</v>
      </c>
      <c r="I168">
        <v>6653</v>
      </c>
      <c r="J168">
        <v>15</v>
      </c>
      <c r="K168">
        <v>3</v>
      </c>
      <c r="L168">
        <v>0</v>
      </c>
      <c r="M168">
        <v>7</v>
      </c>
      <c r="N168">
        <v>6</v>
      </c>
      <c r="O168">
        <v>3</v>
      </c>
      <c r="P168">
        <v>1</v>
      </c>
      <c r="Q168">
        <v>0</v>
      </c>
      <c r="R168">
        <v>0</v>
      </c>
      <c r="S168" t="s">
        <v>34</v>
      </c>
      <c r="T168" t="s">
        <v>24</v>
      </c>
      <c r="U168" t="str">
        <f>IF(Table1[[#This Row],[YearsSince
LastPromotion]]&gt; 4, "Delayed", "Normal")</f>
        <v>Normal</v>
      </c>
      <c r="V168" t="str">
        <f>IF(Table1[[#This Row],[Years
InCurrentRole]]&gt;4, "Role Stagnent", "Normal")</f>
        <v>Normal</v>
      </c>
      <c r="W168" t="str">
        <f>IF(AND(Table1[[#This Row],[Years
InCurrentRole]]&gt; 4, Table1[[#This Row],[Performance
Rating]]&gt;=3), "High Risk", "Normal")</f>
        <v>Normal</v>
      </c>
      <c r="X168" t="str">
        <f>IF(Table1[[#This Row],[Performance
Rating]]&gt;=4, "High Performer", "Low Performer")</f>
        <v>Low Performer</v>
      </c>
    </row>
    <row r="169" spans="2:24" x14ac:dyDescent="0.3">
      <c r="B169" t="s">
        <v>19</v>
      </c>
      <c r="C169" t="s">
        <v>25</v>
      </c>
      <c r="D169">
        <v>1</v>
      </c>
      <c r="E169" t="s">
        <v>28</v>
      </c>
      <c r="F169">
        <v>1</v>
      </c>
      <c r="G169" t="s">
        <v>26</v>
      </c>
      <c r="H169">
        <v>4</v>
      </c>
      <c r="I169">
        <v>2177</v>
      </c>
      <c r="J169">
        <v>17</v>
      </c>
      <c r="K169">
        <v>3</v>
      </c>
      <c r="L169">
        <v>1</v>
      </c>
      <c r="M169">
        <v>7</v>
      </c>
      <c r="N169">
        <v>6</v>
      </c>
      <c r="O169">
        <v>3</v>
      </c>
      <c r="P169">
        <v>1</v>
      </c>
      <c r="Q169">
        <v>0</v>
      </c>
      <c r="R169">
        <v>0</v>
      </c>
      <c r="S169" t="s">
        <v>34</v>
      </c>
      <c r="T169" t="s">
        <v>24</v>
      </c>
      <c r="U169" t="str">
        <f>IF(Table1[[#This Row],[YearsSince
LastPromotion]]&gt; 4, "Delayed", "Normal")</f>
        <v>Normal</v>
      </c>
      <c r="V169" t="str">
        <f>IF(Table1[[#This Row],[Years
InCurrentRole]]&gt;4, "Role Stagnent", "Normal")</f>
        <v>Normal</v>
      </c>
      <c r="W169" t="str">
        <f>IF(AND(Table1[[#This Row],[Years
InCurrentRole]]&gt; 4, Table1[[#This Row],[Performance
Rating]]&gt;=3), "High Risk", "Normal")</f>
        <v>Normal</v>
      </c>
      <c r="X169" t="str">
        <f>IF(Table1[[#This Row],[Performance
Rating]]&gt;=4, "High Performer", "Low Performer")</f>
        <v>Low Performer</v>
      </c>
    </row>
    <row r="170" spans="2:24" x14ac:dyDescent="0.3">
      <c r="B170" t="s">
        <v>19</v>
      </c>
      <c r="C170" t="s">
        <v>25</v>
      </c>
      <c r="D170">
        <v>1</v>
      </c>
      <c r="E170" t="s">
        <v>28</v>
      </c>
      <c r="F170">
        <v>2</v>
      </c>
      <c r="G170" t="s">
        <v>29</v>
      </c>
      <c r="H170">
        <v>3</v>
      </c>
      <c r="I170">
        <v>5094</v>
      </c>
      <c r="J170">
        <v>14</v>
      </c>
      <c r="K170">
        <v>3</v>
      </c>
      <c r="L170">
        <v>0</v>
      </c>
      <c r="M170">
        <v>10</v>
      </c>
      <c r="N170">
        <v>6</v>
      </c>
      <c r="O170">
        <v>3</v>
      </c>
      <c r="P170">
        <v>1</v>
      </c>
      <c r="Q170">
        <v>0</v>
      </c>
      <c r="R170">
        <v>0</v>
      </c>
      <c r="S170" t="s">
        <v>34</v>
      </c>
      <c r="T170" t="s">
        <v>24</v>
      </c>
      <c r="U170" t="str">
        <f>IF(Table1[[#This Row],[YearsSince
LastPromotion]]&gt; 4, "Delayed", "Normal")</f>
        <v>Normal</v>
      </c>
      <c r="V170" t="str">
        <f>IF(Table1[[#This Row],[Years
InCurrentRole]]&gt;4, "Role Stagnent", "Normal")</f>
        <v>Normal</v>
      </c>
      <c r="W170" t="str">
        <f>IF(AND(Table1[[#This Row],[Years
InCurrentRole]]&gt; 4, Table1[[#This Row],[Performance
Rating]]&gt;=3), "High Risk", "Normal")</f>
        <v>Normal</v>
      </c>
      <c r="X170" t="str">
        <f>IF(Table1[[#This Row],[Performance
Rating]]&gt;=4, "High Performer", "Low Performer")</f>
        <v>Low Performer</v>
      </c>
    </row>
    <row r="171" spans="2:24" x14ac:dyDescent="0.3">
      <c r="B171" t="s">
        <v>19</v>
      </c>
      <c r="C171" t="s">
        <v>25</v>
      </c>
      <c r="D171">
        <v>1</v>
      </c>
      <c r="E171" t="s">
        <v>28</v>
      </c>
      <c r="F171">
        <v>2</v>
      </c>
      <c r="G171" t="s">
        <v>31</v>
      </c>
      <c r="H171">
        <v>4</v>
      </c>
      <c r="I171">
        <v>6781</v>
      </c>
      <c r="J171">
        <v>23</v>
      </c>
      <c r="K171">
        <v>4</v>
      </c>
      <c r="L171">
        <v>0</v>
      </c>
      <c r="M171">
        <v>14</v>
      </c>
      <c r="N171">
        <v>6</v>
      </c>
      <c r="O171">
        <v>3</v>
      </c>
      <c r="P171">
        <v>1</v>
      </c>
      <c r="Q171">
        <v>0</v>
      </c>
      <c r="R171">
        <v>0</v>
      </c>
      <c r="S171" t="s">
        <v>34</v>
      </c>
      <c r="T171" t="s">
        <v>24</v>
      </c>
      <c r="U171" t="str">
        <f>IF(Table1[[#This Row],[YearsSince
LastPromotion]]&gt; 4, "Delayed", "Normal")</f>
        <v>Normal</v>
      </c>
      <c r="V171" t="str">
        <f>IF(Table1[[#This Row],[Years
InCurrentRole]]&gt;4, "Role Stagnent", "Normal")</f>
        <v>Normal</v>
      </c>
      <c r="W171" t="str">
        <f>IF(AND(Table1[[#This Row],[Years
InCurrentRole]]&gt; 4, Table1[[#This Row],[Performance
Rating]]&gt;=3), "High Risk", "Normal")</f>
        <v>Normal</v>
      </c>
      <c r="X171" t="str">
        <f>IF(Table1[[#This Row],[Performance
Rating]]&gt;=4, "High Performer", "Low Performer")</f>
        <v>High Performer</v>
      </c>
    </row>
    <row r="172" spans="2:24" x14ac:dyDescent="0.3">
      <c r="B172" t="s">
        <v>19</v>
      </c>
      <c r="C172" t="s">
        <v>25</v>
      </c>
      <c r="D172">
        <v>1</v>
      </c>
      <c r="E172" t="s">
        <v>21</v>
      </c>
      <c r="F172">
        <v>3</v>
      </c>
      <c r="G172" t="s">
        <v>35</v>
      </c>
      <c r="H172">
        <v>1</v>
      </c>
      <c r="I172">
        <v>13191</v>
      </c>
      <c r="J172">
        <v>17</v>
      </c>
      <c r="K172">
        <v>3</v>
      </c>
      <c r="L172">
        <v>0</v>
      </c>
      <c r="M172">
        <v>20</v>
      </c>
      <c r="N172">
        <v>6</v>
      </c>
      <c r="O172">
        <v>3</v>
      </c>
      <c r="P172">
        <v>1</v>
      </c>
      <c r="Q172">
        <v>0</v>
      </c>
      <c r="R172">
        <v>0</v>
      </c>
      <c r="S172" t="s">
        <v>34</v>
      </c>
      <c r="T172" t="s">
        <v>24</v>
      </c>
      <c r="U172" t="str">
        <f>IF(Table1[[#This Row],[YearsSince
LastPromotion]]&gt; 4, "Delayed", "Normal")</f>
        <v>Normal</v>
      </c>
      <c r="V172" t="str">
        <f>IF(Table1[[#This Row],[Years
InCurrentRole]]&gt;4, "Role Stagnent", "Normal")</f>
        <v>Normal</v>
      </c>
      <c r="W172" t="str">
        <f>IF(AND(Table1[[#This Row],[Years
InCurrentRole]]&gt; 4, Table1[[#This Row],[Performance
Rating]]&gt;=3), "High Risk", "Normal")</f>
        <v>Normal</v>
      </c>
      <c r="X172" t="str">
        <f>IF(Table1[[#This Row],[Performance
Rating]]&gt;=4, "High Performer", "Low Performer")</f>
        <v>Low Performer</v>
      </c>
    </row>
    <row r="173" spans="2:24" x14ac:dyDescent="0.3">
      <c r="B173" t="s">
        <v>19</v>
      </c>
      <c r="C173" t="s">
        <v>25</v>
      </c>
      <c r="D173">
        <v>1</v>
      </c>
      <c r="E173" t="s">
        <v>21</v>
      </c>
      <c r="F173">
        <v>1</v>
      </c>
      <c r="G173" t="s">
        <v>26</v>
      </c>
      <c r="H173">
        <v>2</v>
      </c>
      <c r="I173">
        <v>2836</v>
      </c>
      <c r="J173">
        <v>13</v>
      </c>
      <c r="K173">
        <v>3</v>
      </c>
      <c r="L173">
        <v>0</v>
      </c>
      <c r="M173">
        <v>1</v>
      </c>
      <c r="N173">
        <v>0</v>
      </c>
      <c r="O173">
        <v>4</v>
      </c>
      <c r="P173">
        <v>1</v>
      </c>
      <c r="Q173">
        <v>0</v>
      </c>
      <c r="R173">
        <v>0</v>
      </c>
      <c r="S173" t="s">
        <v>34</v>
      </c>
      <c r="T173" t="s">
        <v>24</v>
      </c>
      <c r="U173" t="str">
        <f>IF(Table1[[#This Row],[YearsSince
LastPromotion]]&gt; 4, "Delayed", "Normal")</f>
        <v>Normal</v>
      </c>
      <c r="V173" t="str">
        <f>IF(Table1[[#This Row],[Years
InCurrentRole]]&gt;4, "Role Stagnent", "Normal")</f>
        <v>Normal</v>
      </c>
      <c r="W173" t="str">
        <f>IF(AND(Table1[[#This Row],[Years
InCurrentRole]]&gt; 4, Table1[[#This Row],[Performance
Rating]]&gt;=3), "High Risk", "Normal")</f>
        <v>Normal</v>
      </c>
      <c r="X173" t="str">
        <f>IF(Table1[[#This Row],[Performance
Rating]]&gt;=4, "High Performer", "Low Performer")</f>
        <v>Low Performer</v>
      </c>
    </row>
    <row r="174" spans="2:24" x14ac:dyDescent="0.3">
      <c r="B174" t="s">
        <v>27</v>
      </c>
      <c r="C174" t="s">
        <v>20</v>
      </c>
      <c r="D174">
        <v>1</v>
      </c>
      <c r="E174" t="s">
        <v>28</v>
      </c>
      <c r="F174">
        <v>1</v>
      </c>
      <c r="G174" t="s">
        <v>30</v>
      </c>
      <c r="H174">
        <v>1</v>
      </c>
      <c r="I174">
        <v>2033</v>
      </c>
      <c r="J174">
        <v>18</v>
      </c>
      <c r="K174">
        <v>3</v>
      </c>
      <c r="L174">
        <v>1</v>
      </c>
      <c r="M174">
        <v>1</v>
      </c>
      <c r="N174">
        <v>2</v>
      </c>
      <c r="O174">
        <v>4</v>
      </c>
      <c r="P174">
        <v>1</v>
      </c>
      <c r="Q174">
        <v>0</v>
      </c>
      <c r="R174">
        <v>0</v>
      </c>
      <c r="S174" t="s">
        <v>34</v>
      </c>
      <c r="T174" t="s">
        <v>24</v>
      </c>
      <c r="U174" t="str">
        <f>IF(Table1[[#This Row],[YearsSince
LastPromotion]]&gt; 4, "Delayed", "Normal")</f>
        <v>Normal</v>
      </c>
      <c r="V174" t="str">
        <f>IF(Table1[[#This Row],[Years
InCurrentRole]]&gt;4, "Role Stagnent", "Normal")</f>
        <v>Normal</v>
      </c>
      <c r="W174" t="str">
        <f>IF(AND(Table1[[#This Row],[Years
InCurrentRole]]&gt; 4, Table1[[#This Row],[Performance
Rating]]&gt;=3), "High Risk", "Normal")</f>
        <v>Normal</v>
      </c>
      <c r="X174" t="str">
        <f>IF(Table1[[#This Row],[Performance
Rating]]&gt;=4, "High Performer", "Low Performer")</f>
        <v>Low Performer</v>
      </c>
    </row>
    <row r="175" spans="2:24" x14ac:dyDescent="0.3">
      <c r="B175" t="s">
        <v>19</v>
      </c>
      <c r="C175" t="s">
        <v>25</v>
      </c>
      <c r="D175">
        <v>1</v>
      </c>
      <c r="E175" t="s">
        <v>21</v>
      </c>
      <c r="F175">
        <v>2</v>
      </c>
      <c r="G175" t="s">
        <v>33</v>
      </c>
      <c r="H175">
        <v>2</v>
      </c>
      <c r="I175">
        <v>4765</v>
      </c>
      <c r="J175">
        <v>21</v>
      </c>
      <c r="K175">
        <v>4</v>
      </c>
      <c r="L175">
        <v>1</v>
      </c>
      <c r="M175">
        <v>4</v>
      </c>
      <c r="N175">
        <v>2</v>
      </c>
      <c r="O175">
        <v>4</v>
      </c>
      <c r="P175">
        <v>1</v>
      </c>
      <c r="Q175">
        <v>0</v>
      </c>
      <c r="R175">
        <v>0</v>
      </c>
      <c r="S175" t="s">
        <v>34</v>
      </c>
      <c r="T175" t="s">
        <v>24</v>
      </c>
      <c r="U175" t="str">
        <f>IF(Table1[[#This Row],[YearsSince
LastPromotion]]&gt; 4, "Delayed", "Normal")</f>
        <v>Normal</v>
      </c>
      <c r="V175" t="str">
        <f>IF(Table1[[#This Row],[Years
InCurrentRole]]&gt;4, "Role Stagnent", "Normal")</f>
        <v>Normal</v>
      </c>
      <c r="W175" t="str">
        <f>IF(AND(Table1[[#This Row],[Years
InCurrentRole]]&gt; 4, Table1[[#This Row],[Performance
Rating]]&gt;=3), "High Risk", "Normal")</f>
        <v>Normal</v>
      </c>
      <c r="X175" t="str">
        <f>IF(Table1[[#This Row],[Performance
Rating]]&gt;=4, "High Performer", "Low Performer")</f>
        <v>High Performer</v>
      </c>
    </row>
    <row r="176" spans="2:24" x14ac:dyDescent="0.3">
      <c r="B176" t="s">
        <v>19</v>
      </c>
      <c r="C176" t="s">
        <v>25</v>
      </c>
      <c r="D176">
        <v>1</v>
      </c>
      <c r="E176" t="s">
        <v>21</v>
      </c>
      <c r="F176">
        <v>2</v>
      </c>
      <c r="G176" t="s">
        <v>33</v>
      </c>
      <c r="H176">
        <v>3</v>
      </c>
      <c r="I176">
        <v>5258</v>
      </c>
      <c r="J176">
        <v>14</v>
      </c>
      <c r="K176">
        <v>3</v>
      </c>
      <c r="L176">
        <v>0</v>
      </c>
      <c r="M176">
        <v>7</v>
      </c>
      <c r="N176">
        <v>2</v>
      </c>
      <c r="O176">
        <v>4</v>
      </c>
      <c r="P176">
        <v>1</v>
      </c>
      <c r="Q176">
        <v>0</v>
      </c>
      <c r="R176">
        <v>0</v>
      </c>
      <c r="S176" t="s">
        <v>34</v>
      </c>
      <c r="T176" t="s">
        <v>24</v>
      </c>
      <c r="U176" t="str">
        <f>IF(Table1[[#This Row],[YearsSince
LastPromotion]]&gt; 4, "Delayed", "Normal")</f>
        <v>Normal</v>
      </c>
      <c r="V176" t="str">
        <f>IF(Table1[[#This Row],[Years
InCurrentRole]]&gt;4, "Role Stagnent", "Normal")</f>
        <v>Normal</v>
      </c>
      <c r="W176" t="str">
        <f>IF(AND(Table1[[#This Row],[Years
InCurrentRole]]&gt; 4, Table1[[#This Row],[Performance
Rating]]&gt;=3), "High Risk", "Normal")</f>
        <v>Normal</v>
      </c>
      <c r="X176" t="str">
        <f>IF(Table1[[#This Row],[Performance
Rating]]&gt;=4, "High Performer", "Low Performer")</f>
        <v>Low Performer</v>
      </c>
    </row>
    <row r="177" spans="2:24" x14ac:dyDescent="0.3">
      <c r="B177" t="s">
        <v>27</v>
      </c>
      <c r="C177" t="s">
        <v>25</v>
      </c>
      <c r="D177">
        <v>1</v>
      </c>
      <c r="E177" t="s">
        <v>21</v>
      </c>
      <c r="F177">
        <v>1</v>
      </c>
      <c r="G177" t="s">
        <v>29</v>
      </c>
      <c r="H177">
        <v>1</v>
      </c>
      <c r="I177">
        <v>3646</v>
      </c>
      <c r="J177">
        <v>23</v>
      </c>
      <c r="K177">
        <v>4</v>
      </c>
      <c r="L177">
        <v>0</v>
      </c>
      <c r="M177">
        <v>11</v>
      </c>
      <c r="N177">
        <v>2</v>
      </c>
      <c r="O177">
        <v>4</v>
      </c>
      <c r="P177">
        <v>1</v>
      </c>
      <c r="Q177">
        <v>0</v>
      </c>
      <c r="R177">
        <v>0</v>
      </c>
      <c r="S177" t="s">
        <v>34</v>
      </c>
      <c r="T177" t="s">
        <v>24</v>
      </c>
      <c r="U177" t="str">
        <f>IF(Table1[[#This Row],[YearsSince
LastPromotion]]&gt; 4, "Delayed", "Normal")</f>
        <v>Normal</v>
      </c>
      <c r="V177" t="str">
        <f>IF(Table1[[#This Row],[Years
InCurrentRole]]&gt;4, "Role Stagnent", "Normal")</f>
        <v>Normal</v>
      </c>
      <c r="W177" t="str">
        <f>IF(AND(Table1[[#This Row],[Years
InCurrentRole]]&gt; 4, Table1[[#This Row],[Performance
Rating]]&gt;=3), "High Risk", "Normal")</f>
        <v>Normal</v>
      </c>
      <c r="X177" t="str">
        <f>IF(Table1[[#This Row],[Performance
Rating]]&gt;=4, "High Performer", "Low Performer")</f>
        <v>High Performer</v>
      </c>
    </row>
    <row r="178" spans="2:24" x14ac:dyDescent="0.3">
      <c r="B178" t="s">
        <v>19</v>
      </c>
      <c r="C178" t="s">
        <v>25</v>
      </c>
      <c r="D178">
        <v>1</v>
      </c>
      <c r="E178" t="s">
        <v>21</v>
      </c>
      <c r="F178">
        <v>2</v>
      </c>
      <c r="G178" t="s">
        <v>31</v>
      </c>
      <c r="H178">
        <v>1</v>
      </c>
      <c r="I178">
        <v>5093</v>
      </c>
      <c r="J178">
        <v>11</v>
      </c>
      <c r="K178">
        <v>3</v>
      </c>
      <c r="L178">
        <v>1</v>
      </c>
      <c r="M178">
        <v>16</v>
      </c>
      <c r="N178">
        <v>2</v>
      </c>
      <c r="O178">
        <v>4</v>
      </c>
      <c r="P178">
        <v>1</v>
      </c>
      <c r="Q178">
        <v>0</v>
      </c>
      <c r="R178">
        <v>0</v>
      </c>
      <c r="S178" t="s">
        <v>34</v>
      </c>
      <c r="T178" t="s">
        <v>24</v>
      </c>
      <c r="U178" t="str">
        <f>IF(Table1[[#This Row],[YearsSince
LastPromotion]]&gt; 4, "Delayed", "Normal")</f>
        <v>Normal</v>
      </c>
      <c r="V178" t="str">
        <f>IF(Table1[[#This Row],[Years
InCurrentRole]]&gt;4, "Role Stagnent", "Normal")</f>
        <v>Normal</v>
      </c>
      <c r="W178" t="str">
        <f>IF(AND(Table1[[#This Row],[Years
InCurrentRole]]&gt; 4, Table1[[#This Row],[Performance
Rating]]&gt;=3), "High Risk", "Normal")</f>
        <v>Normal</v>
      </c>
      <c r="X178" t="str">
        <f>IF(Table1[[#This Row],[Performance
Rating]]&gt;=4, "High Performer", "Low Performer")</f>
        <v>Low Performer</v>
      </c>
    </row>
    <row r="179" spans="2:24" x14ac:dyDescent="0.3">
      <c r="B179" t="s">
        <v>19</v>
      </c>
      <c r="C179" t="s">
        <v>25</v>
      </c>
      <c r="D179">
        <v>1</v>
      </c>
      <c r="E179" t="s">
        <v>28</v>
      </c>
      <c r="F179">
        <v>2</v>
      </c>
      <c r="G179" t="s">
        <v>31</v>
      </c>
      <c r="H179">
        <v>4</v>
      </c>
      <c r="I179">
        <v>5163</v>
      </c>
      <c r="J179">
        <v>14</v>
      </c>
      <c r="K179">
        <v>3</v>
      </c>
      <c r="L179">
        <v>1</v>
      </c>
      <c r="M179">
        <v>17</v>
      </c>
      <c r="N179">
        <v>2</v>
      </c>
      <c r="O179">
        <v>4</v>
      </c>
      <c r="P179">
        <v>1</v>
      </c>
      <c r="Q179">
        <v>0</v>
      </c>
      <c r="R179">
        <v>0</v>
      </c>
      <c r="S179" t="s">
        <v>34</v>
      </c>
      <c r="T179" t="s">
        <v>24</v>
      </c>
      <c r="U179" t="str">
        <f>IF(Table1[[#This Row],[YearsSince
LastPromotion]]&gt; 4, "Delayed", "Normal")</f>
        <v>Normal</v>
      </c>
      <c r="V179" t="str">
        <f>IF(Table1[[#This Row],[Years
InCurrentRole]]&gt;4, "Role Stagnent", "Normal")</f>
        <v>Normal</v>
      </c>
      <c r="W179" t="str">
        <f>IF(AND(Table1[[#This Row],[Years
InCurrentRole]]&gt; 4, Table1[[#This Row],[Performance
Rating]]&gt;=3), "High Risk", "Normal")</f>
        <v>Normal</v>
      </c>
      <c r="X179" t="str">
        <f>IF(Table1[[#This Row],[Performance
Rating]]&gt;=4, "High Performer", "Low Performer")</f>
        <v>Low Performer</v>
      </c>
    </row>
    <row r="180" spans="2:24" x14ac:dyDescent="0.3">
      <c r="B180" t="s">
        <v>19</v>
      </c>
      <c r="C180" t="s">
        <v>25</v>
      </c>
      <c r="D180">
        <v>1</v>
      </c>
      <c r="E180" t="s">
        <v>28</v>
      </c>
      <c r="F180">
        <v>3</v>
      </c>
      <c r="G180" t="s">
        <v>31</v>
      </c>
      <c r="H180">
        <v>4</v>
      </c>
      <c r="I180">
        <v>10883</v>
      </c>
      <c r="J180">
        <v>20</v>
      </c>
      <c r="K180">
        <v>4</v>
      </c>
      <c r="L180">
        <v>1</v>
      </c>
      <c r="M180">
        <v>19</v>
      </c>
      <c r="N180">
        <v>2</v>
      </c>
      <c r="O180">
        <v>4</v>
      </c>
      <c r="P180">
        <v>1</v>
      </c>
      <c r="Q180">
        <v>0</v>
      </c>
      <c r="R180">
        <v>0</v>
      </c>
      <c r="S180" t="s">
        <v>34</v>
      </c>
      <c r="T180" t="s">
        <v>24</v>
      </c>
      <c r="U180" t="str">
        <f>IF(Table1[[#This Row],[YearsSince
LastPromotion]]&gt; 4, "Delayed", "Normal")</f>
        <v>Normal</v>
      </c>
      <c r="V180" t="str">
        <f>IF(Table1[[#This Row],[Years
InCurrentRole]]&gt;4, "Role Stagnent", "Normal")</f>
        <v>Normal</v>
      </c>
      <c r="W180" t="str">
        <f>IF(AND(Table1[[#This Row],[Years
InCurrentRole]]&gt; 4, Table1[[#This Row],[Performance
Rating]]&gt;=3), "High Risk", "Normal")</f>
        <v>Normal</v>
      </c>
      <c r="X180" t="str">
        <f>IF(Table1[[#This Row],[Performance
Rating]]&gt;=4, "High Performer", "Low Performer")</f>
        <v>High Performer</v>
      </c>
    </row>
    <row r="181" spans="2:24" x14ac:dyDescent="0.3">
      <c r="B181" t="s">
        <v>19</v>
      </c>
      <c r="C181" t="s">
        <v>25</v>
      </c>
      <c r="D181">
        <v>1</v>
      </c>
      <c r="E181" t="s">
        <v>28</v>
      </c>
      <c r="F181">
        <v>5</v>
      </c>
      <c r="G181" t="s">
        <v>22</v>
      </c>
      <c r="H181">
        <v>3</v>
      </c>
      <c r="I181">
        <v>18711</v>
      </c>
      <c r="J181">
        <v>13</v>
      </c>
      <c r="K181">
        <v>3</v>
      </c>
      <c r="L181">
        <v>1</v>
      </c>
      <c r="M181">
        <v>23</v>
      </c>
      <c r="N181">
        <v>2</v>
      </c>
      <c r="O181">
        <v>4</v>
      </c>
      <c r="P181">
        <v>1</v>
      </c>
      <c r="Q181">
        <v>0</v>
      </c>
      <c r="R181">
        <v>0</v>
      </c>
      <c r="S181" t="s">
        <v>34</v>
      </c>
      <c r="T181" t="s">
        <v>24</v>
      </c>
      <c r="U181" t="str">
        <f>IF(Table1[[#This Row],[YearsSince
LastPromotion]]&gt; 4, "Delayed", "Normal")</f>
        <v>Normal</v>
      </c>
      <c r="V181" t="str">
        <f>IF(Table1[[#This Row],[Years
InCurrentRole]]&gt;4, "Role Stagnent", "Normal")</f>
        <v>Normal</v>
      </c>
      <c r="W181" t="str">
        <f>IF(AND(Table1[[#This Row],[Years
InCurrentRole]]&gt; 4, Table1[[#This Row],[Performance
Rating]]&gt;=3), "High Risk", "Normal")</f>
        <v>Normal</v>
      </c>
      <c r="X181" t="str">
        <f>IF(Table1[[#This Row],[Performance
Rating]]&gt;=4, "High Performer", "Low Performer")</f>
        <v>Low Performer</v>
      </c>
    </row>
    <row r="182" spans="2:24" x14ac:dyDescent="0.3">
      <c r="B182" t="s">
        <v>27</v>
      </c>
      <c r="C182" t="s">
        <v>25</v>
      </c>
      <c r="D182">
        <v>1</v>
      </c>
      <c r="E182" t="s">
        <v>21</v>
      </c>
      <c r="F182">
        <v>1</v>
      </c>
      <c r="G182" t="s">
        <v>26</v>
      </c>
      <c r="H182">
        <v>2</v>
      </c>
      <c r="I182">
        <v>1261</v>
      </c>
      <c r="J182">
        <v>12</v>
      </c>
      <c r="K182">
        <v>3</v>
      </c>
      <c r="L182">
        <v>0</v>
      </c>
      <c r="M182">
        <v>1</v>
      </c>
      <c r="N182">
        <v>3</v>
      </c>
      <c r="O182">
        <v>4</v>
      </c>
      <c r="P182">
        <v>1</v>
      </c>
      <c r="Q182">
        <v>0</v>
      </c>
      <c r="R182">
        <v>0</v>
      </c>
      <c r="S182" t="s">
        <v>34</v>
      </c>
      <c r="T182" t="s">
        <v>24</v>
      </c>
      <c r="U182" t="str">
        <f>IF(Table1[[#This Row],[YearsSince
LastPromotion]]&gt; 4, "Delayed", "Normal")</f>
        <v>Normal</v>
      </c>
      <c r="V182" t="str">
        <f>IF(Table1[[#This Row],[Years
InCurrentRole]]&gt;4, "Role Stagnent", "Normal")</f>
        <v>Normal</v>
      </c>
      <c r="W182" t="str">
        <f>IF(AND(Table1[[#This Row],[Years
InCurrentRole]]&gt; 4, Table1[[#This Row],[Performance
Rating]]&gt;=3), "High Risk", "Normal")</f>
        <v>Normal</v>
      </c>
      <c r="X182" t="str">
        <f>IF(Table1[[#This Row],[Performance
Rating]]&gt;=4, "High Performer", "Low Performer")</f>
        <v>Low Performer</v>
      </c>
    </row>
    <row r="183" spans="2:24" x14ac:dyDescent="0.3">
      <c r="B183" t="s">
        <v>27</v>
      </c>
      <c r="C183" t="s">
        <v>36</v>
      </c>
      <c r="D183">
        <v>1</v>
      </c>
      <c r="E183" t="s">
        <v>28</v>
      </c>
      <c r="F183">
        <v>1</v>
      </c>
      <c r="G183" t="s">
        <v>36</v>
      </c>
      <c r="H183">
        <v>4</v>
      </c>
      <c r="I183">
        <v>2564</v>
      </c>
      <c r="J183">
        <v>12</v>
      </c>
      <c r="K183">
        <v>3</v>
      </c>
      <c r="L183">
        <v>0</v>
      </c>
      <c r="M183">
        <v>1</v>
      </c>
      <c r="N183">
        <v>3</v>
      </c>
      <c r="O183">
        <v>4</v>
      </c>
      <c r="P183">
        <v>1</v>
      </c>
      <c r="Q183">
        <v>0</v>
      </c>
      <c r="R183">
        <v>0</v>
      </c>
      <c r="S183" t="s">
        <v>34</v>
      </c>
      <c r="T183" t="s">
        <v>24</v>
      </c>
      <c r="U183" t="str">
        <f>IF(Table1[[#This Row],[YearsSince
LastPromotion]]&gt; 4, "Delayed", "Normal")</f>
        <v>Normal</v>
      </c>
      <c r="V183" t="str">
        <f>IF(Table1[[#This Row],[Years
InCurrentRole]]&gt;4, "Role Stagnent", "Normal")</f>
        <v>Normal</v>
      </c>
      <c r="W183" t="str">
        <f>IF(AND(Table1[[#This Row],[Years
InCurrentRole]]&gt; 4, Table1[[#This Row],[Performance
Rating]]&gt;=3), "High Risk", "Normal")</f>
        <v>Normal</v>
      </c>
      <c r="X183" t="str">
        <f>IF(Table1[[#This Row],[Performance
Rating]]&gt;=4, "High Performer", "Low Performer")</f>
        <v>Low Performer</v>
      </c>
    </row>
    <row r="184" spans="2:24" x14ac:dyDescent="0.3">
      <c r="B184" t="s">
        <v>27</v>
      </c>
      <c r="C184" t="s">
        <v>20</v>
      </c>
      <c r="D184">
        <v>1</v>
      </c>
      <c r="E184" t="s">
        <v>28</v>
      </c>
      <c r="F184">
        <v>1</v>
      </c>
      <c r="G184" t="s">
        <v>30</v>
      </c>
      <c r="H184">
        <v>2</v>
      </c>
      <c r="I184">
        <v>2121</v>
      </c>
      <c r="J184">
        <v>13</v>
      </c>
      <c r="K184">
        <v>3</v>
      </c>
      <c r="L184">
        <v>0</v>
      </c>
      <c r="M184">
        <v>1</v>
      </c>
      <c r="N184">
        <v>3</v>
      </c>
      <c r="O184">
        <v>4</v>
      </c>
      <c r="P184">
        <v>1</v>
      </c>
      <c r="Q184">
        <v>0</v>
      </c>
      <c r="R184">
        <v>0</v>
      </c>
      <c r="S184" t="s">
        <v>34</v>
      </c>
      <c r="T184" t="s">
        <v>24</v>
      </c>
      <c r="U184" t="str">
        <f>IF(Table1[[#This Row],[YearsSince
LastPromotion]]&gt; 4, "Delayed", "Normal")</f>
        <v>Normal</v>
      </c>
      <c r="V184" t="str">
        <f>IF(Table1[[#This Row],[Years
InCurrentRole]]&gt;4, "Role Stagnent", "Normal")</f>
        <v>Normal</v>
      </c>
      <c r="W184" t="str">
        <f>IF(AND(Table1[[#This Row],[Years
InCurrentRole]]&gt; 4, Table1[[#This Row],[Performance
Rating]]&gt;=3), "High Risk", "Normal")</f>
        <v>Normal</v>
      </c>
      <c r="X184" t="str">
        <f>IF(Table1[[#This Row],[Performance
Rating]]&gt;=4, "High Performer", "Low Performer")</f>
        <v>Low Performer</v>
      </c>
    </row>
    <row r="185" spans="2:24" x14ac:dyDescent="0.3">
      <c r="B185" t="s">
        <v>27</v>
      </c>
      <c r="C185" t="s">
        <v>20</v>
      </c>
      <c r="D185">
        <v>1</v>
      </c>
      <c r="E185" t="s">
        <v>21</v>
      </c>
      <c r="F185">
        <v>1</v>
      </c>
      <c r="G185" t="s">
        <v>30</v>
      </c>
      <c r="H185">
        <v>4</v>
      </c>
      <c r="I185">
        <v>2785</v>
      </c>
      <c r="J185">
        <v>14</v>
      </c>
      <c r="K185">
        <v>3</v>
      </c>
      <c r="L185">
        <v>0</v>
      </c>
      <c r="M185">
        <v>3</v>
      </c>
      <c r="N185">
        <v>3</v>
      </c>
      <c r="O185">
        <v>4</v>
      </c>
      <c r="P185">
        <v>1</v>
      </c>
      <c r="Q185">
        <v>0</v>
      </c>
      <c r="R185">
        <v>0</v>
      </c>
      <c r="S185" t="s">
        <v>34</v>
      </c>
      <c r="T185" t="s">
        <v>24</v>
      </c>
      <c r="U185" t="str">
        <f>IF(Table1[[#This Row],[YearsSince
LastPromotion]]&gt; 4, "Delayed", "Normal")</f>
        <v>Normal</v>
      </c>
      <c r="V185" t="str">
        <f>IF(Table1[[#This Row],[Years
InCurrentRole]]&gt;4, "Role Stagnent", "Normal")</f>
        <v>Normal</v>
      </c>
      <c r="W185" t="str">
        <f>IF(AND(Table1[[#This Row],[Years
InCurrentRole]]&gt; 4, Table1[[#This Row],[Performance
Rating]]&gt;=3), "High Risk", "Normal")</f>
        <v>Normal</v>
      </c>
      <c r="X185" t="str">
        <f>IF(Table1[[#This Row],[Performance
Rating]]&gt;=4, "High Performer", "Low Performer")</f>
        <v>Low Performer</v>
      </c>
    </row>
    <row r="186" spans="2:24" x14ac:dyDescent="0.3">
      <c r="B186" t="s">
        <v>19</v>
      </c>
      <c r="C186" t="s">
        <v>20</v>
      </c>
      <c r="D186">
        <v>1</v>
      </c>
      <c r="E186" t="s">
        <v>28</v>
      </c>
      <c r="F186">
        <v>5</v>
      </c>
      <c r="G186" t="s">
        <v>22</v>
      </c>
      <c r="H186">
        <v>3</v>
      </c>
      <c r="I186">
        <v>18303</v>
      </c>
      <c r="J186">
        <v>13</v>
      </c>
      <c r="K186">
        <v>3</v>
      </c>
      <c r="L186">
        <v>0</v>
      </c>
      <c r="M186">
        <v>21</v>
      </c>
      <c r="N186">
        <v>3</v>
      </c>
      <c r="O186">
        <v>4</v>
      </c>
      <c r="P186">
        <v>1</v>
      </c>
      <c r="Q186">
        <v>0</v>
      </c>
      <c r="R186">
        <v>0</v>
      </c>
      <c r="S186" t="s">
        <v>34</v>
      </c>
      <c r="T186" t="s">
        <v>24</v>
      </c>
      <c r="U186" t="str">
        <f>IF(Table1[[#This Row],[YearsSince
LastPromotion]]&gt; 4, "Delayed", "Normal")</f>
        <v>Normal</v>
      </c>
      <c r="V186" t="str">
        <f>IF(Table1[[#This Row],[Years
InCurrentRole]]&gt;4, "Role Stagnent", "Normal")</f>
        <v>Normal</v>
      </c>
      <c r="W186" t="str">
        <f>IF(AND(Table1[[#This Row],[Years
InCurrentRole]]&gt; 4, Table1[[#This Row],[Performance
Rating]]&gt;=3), "High Risk", "Normal")</f>
        <v>Normal</v>
      </c>
      <c r="X186" t="str">
        <f>IF(Table1[[#This Row],[Performance
Rating]]&gt;=4, "High Performer", "Low Performer")</f>
        <v>Low Performer</v>
      </c>
    </row>
    <row r="187" spans="2:24" x14ac:dyDescent="0.3">
      <c r="B187" t="s">
        <v>19</v>
      </c>
      <c r="C187" t="s">
        <v>25</v>
      </c>
      <c r="D187">
        <v>1</v>
      </c>
      <c r="E187" t="s">
        <v>28</v>
      </c>
      <c r="F187">
        <v>5</v>
      </c>
      <c r="G187" t="s">
        <v>35</v>
      </c>
      <c r="H187">
        <v>4</v>
      </c>
      <c r="I187">
        <v>18265</v>
      </c>
      <c r="J187">
        <v>12</v>
      </c>
      <c r="K187">
        <v>3</v>
      </c>
      <c r="L187">
        <v>0</v>
      </c>
      <c r="M187">
        <v>25</v>
      </c>
      <c r="N187">
        <v>3</v>
      </c>
      <c r="O187">
        <v>4</v>
      </c>
      <c r="P187">
        <v>1</v>
      </c>
      <c r="Q187">
        <v>0</v>
      </c>
      <c r="R187">
        <v>0</v>
      </c>
      <c r="S187" t="s">
        <v>34</v>
      </c>
      <c r="T187" t="s">
        <v>24</v>
      </c>
      <c r="U187" t="str">
        <f>IF(Table1[[#This Row],[YearsSince
LastPromotion]]&gt; 4, "Delayed", "Normal")</f>
        <v>Normal</v>
      </c>
      <c r="V187" t="str">
        <f>IF(Table1[[#This Row],[Years
InCurrentRole]]&gt;4, "Role Stagnent", "Normal")</f>
        <v>Normal</v>
      </c>
      <c r="W187" t="str">
        <f>IF(AND(Table1[[#This Row],[Years
InCurrentRole]]&gt; 4, Table1[[#This Row],[Performance
Rating]]&gt;=3), "High Risk", "Normal")</f>
        <v>Normal</v>
      </c>
      <c r="X187" t="str">
        <f>IF(Table1[[#This Row],[Performance
Rating]]&gt;=4, "High Performer", "Low Performer")</f>
        <v>Low Performer</v>
      </c>
    </row>
    <row r="188" spans="2:24" x14ac:dyDescent="0.3">
      <c r="B188" t="s">
        <v>19</v>
      </c>
      <c r="C188" t="s">
        <v>25</v>
      </c>
      <c r="D188">
        <v>1</v>
      </c>
      <c r="E188" t="s">
        <v>21</v>
      </c>
      <c r="F188">
        <v>3</v>
      </c>
      <c r="G188" t="s">
        <v>33</v>
      </c>
      <c r="H188">
        <v>3</v>
      </c>
      <c r="I188">
        <v>7861</v>
      </c>
      <c r="J188">
        <v>14</v>
      </c>
      <c r="K188">
        <v>3</v>
      </c>
      <c r="L188">
        <v>0</v>
      </c>
      <c r="M188">
        <v>10</v>
      </c>
      <c r="N188">
        <v>4</v>
      </c>
      <c r="O188">
        <v>4</v>
      </c>
      <c r="P188">
        <v>1</v>
      </c>
      <c r="Q188">
        <v>0</v>
      </c>
      <c r="R188">
        <v>0</v>
      </c>
      <c r="S188" t="s">
        <v>34</v>
      </c>
      <c r="T188" t="s">
        <v>24</v>
      </c>
      <c r="U188" t="str">
        <f>IF(Table1[[#This Row],[YearsSince
LastPromotion]]&gt; 4, "Delayed", "Normal")</f>
        <v>Normal</v>
      </c>
      <c r="V188" t="str">
        <f>IF(Table1[[#This Row],[Years
InCurrentRole]]&gt;4, "Role Stagnent", "Normal")</f>
        <v>Normal</v>
      </c>
      <c r="W188" t="str">
        <f>IF(AND(Table1[[#This Row],[Years
InCurrentRole]]&gt; 4, Table1[[#This Row],[Performance
Rating]]&gt;=3), "High Risk", "Normal")</f>
        <v>Normal</v>
      </c>
      <c r="X188" t="str">
        <f>IF(Table1[[#This Row],[Performance
Rating]]&gt;=4, "High Performer", "Low Performer")</f>
        <v>Low Performer</v>
      </c>
    </row>
    <row r="189" spans="2:24" x14ac:dyDescent="0.3">
      <c r="B189" t="s">
        <v>27</v>
      </c>
      <c r="C189" t="s">
        <v>20</v>
      </c>
      <c r="D189">
        <v>1</v>
      </c>
      <c r="E189" t="s">
        <v>28</v>
      </c>
      <c r="F189">
        <v>2</v>
      </c>
      <c r="G189" t="s">
        <v>30</v>
      </c>
      <c r="H189">
        <v>4</v>
      </c>
      <c r="I189">
        <v>2086</v>
      </c>
      <c r="J189">
        <v>14</v>
      </c>
      <c r="K189">
        <v>3</v>
      </c>
      <c r="L189">
        <v>1</v>
      </c>
      <c r="M189">
        <v>19</v>
      </c>
      <c r="N189">
        <v>6</v>
      </c>
      <c r="O189">
        <v>4</v>
      </c>
      <c r="P189">
        <v>1</v>
      </c>
      <c r="Q189">
        <v>0</v>
      </c>
      <c r="R189">
        <v>0</v>
      </c>
      <c r="S189" t="s">
        <v>34</v>
      </c>
      <c r="T189" t="s">
        <v>24</v>
      </c>
      <c r="U189" t="str">
        <f>IF(Table1[[#This Row],[YearsSince
LastPromotion]]&gt; 4, "Delayed", "Normal")</f>
        <v>Normal</v>
      </c>
      <c r="V189" t="str">
        <f>IF(Table1[[#This Row],[Years
InCurrentRole]]&gt;4, "Role Stagnent", "Normal")</f>
        <v>Normal</v>
      </c>
      <c r="W189" t="str">
        <f>IF(AND(Table1[[#This Row],[Years
InCurrentRole]]&gt; 4, Table1[[#This Row],[Performance
Rating]]&gt;=3), "High Risk", "Normal")</f>
        <v>Normal</v>
      </c>
      <c r="X189" t="str">
        <f>IF(Table1[[#This Row],[Performance
Rating]]&gt;=4, "High Performer", "Low Performer")</f>
        <v>Low Performer</v>
      </c>
    </row>
    <row r="190" spans="2:24" x14ac:dyDescent="0.3">
      <c r="B190" t="s">
        <v>19</v>
      </c>
      <c r="C190" t="s">
        <v>20</v>
      </c>
      <c r="D190">
        <v>1</v>
      </c>
      <c r="E190" t="s">
        <v>28</v>
      </c>
      <c r="F190">
        <v>3</v>
      </c>
      <c r="G190" t="s">
        <v>32</v>
      </c>
      <c r="H190">
        <v>3</v>
      </c>
      <c r="I190">
        <v>7082</v>
      </c>
      <c r="J190">
        <v>16</v>
      </c>
      <c r="K190">
        <v>3</v>
      </c>
      <c r="L190">
        <v>0</v>
      </c>
      <c r="M190">
        <v>21</v>
      </c>
      <c r="N190">
        <v>2</v>
      </c>
      <c r="O190">
        <v>3</v>
      </c>
      <c r="P190">
        <v>2</v>
      </c>
      <c r="Q190">
        <v>0</v>
      </c>
      <c r="R190">
        <v>0</v>
      </c>
      <c r="S190" t="s">
        <v>34</v>
      </c>
      <c r="T190" t="s">
        <v>24</v>
      </c>
      <c r="U190" t="str">
        <f>IF(Table1[[#This Row],[YearsSince
LastPromotion]]&gt; 4, "Delayed", "Normal")</f>
        <v>Normal</v>
      </c>
      <c r="V190" t="str">
        <f>IF(Table1[[#This Row],[Years
InCurrentRole]]&gt;4, "Role Stagnent", "Normal")</f>
        <v>Normal</v>
      </c>
      <c r="W190" t="str">
        <f>IF(AND(Table1[[#This Row],[Years
InCurrentRole]]&gt; 4, Table1[[#This Row],[Performance
Rating]]&gt;=3), "High Risk", "Normal")</f>
        <v>Normal</v>
      </c>
      <c r="X190" t="str">
        <f>IF(Table1[[#This Row],[Performance
Rating]]&gt;=4, "High Performer", "Low Performer")</f>
        <v>Low Performer</v>
      </c>
    </row>
    <row r="191" spans="2:24" x14ac:dyDescent="0.3">
      <c r="B191" t="s">
        <v>19</v>
      </c>
      <c r="C191" t="s">
        <v>25</v>
      </c>
      <c r="D191">
        <v>1</v>
      </c>
      <c r="E191" t="s">
        <v>28</v>
      </c>
      <c r="F191">
        <v>1</v>
      </c>
      <c r="G191" t="s">
        <v>29</v>
      </c>
      <c r="H191">
        <v>4</v>
      </c>
      <c r="I191">
        <v>2314</v>
      </c>
      <c r="J191">
        <v>12</v>
      </c>
      <c r="K191">
        <v>3</v>
      </c>
      <c r="L191">
        <v>1</v>
      </c>
      <c r="M191">
        <v>4</v>
      </c>
      <c r="N191">
        <v>2</v>
      </c>
      <c r="O191">
        <v>3</v>
      </c>
      <c r="P191">
        <v>3</v>
      </c>
      <c r="Q191">
        <v>0</v>
      </c>
      <c r="R191">
        <v>0</v>
      </c>
      <c r="S191" t="s">
        <v>34</v>
      </c>
      <c r="T191" t="s">
        <v>24</v>
      </c>
      <c r="U191" t="str">
        <f>IF(Table1[[#This Row],[YearsSince
LastPromotion]]&gt; 4, "Delayed", "Normal")</f>
        <v>Normal</v>
      </c>
      <c r="V191" t="str">
        <f>IF(Table1[[#This Row],[Years
InCurrentRole]]&gt;4, "Role Stagnent", "Normal")</f>
        <v>Normal</v>
      </c>
      <c r="W191" t="str">
        <f>IF(AND(Table1[[#This Row],[Years
InCurrentRole]]&gt; 4, Table1[[#This Row],[Performance
Rating]]&gt;=3), "High Risk", "Normal")</f>
        <v>Normal</v>
      </c>
      <c r="X191" t="str">
        <f>IF(Table1[[#This Row],[Performance
Rating]]&gt;=4, "High Performer", "Low Performer")</f>
        <v>Low Performer</v>
      </c>
    </row>
    <row r="192" spans="2:24" x14ac:dyDescent="0.3">
      <c r="B192" t="s">
        <v>19</v>
      </c>
      <c r="C192" t="s">
        <v>25</v>
      </c>
      <c r="D192">
        <v>1</v>
      </c>
      <c r="E192" t="s">
        <v>21</v>
      </c>
      <c r="F192">
        <v>1</v>
      </c>
      <c r="G192" t="s">
        <v>29</v>
      </c>
      <c r="H192">
        <v>2</v>
      </c>
      <c r="I192">
        <v>2332</v>
      </c>
      <c r="J192">
        <v>20</v>
      </c>
      <c r="K192">
        <v>4</v>
      </c>
      <c r="L192">
        <v>0</v>
      </c>
      <c r="M192">
        <v>5</v>
      </c>
      <c r="N192">
        <v>3</v>
      </c>
      <c r="O192">
        <v>3</v>
      </c>
      <c r="P192">
        <v>3</v>
      </c>
      <c r="Q192">
        <v>0</v>
      </c>
      <c r="R192">
        <v>0</v>
      </c>
      <c r="S192" t="s">
        <v>34</v>
      </c>
      <c r="T192" t="s">
        <v>24</v>
      </c>
      <c r="U192" t="str">
        <f>IF(Table1[[#This Row],[YearsSince
LastPromotion]]&gt; 4, "Delayed", "Normal")</f>
        <v>Normal</v>
      </c>
      <c r="V192" t="str">
        <f>IF(Table1[[#This Row],[Years
InCurrentRole]]&gt;4, "Role Stagnent", "Normal")</f>
        <v>Normal</v>
      </c>
      <c r="W192" t="str">
        <f>IF(AND(Table1[[#This Row],[Years
InCurrentRole]]&gt; 4, Table1[[#This Row],[Performance
Rating]]&gt;=3), "High Risk", "Normal")</f>
        <v>Normal</v>
      </c>
      <c r="X192" t="str">
        <f>IF(Table1[[#This Row],[Performance
Rating]]&gt;=4, "High Performer", "Low Performer")</f>
        <v>High Performer</v>
      </c>
    </row>
    <row r="193" spans="2:24" x14ac:dyDescent="0.3">
      <c r="B193" t="s">
        <v>19</v>
      </c>
      <c r="C193" t="s">
        <v>25</v>
      </c>
      <c r="D193">
        <v>1</v>
      </c>
      <c r="E193" t="s">
        <v>21</v>
      </c>
      <c r="F193">
        <v>2</v>
      </c>
      <c r="G193" t="s">
        <v>33</v>
      </c>
      <c r="H193">
        <v>4</v>
      </c>
      <c r="I193">
        <v>5070</v>
      </c>
      <c r="J193">
        <v>13</v>
      </c>
      <c r="K193">
        <v>3</v>
      </c>
      <c r="L193">
        <v>3</v>
      </c>
      <c r="M193">
        <v>20</v>
      </c>
      <c r="N193">
        <v>2</v>
      </c>
      <c r="O193">
        <v>3</v>
      </c>
      <c r="P193">
        <v>5</v>
      </c>
      <c r="Q193">
        <v>0</v>
      </c>
      <c r="R193">
        <v>0</v>
      </c>
      <c r="S193" t="s">
        <v>34</v>
      </c>
      <c r="T193" t="s">
        <v>37</v>
      </c>
      <c r="U193" t="str">
        <f>IF(Table1[[#This Row],[YearsSince
LastPromotion]]&gt; 4, "Delayed", "Normal")</f>
        <v>Normal</v>
      </c>
      <c r="V193" t="str">
        <f>IF(Table1[[#This Row],[Years
InCurrentRole]]&gt;4, "Role Stagnent", "Normal")</f>
        <v>Normal</v>
      </c>
      <c r="W193" t="str">
        <f>IF(AND(Table1[[#This Row],[Years
InCurrentRole]]&gt; 4, Table1[[#This Row],[Performance
Rating]]&gt;=3), "High Risk", "Normal")</f>
        <v>Normal</v>
      </c>
      <c r="X193" t="str">
        <f>IF(Table1[[#This Row],[Performance
Rating]]&gt;=4, "High Performer", "Low Performer")</f>
        <v>Low Performer</v>
      </c>
    </row>
    <row r="194" spans="2:24" x14ac:dyDescent="0.3">
      <c r="B194" t="s">
        <v>19</v>
      </c>
      <c r="C194" t="s">
        <v>25</v>
      </c>
      <c r="D194">
        <v>1</v>
      </c>
      <c r="E194" t="s">
        <v>21</v>
      </c>
      <c r="F194">
        <v>4</v>
      </c>
      <c r="G194" t="s">
        <v>22</v>
      </c>
      <c r="H194">
        <v>3</v>
      </c>
      <c r="I194">
        <v>14756</v>
      </c>
      <c r="J194">
        <v>14</v>
      </c>
      <c r="K194">
        <v>3</v>
      </c>
      <c r="L194">
        <v>3</v>
      </c>
      <c r="M194">
        <v>21</v>
      </c>
      <c r="N194">
        <v>2</v>
      </c>
      <c r="O194">
        <v>3</v>
      </c>
      <c r="P194">
        <v>5</v>
      </c>
      <c r="Q194">
        <v>0</v>
      </c>
      <c r="R194">
        <v>0</v>
      </c>
      <c r="S194" t="s">
        <v>34</v>
      </c>
      <c r="T194" t="s">
        <v>37</v>
      </c>
      <c r="U194" t="str">
        <f>IF(Table1[[#This Row],[YearsSince
LastPromotion]]&gt; 4, "Delayed", "Normal")</f>
        <v>Normal</v>
      </c>
      <c r="V194" t="str">
        <f>IF(Table1[[#This Row],[Years
InCurrentRole]]&gt;4, "Role Stagnent", "Normal")</f>
        <v>Normal</v>
      </c>
      <c r="W194" t="str">
        <f>IF(AND(Table1[[#This Row],[Years
InCurrentRole]]&gt; 4, Table1[[#This Row],[Performance
Rating]]&gt;=3), "High Risk", "Normal")</f>
        <v>Normal</v>
      </c>
      <c r="X194" t="str">
        <f>IF(Table1[[#This Row],[Performance
Rating]]&gt;=4, "High Performer", "Low Performer")</f>
        <v>Low Performer</v>
      </c>
    </row>
    <row r="195" spans="2:24" x14ac:dyDescent="0.3">
      <c r="B195" t="s">
        <v>19</v>
      </c>
      <c r="C195" t="s">
        <v>36</v>
      </c>
      <c r="D195">
        <v>1</v>
      </c>
      <c r="E195" t="s">
        <v>21</v>
      </c>
      <c r="F195">
        <v>3</v>
      </c>
      <c r="G195" t="s">
        <v>36</v>
      </c>
      <c r="H195">
        <v>3</v>
      </c>
      <c r="I195">
        <v>9756</v>
      </c>
      <c r="J195">
        <v>21</v>
      </c>
      <c r="K195">
        <v>4</v>
      </c>
      <c r="L195">
        <v>2</v>
      </c>
      <c r="M195">
        <v>9</v>
      </c>
      <c r="N195">
        <v>2</v>
      </c>
      <c r="O195">
        <v>4</v>
      </c>
      <c r="P195">
        <v>5</v>
      </c>
      <c r="Q195">
        <v>0</v>
      </c>
      <c r="R195">
        <v>0</v>
      </c>
      <c r="S195" t="s">
        <v>34</v>
      </c>
      <c r="T195" t="s">
        <v>37</v>
      </c>
      <c r="U195" t="str">
        <f>IF(Table1[[#This Row],[YearsSince
LastPromotion]]&gt; 4, "Delayed", "Normal")</f>
        <v>Normal</v>
      </c>
      <c r="V195" t="str">
        <f>IF(Table1[[#This Row],[Years
InCurrentRole]]&gt;4, "Role Stagnent", "Normal")</f>
        <v>Normal</v>
      </c>
      <c r="W195" t="str">
        <f>IF(AND(Table1[[#This Row],[Years
InCurrentRole]]&gt; 4, Table1[[#This Row],[Performance
Rating]]&gt;=3), "High Risk", "Normal")</f>
        <v>Normal</v>
      </c>
      <c r="X195" t="str">
        <f>IF(Table1[[#This Row],[Performance
Rating]]&gt;=4, "High Performer", "Low Performer")</f>
        <v>High Performer</v>
      </c>
    </row>
    <row r="196" spans="2:24" x14ac:dyDescent="0.3">
      <c r="B196" t="s">
        <v>19</v>
      </c>
      <c r="C196" t="s">
        <v>25</v>
      </c>
      <c r="D196">
        <v>1</v>
      </c>
      <c r="E196" t="s">
        <v>21</v>
      </c>
      <c r="F196">
        <v>3</v>
      </c>
      <c r="G196" t="s">
        <v>31</v>
      </c>
      <c r="H196">
        <v>2</v>
      </c>
      <c r="I196">
        <v>10552</v>
      </c>
      <c r="J196">
        <v>13</v>
      </c>
      <c r="K196">
        <v>3</v>
      </c>
      <c r="L196">
        <v>1</v>
      </c>
      <c r="M196">
        <v>24</v>
      </c>
      <c r="N196">
        <v>3</v>
      </c>
      <c r="O196">
        <v>3</v>
      </c>
      <c r="P196">
        <v>6</v>
      </c>
      <c r="Q196">
        <v>0</v>
      </c>
      <c r="R196">
        <v>0</v>
      </c>
      <c r="S196" t="s">
        <v>34</v>
      </c>
      <c r="T196" t="s">
        <v>37</v>
      </c>
      <c r="U196" t="str">
        <f>IF(Table1[[#This Row],[YearsSince
LastPromotion]]&gt; 4, "Delayed", "Normal")</f>
        <v>Normal</v>
      </c>
      <c r="V196" t="str">
        <f>IF(Table1[[#This Row],[Years
InCurrentRole]]&gt;4, "Role Stagnent", "Normal")</f>
        <v>Normal</v>
      </c>
      <c r="W196" t="str">
        <f>IF(AND(Table1[[#This Row],[Years
InCurrentRole]]&gt; 4, Table1[[#This Row],[Performance
Rating]]&gt;=3), "High Risk", "Normal")</f>
        <v>Normal</v>
      </c>
      <c r="X196" t="str">
        <f>IF(Table1[[#This Row],[Performance
Rating]]&gt;=4, "High Performer", "Low Performer")</f>
        <v>Low Performer</v>
      </c>
    </row>
    <row r="197" spans="2:24" x14ac:dyDescent="0.3">
      <c r="B197" t="s">
        <v>19</v>
      </c>
      <c r="C197" t="s">
        <v>20</v>
      </c>
      <c r="D197">
        <v>1</v>
      </c>
      <c r="E197" t="s">
        <v>21</v>
      </c>
      <c r="F197">
        <v>5</v>
      </c>
      <c r="G197" t="s">
        <v>22</v>
      </c>
      <c r="H197">
        <v>4</v>
      </c>
      <c r="I197">
        <v>19517</v>
      </c>
      <c r="J197">
        <v>11</v>
      </c>
      <c r="K197">
        <v>3</v>
      </c>
      <c r="L197">
        <v>1</v>
      </c>
      <c r="M197">
        <v>32</v>
      </c>
      <c r="N197">
        <v>3</v>
      </c>
      <c r="O197">
        <v>2</v>
      </c>
      <c r="P197">
        <v>7</v>
      </c>
      <c r="Q197">
        <v>0</v>
      </c>
      <c r="R197">
        <v>0</v>
      </c>
      <c r="S197" t="s">
        <v>23</v>
      </c>
      <c r="T197" t="s">
        <v>37</v>
      </c>
      <c r="U197" t="str">
        <f>IF(Table1[[#This Row],[YearsSince
LastPromotion]]&gt; 4, "Delayed", "Normal")</f>
        <v>Normal</v>
      </c>
      <c r="V197" t="str">
        <f>IF(Table1[[#This Row],[Years
InCurrentRole]]&gt;4, "Role Stagnent", "Normal")</f>
        <v>Normal</v>
      </c>
      <c r="W197" t="str">
        <f>IF(AND(Table1[[#This Row],[Years
InCurrentRole]]&gt; 4, Table1[[#This Row],[Performance
Rating]]&gt;=3), "High Risk", "Normal")</f>
        <v>Normal</v>
      </c>
      <c r="X197" t="str">
        <f>IF(Table1[[#This Row],[Performance
Rating]]&gt;=4, "High Performer", "Low Performer")</f>
        <v>Low Performer</v>
      </c>
    </row>
    <row r="198" spans="2:24" x14ac:dyDescent="0.3">
      <c r="B198" t="s">
        <v>19</v>
      </c>
      <c r="C198" t="s">
        <v>25</v>
      </c>
      <c r="D198">
        <v>1</v>
      </c>
      <c r="E198" t="s">
        <v>21</v>
      </c>
      <c r="F198">
        <v>1</v>
      </c>
      <c r="G198" t="s">
        <v>29</v>
      </c>
      <c r="H198">
        <v>2</v>
      </c>
      <c r="I198">
        <v>2370</v>
      </c>
      <c r="J198">
        <v>13</v>
      </c>
      <c r="K198">
        <v>3</v>
      </c>
      <c r="L198">
        <v>1</v>
      </c>
      <c r="M198">
        <v>8</v>
      </c>
      <c r="N198">
        <v>4</v>
      </c>
      <c r="O198">
        <v>3</v>
      </c>
      <c r="P198">
        <v>8</v>
      </c>
      <c r="Q198">
        <v>0</v>
      </c>
      <c r="R198">
        <v>0</v>
      </c>
      <c r="S198" t="s">
        <v>34</v>
      </c>
      <c r="T198" t="s">
        <v>37</v>
      </c>
      <c r="U198" t="str">
        <f>IF(Table1[[#This Row],[YearsSince
LastPromotion]]&gt; 4, "Delayed", "Normal")</f>
        <v>Normal</v>
      </c>
      <c r="V198" t="str">
        <f>IF(Table1[[#This Row],[Years
InCurrentRole]]&gt;4, "Role Stagnent", "Normal")</f>
        <v>Normal</v>
      </c>
      <c r="W198" t="str">
        <f>IF(AND(Table1[[#This Row],[Years
InCurrentRole]]&gt; 4, Table1[[#This Row],[Performance
Rating]]&gt;=3), "High Risk", "Normal")</f>
        <v>Normal</v>
      </c>
      <c r="X198" t="str">
        <f>IF(Table1[[#This Row],[Performance
Rating]]&gt;=4, "High Performer", "Low Performer")</f>
        <v>Low Performer</v>
      </c>
    </row>
    <row r="199" spans="2:24" x14ac:dyDescent="0.3">
      <c r="B199" t="s">
        <v>19</v>
      </c>
      <c r="C199" t="s">
        <v>20</v>
      </c>
      <c r="D199">
        <v>1</v>
      </c>
      <c r="E199" t="s">
        <v>21</v>
      </c>
      <c r="F199">
        <v>2</v>
      </c>
      <c r="G199" t="s">
        <v>32</v>
      </c>
      <c r="H199">
        <v>4</v>
      </c>
      <c r="I199">
        <v>4163</v>
      </c>
      <c r="J199">
        <v>17</v>
      </c>
      <c r="K199">
        <v>3</v>
      </c>
      <c r="L199">
        <v>0</v>
      </c>
      <c r="M199">
        <v>9</v>
      </c>
      <c r="N199">
        <v>0</v>
      </c>
      <c r="O199">
        <v>3</v>
      </c>
      <c r="P199">
        <v>9</v>
      </c>
      <c r="Q199">
        <v>0</v>
      </c>
      <c r="R199">
        <v>0</v>
      </c>
      <c r="S199" t="s">
        <v>34</v>
      </c>
      <c r="T199" t="s">
        <v>37</v>
      </c>
      <c r="U199" t="str">
        <f>IF(Table1[[#This Row],[YearsSince
LastPromotion]]&gt; 4, "Delayed", "Normal")</f>
        <v>Normal</v>
      </c>
      <c r="V199" t="str">
        <f>IF(Table1[[#This Row],[Years
InCurrentRole]]&gt;4, "Role Stagnent", "Normal")</f>
        <v>Normal</v>
      </c>
      <c r="W199" t="str">
        <f>IF(AND(Table1[[#This Row],[Years
InCurrentRole]]&gt; 4, Table1[[#This Row],[Performance
Rating]]&gt;=3), "High Risk", "Normal")</f>
        <v>Normal</v>
      </c>
      <c r="X199" t="str">
        <f>IF(Table1[[#This Row],[Performance
Rating]]&gt;=4, "High Performer", "Low Performer")</f>
        <v>Low Performer</v>
      </c>
    </row>
    <row r="200" spans="2:24" x14ac:dyDescent="0.3">
      <c r="B200" t="s">
        <v>19</v>
      </c>
      <c r="C200" t="s">
        <v>25</v>
      </c>
      <c r="D200">
        <v>1</v>
      </c>
      <c r="E200" t="s">
        <v>28</v>
      </c>
      <c r="F200">
        <v>1</v>
      </c>
      <c r="G200" t="s">
        <v>26</v>
      </c>
      <c r="H200">
        <v>4</v>
      </c>
      <c r="I200">
        <v>2862</v>
      </c>
      <c r="J200">
        <v>12</v>
      </c>
      <c r="K200">
        <v>3</v>
      </c>
      <c r="L200">
        <v>1</v>
      </c>
      <c r="M200">
        <v>10</v>
      </c>
      <c r="N200">
        <v>2</v>
      </c>
      <c r="O200">
        <v>2</v>
      </c>
      <c r="P200">
        <v>10</v>
      </c>
      <c r="Q200">
        <v>0</v>
      </c>
      <c r="R200">
        <v>0</v>
      </c>
      <c r="S200" t="s">
        <v>23</v>
      </c>
      <c r="T200" t="s">
        <v>37</v>
      </c>
      <c r="U200" t="str">
        <f>IF(Table1[[#This Row],[YearsSince
LastPromotion]]&gt; 4, "Delayed", "Normal")</f>
        <v>Normal</v>
      </c>
      <c r="V200" t="str">
        <f>IF(Table1[[#This Row],[Years
InCurrentRole]]&gt;4, "Role Stagnent", "Normal")</f>
        <v>Normal</v>
      </c>
      <c r="W200" t="str">
        <f>IF(AND(Table1[[#This Row],[Years
InCurrentRole]]&gt; 4, Table1[[#This Row],[Performance
Rating]]&gt;=3), "High Risk", "Normal")</f>
        <v>Normal</v>
      </c>
      <c r="X200" t="str">
        <f>IF(Table1[[#This Row],[Performance
Rating]]&gt;=4, "High Performer", "Low Performer")</f>
        <v>Low Performer</v>
      </c>
    </row>
    <row r="201" spans="2:24" x14ac:dyDescent="0.3">
      <c r="B201" t="s">
        <v>19</v>
      </c>
      <c r="C201" t="s">
        <v>20</v>
      </c>
      <c r="D201">
        <v>1</v>
      </c>
      <c r="E201" t="s">
        <v>28</v>
      </c>
      <c r="F201">
        <v>2</v>
      </c>
      <c r="G201" t="s">
        <v>32</v>
      </c>
      <c r="H201">
        <v>2</v>
      </c>
      <c r="I201">
        <v>4187</v>
      </c>
      <c r="J201">
        <v>13</v>
      </c>
      <c r="K201">
        <v>3</v>
      </c>
      <c r="L201">
        <v>1</v>
      </c>
      <c r="M201">
        <v>10</v>
      </c>
      <c r="N201">
        <v>3</v>
      </c>
      <c r="O201">
        <v>2</v>
      </c>
      <c r="P201">
        <v>10</v>
      </c>
      <c r="Q201">
        <v>0</v>
      </c>
      <c r="R201">
        <v>0</v>
      </c>
      <c r="S201" t="s">
        <v>23</v>
      </c>
      <c r="T201" t="s">
        <v>37</v>
      </c>
      <c r="U201" t="str">
        <f>IF(Table1[[#This Row],[YearsSince
LastPromotion]]&gt; 4, "Delayed", "Normal")</f>
        <v>Normal</v>
      </c>
      <c r="V201" t="str">
        <f>IF(Table1[[#This Row],[Years
InCurrentRole]]&gt;4, "Role Stagnent", "Normal")</f>
        <v>Normal</v>
      </c>
      <c r="W201" t="str">
        <f>IF(AND(Table1[[#This Row],[Years
InCurrentRole]]&gt; 4, Table1[[#This Row],[Performance
Rating]]&gt;=3), "High Risk", "Normal")</f>
        <v>Normal</v>
      </c>
      <c r="X201" t="str">
        <f>IF(Table1[[#This Row],[Performance
Rating]]&gt;=4, "High Performer", "Low Performer")</f>
        <v>Low Performer</v>
      </c>
    </row>
    <row r="202" spans="2:24" x14ac:dyDescent="0.3">
      <c r="B202" t="s">
        <v>19</v>
      </c>
      <c r="C202" t="s">
        <v>20</v>
      </c>
      <c r="D202">
        <v>1</v>
      </c>
      <c r="E202" t="s">
        <v>28</v>
      </c>
      <c r="F202">
        <v>3</v>
      </c>
      <c r="G202" t="s">
        <v>32</v>
      </c>
      <c r="H202">
        <v>2</v>
      </c>
      <c r="I202">
        <v>7642</v>
      </c>
      <c r="J202">
        <v>13</v>
      </c>
      <c r="K202">
        <v>3</v>
      </c>
      <c r="L202">
        <v>0</v>
      </c>
      <c r="M202">
        <v>10</v>
      </c>
      <c r="N202">
        <v>2</v>
      </c>
      <c r="O202">
        <v>3</v>
      </c>
      <c r="P202">
        <v>10</v>
      </c>
      <c r="Q202">
        <v>0</v>
      </c>
      <c r="R202">
        <v>0</v>
      </c>
      <c r="S202" t="s">
        <v>34</v>
      </c>
      <c r="T202" t="s">
        <v>37</v>
      </c>
      <c r="U202" t="str">
        <f>IF(Table1[[#This Row],[YearsSince
LastPromotion]]&gt; 4, "Delayed", "Normal")</f>
        <v>Normal</v>
      </c>
      <c r="V202" t="str">
        <f>IF(Table1[[#This Row],[Years
InCurrentRole]]&gt;4, "Role Stagnent", "Normal")</f>
        <v>Normal</v>
      </c>
      <c r="W202" t="str">
        <f>IF(AND(Table1[[#This Row],[Years
InCurrentRole]]&gt; 4, Table1[[#This Row],[Performance
Rating]]&gt;=3), "High Risk", "Normal")</f>
        <v>Normal</v>
      </c>
      <c r="X202" t="str">
        <f>IF(Table1[[#This Row],[Performance
Rating]]&gt;=4, "High Performer", "Low Performer")</f>
        <v>Low Performer</v>
      </c>
    </row>
    <row r="203" spans="2:24" x14ac:dyDescent="0.3">
      <c r="B203" t="s">
        <v>19</v>
      </c>
      <c r="C203" t="s">
        <v>20</v>
      </c>
      <c r="D203">
        <v>1</v>
      </c>
      <c r="E203" t="s">
        <v>21</v>
      </c>
      <c r="F203">
        <v>2</v>
      </c>
      <c r="G203" t="s">
        <v>32</v>
      </c>
      <c r="H203">
        <v>4</v>
      </c>
      <c r="I203">
        <v>5476</v>
      </c>
      <c r="J203">
        <v>11</v>
      </c>
      <c r="K203">
        <v>3</v>
      </c>
      <c r="L203">
        <v>2</v>
      </c>
      <c r="M203">
        <v>10</v>
      </c>
      <c r="N203">
        <v>2</v>
      </c>
      <c r="O203">
        <v>3</v>
      </c>
      <c r="P203">
        <v>10</v>
      </c>
      <c r="Q203">
        <v>0</v>
      </c>
      <c r="R203">
        <v>0</v>
      </c>
      <c r="S203" t="s">
        <v>34</v>
      </c>
      <c r="T203" t="s">
        <v>37</v>
      </c>
      <c r="U203" t="str">
        <f>IF(Table1[[#This Row],[YearsSince
LastPromotion]]&gt; 4, "Delayed", "Normal")</f>
        <v>Normal</v>
      </c>
      <c r="V203" t="str">
        <f>IF(Table1[[#This Row],[Years
InCurrentRole]]&gt;4, "Role Stagnent", "Normal")</f>
        <v>Normal</v>
      </c>
      <c r="W203" t="str">
        <f>IF(AND(Table1[[#This Row],[Years
InCurrentRole]]&gt; 4, Table1[[#This Row],[Performance
Rating]]&gt;=3), "High Risk", "Normal")</f>
        <v>Normal</v>
      </c>
      <c r="X203" t="str">
        <f>IF(Table1[[#This Row],[Performance
Rating]]&gt;=4, "High Performer", "Low Performer")</f>
        <v>Low Performer</v>
      </c>
    </row>
    <row r="204" spans="2:24" x14ac:dyDescent="0.3">
      <c r="B204" t="s">
        <v>19</v>
      </c>
      <c r="C204" t="s">
        <v>20</v>
      </c>
      <c r="D204">
        <v>1</v>
      </c>
      <c r="E204" t="s">
        <v>28</v>
      </c>
      <c r="F204">
        <v>4</v>
      </c>
      <c r="G204" t="s">
        <v>22</v>
      </c>
      <c r="H204">
        <v>1</v>
      </c>
      <c r="I204">
        <v>17567</v>
      </c>
      <c r="J204">
        <v>15</v>
      </c>
      <c r="K204">
        <v>3</v>
      </c>
      <c r="L204">
        <v>0</v>
      </c>
      <c r="M204">
        <v>27</v>
      </c>
      <c r="N204">
        <v>5</v>
      </c>
      <c r="O204">
        <v>1</v>
      </c>
      <c r="P204">
        <v>26</v>
      </c>
      <c r="Q204">
        <v>0</v>
      </c>
      <c r="R204">
        <v>0</v>
      </c>
      <c r="S204" t="s">
        <v>23</v>
      </c>
      <c r="T204" t="s">
        <v>37</v>
      </c>
      <c r="U204" t="str">
        <f>IF(Table1[[#This Row],[YearsSince
LastPromotion]]&gt; 4, "Delayed", "Normal")</f>
        <v>Normal</v>
      </c>
      <c r="V204" t="str">
        <f>IF(Table1[[#This Row],[Years
InCurrentRole]]&gt;4, "Role Stagnent", "Normal")</f>
        <v>Normal</v>
      </c>
      <c r="W204" t="str">
        <f>IF(AND(Table1[[#This Row],[Years
InCurrentRole]]&gt; 4, Table1[[#This Row],[Performance
Rating]]&gt;=3), "High Risk", "Normal")</f>
        <v>Normal</v>
      </c>
      <c r="X204" t="str">
        <f>IF(Table1[[#This Row],[Performance
Rating]]&gt;=4, "High Performer", "Low Performer")</f>
        <v>Low Performer</v>
      </c>
    </row>
    <row r="205" spans="2:24" x14ac:dyDescent="0.3">
      <c r="B205" t="s">
        <v>19</v>
      </c>
      <c r="C205" t="s">
        <v>25</v>
      </c>
      <c r="D205">
        <v>1</v>
      </c>
      <c r="E205" t="s">
        <v>21</v>
      </c>
      <c r="F205">
        <v>2</v>
      </c>
      <c r="G205" t="s">
        <v>26</v>
      </c>
      <c r="H205">
        <v>4</v>
      </c>
      <c r="I205">
        <v>4422</v>
      </c>
      <c r="J205">
        <v>13</v>
      </c>
      <c r="K205">
        <v>3</v>
      </c>
      <c r="L205">
        <v>1</v>
      </c>
      <c r="M205">
        <v>16</v>
      </c>
      <c r="N205">
        <v>3</v>
      </c>
      <c r="O205">
        <v>1</v>
      </c>
      <c r="P205">
        <v>1</v>
      </c>
      <c r="Q205">
        <v>1</v>
      </c>
      <c r="R205">
        <v>0</v>
      </c>
      <c r="S205" t="s">
        <v>23</v>
      </c>
      <c r="T205" t="s">
        <v>24</v>
      </c>
      <c r="U205" t="str">
        <f>IF(Table1[[#This Row],[YearsSince
LastPromotion]]&gt; 4, "Delayed", "Normal")</f>
        <v>Normal</v>
      </c>
      <c r="V205" t="str">
        <f>IF(Table1[[#This Row],[Years
InCurrentRole]]&gt;4, "Role Stagnent", "Normal")</f>
        <v>Normal</v>
      </c>
      <c r="W205" t="str">
        <f>IF(AND(Table1[[#This Row],[Years
InCurrentRole]]&gt; 4, Table1[[#This Row],[Performance
Rating]]&gt;=3), "High Risk", "Normal")</f>
        <v>Normal</v>
      </c>
      <c r="X205" t="str">
        <f>IF(Table1[[#This Row],[Performance
Rating]]&gt;=4, "High Performer", "Low Performer")</f>
        <v>Low Performer</v>
      </c>
    </row>
    <row r="206" spans="2:24" x14ac:dyDescent="0.3">
      <c r="B206" t="s">
        <v>27</v>
      </c>
      <c r="C206" t="s">
        <v>25</v>
      </c>
      <c r="D206">
        <v>1</v>
      </c>
      <c r="E206" t="s">
        <v>28</v>
      </c>
      <c r="F206">
        <v>1</v>
      </c>
      <c r="G206" t="s">
        <v>29</v>
      </c>
      <c r="H206">
        <v>3</v>
      </c>
      <c r="I206">
        <v>2377</v>
      </c>
      <c r="J206">
        <v>20</v>
      </c>
      <c r="K206">
        <v>4</v>
      </c>
      <c r="L206">
        <v>1</v>
      </c>
      <c r="M206">
        <v>1</v>
      </c>
      <c r="N206">
        <v>0</v>
      </c>
      <c r="O206">
        <v>2</v>
      </c>
      <c r="P206">
        <v>1</v>
      </c>
      <c r="Q206">
        <v>1</v>
      </c>
      <c r="R206">
        <v>0</v>
      </c>
      <c r="S206" t="s">
        <v>23</v>
      </c>
      <c r="T206" t="s">
        <v>24</v>
      </c>
      <c r="U206" t="str">
        <f>IF(Table1[[#This Row],[YearsSince
LastPromotion]]&gt; 4, "Delayed", "Normal")</f>
        <v>Normal</v>
      </c>
      <c r="V206" t="str">
        <f>IF(Table1[[#This Row],[Years
InCurrentRole]]&gt;4, "Role Stagnent", "Normal")</f>
        <v>Normal</v>
      </c>
      <c r="W206" t="str">
        <f>IF(AND(Table1[[#This Row],[Years
InCurrentRole]]&gt; 4, Table1[[#This Row],[Performance
Rating]]&gt;=3), "High Risk", "Normal")</f>
        <v>Normal</v>
      </c>
      <c r="X206" t="str">
        <f>IF(Table1[[#This Row],[Performance
Rating]]&gt;=4, "High Performer", "Low Performer")</f>
        <v>High Performer</v>
      </c>
    </row>
    <row r="207" spans="2:24" x14ac:dyDescent="0.3">
      <c r="B207" t="s">
        <v>19</v>
      </c>
      <c r="C207" t="s">
        <v>25</v>
      </c>
      <c r="D207">
        <v>1</v>
      </c>
      <c r="E207" t="s">
        <v>28</v>
      </c>
      <c r="F207">
        <v>1</v>
      </c>
      <c r="G207" t="s">
        <v>26</v>
      </c>
      <c r="H207">
        <v>3</v>
      </c>
      <c r="I207">
        <v>2566</v>
      </c>
      <c r="J207">
        <v>15</v>
      </c>
      <c r="K207">
        <v>3</v>
      </c>
      <c r="L207">
        <v>1</v>
      </c>
      <c r="M207">
        <v>1</v>
      </c>
      <c r="N207">
        <v>2</v>
      </c>
      <c r="O207">
        <v>2</v>
      </c>
      <c r="P207">
        <v>1</v>
      </c>
      <c r="Q207">
        <v>1</v>
      </c>
      <c r="R207">
        <v>0</v>
      </c>
      <c r="S207" t="s">
        <v>23</v>
      </c>
      <c r="T207" t="s">
        <v>24</v>
      </c>
      <c r="U207" t="str">
        <f>IF(Table1[[#This Row],[YearsSince
LastPromotion]]&gt; 4, "Delayed", "Normal")</f>
        <v>Normal</v>
      </c>
      <c r="V207" t="str">
        <f>IF(Table1[[#This Row],[Years
InCurrentRole]]&gt;4, "Role Stagnent", "Normal")</f>
        <v>Normal</v>
      </c>
      <c r="W207" t="str">
        <f>IF(AND(Table1[[#This Row],[Years
InCurrentRole]]&gt; 4, Table1[[#This Row],[Performance
Rating]]&gt;=3), "High Risk", "Normal")</f>
        <v>Normal</v>
      </c>
      <c r="X207" t="str">
        <f>IF(Table1[[#This Row],[Performance
Rating]]&gt;=4, "High Performer", "Low Performer")</f>
        <v>Low Performer</v>
      </c>
    </row>
    <row r="208" spans="2:24" x14ac:dyDescent="0.3">
      <c r="B208" t="s">
        <v>19</v>
      </c>
      <c r="C208" t="s">
        <v>25</v>
      </c>
      <c r="D208">
        <v>1</v>
      </c>
      <c r="E208" t="s">
        <v>28</v>
      </c>
      <c r="F208">
        <v>1</v>
      </c>
      <c r="G208" t="s">
        <v>29</v>
      </c>
      <c r="H208">
        <v>3</v>
      </c>
      <c r="I208">
        <v>2008</v>
      </c>
      <c r="J208">
        <v>12</v>
      </c>
      <c r="K208">
        <v>3</v>
      </c>
      <c r="L208">
        <v>3</v>
      </c>
      <c r="M208">
        <v>1</v>
      </c>
      <c r="N208">
        <v>2</v>
      </c>
      <c r="O208">
        <v>2</v>
      </c>
      <c r="P208">
        <v>1</v>
      </c>
      <c r="Q208">
        <v>1</v>
      </c>
      <c r="R208">
        <v>0</v>
      </c>
      <c r="S208" t="s">
        <v>23</v>
      </c>
      <c r="T208" t="s">
        <v>24</v>
      </c>
      <c r="U208" t="str">
        <f>IF(Table1[[#This Row],[YearsSince
LastPromotion]]&gt; 4, "Delayed", "Normal")</f>
        <v>Normal</v>
      </c>
      <c r="V208" t="str">
        <f>IF(Table1[[#This Row],[Years
InCurrentRole]]&gt;4, "Role Stagnent", "Normal")</f>
        <v>Normal</v>
      </c>
      <c r="W208" t="str">
        <f>IF(AND(Table1[[#This Row],[Years
InCurrentRole]]&gt; 4, Table1[[#This Row],[Performance
Rating]]&gt;=3), "High Risk", "Normal")</f>
        <v>Normal</v>
      </c>
      <c r="X208" t="str">
        <f>IF(Table1[[#This Row],[Performance
Rating]]&gt;=4, "High Performer", "Low Performer")</f>
        <v>Low Performer</v>
      </c>
    </row>
    <row r="209" spans="2:24" x14ac:dyDescent="0.3">
      <c r="B209" t="s">
        <v>27</v>
      </c>
      <c r="C209" t="s">
        <v>25</v>
      </c>
      <c r="D209">
        <v>1</v>
      </c>
      <c r="E209" t="s">
        <v>21</v>
      </c>
      <c r="F209">
        <v>1</v>
      </c>
      <c r="G209" t="s">
        <v>29</v>
      </c>
      <c r="H209">
        <v>4</v>
      </c>
      <c r="I209">
        <v>2515</v>
      </c>
      <c r="J209">
        <v>11</v>
      </c>
      <c r="K209">
        <v>3</v>
      </c>
      <c r="L209">
        <v>0</v>
      </c>
      <c r="M209">
        <v>1</v>
      </c>
      <c r="N209">
        <v>4</v>
      </c>
      <c r="O209">
        <v>2</v>
      </c>
      <c r="P209">
        <v>1</v>
      </c>
      <c r="Q209">
        <v>1</v>
      </c>
      <c r="R209">
        <v>0</v>
      </c>
      <c r="S209" t="s">
        <v>23</v>
      </c>
      <c r="T209" t="s">
        <v>24</v>
      </c>
      <c r="U209" t="str">
        <f>IF(Table1[[#This Row],[YearsSince
LastPromotion]]&gt; 4, "Delayed", "Normal")</f>
        <v>Normal</v>
      </c>
      <c r="V209" t="str">
        <f>IF(Table1[[#This Row],[Years
InCurrentRole]]&gt;4, "Role Stagnent", "Normal")</f>
        <v>Normal</v>
      </c>
      <c r="W209" t="str">
        <f>IF(AND(Table1[[#This Row],[Years
InCurrentRole]]&gt; 4, Table1[[#This Row],[Performance
Rating]]&gt;=3), "High Risk", "Normal")</f>
        <v>Normal</v>
      </c>
      <c r="X209" t="str">
        <f>IF(Table1[[#This Row],[Performance
Rating]]&gt;=4, "High Performer", "Low Performer")</f>
        <v>Low Performer</v>
      </c>
    </row>
    <row r="210" spans="2:24" x14ac:dyDescent="0.3">
      <c r="B210" t="s">
        <v>19</v>
      </c>
      <c r="C210" t="s">
        <v>25</v>
      </c>
      <c r="D210">
        <v>1</v>
      </c>
      <c r="E210" t="s">
        <v>21</v>
      </c>
      <c r="F210">
        <v>1</v>
      </c>
      <c r="G210" t="s">
        <v>26</v>
      </c>
      <c r="H210">
        <v>3</v>
      </c>
      <c r="I210">
        <v>2318</v>
      </c>
      <c r="J210">
        <v>19</v>
      </c>
      <c r="K210">
        <v>3</v>
      </c>
      <c r="L210">
        <v>0</v>
      </c>
      <c r="M210">
        <v>1</v>
      </c>
      <c r="N210">
        <v>2</v>
      </c>
      <c r="O210">
        <v>3</v>
      </c>
      <c r="P210">
        <v>1</v>
      </c>
      <c r="Q210">
        <v>1</v>
      </c>
      <c r="R210">
        <v>0</v>
      </c>
      <c r="S210" t="s">
        <v>34</v>
      </c>
      <c r="T210" t="s">
        <v>24</v>
      </c>
      <c r="U210" t="str">
        <f>IF(Table1[[#This Row],[YearsSince
LastPromotion]]&gt; 4, "Delayed", "Normal")</f>
        <v>Normal</v>
      </c>
      <c r="V210" t="str">
        <f>IF(Table1[[#This Row],[Years
InCurrentRole]]&gt;4, "Role Stagnent", "Normal")</f>
        <v>Normal</v>
      </c>
      <c r="W210" t="str">
        <f>IF(AND(Table1[[#This Row],[Years
InCurrentRole]]&gt; 4, Table1[[#This Row],[Performance
Rating]]&gt;=3), "High Risk", "Normal")</f>
        <v>Normal</v>
      </c>
      <c r="X210" t="str">
        <f>IF(Table1[[#This Row],[Performance
Rating]]&gt;=4, "High Performer", "Low Performer")</f>
        <v>Low Performer</v>
      </c>
    </row>
    <row r="211" spans="2:24" x14ac:dyDescent="0.3">
      <c r="B211" t="s">
        <v>19</v>
      </c>
      <c r="C211" t="s">
        <v>20</v>
      </c>
      <c r="D211">
        <v>1</v>
      </c>
      <c r="E211" t="s">
        <v>21</v>
      </c>
      <c r="F211">
        <v>1</v>
      </c>
      <c r="G211" t="s">
        <v>30</v>
      </c>
      <c r="H211">
        <v>3</v>
      </c>
      <c r="I211">
        <v>2220</v>
      </c>
      <c r="J211">
        <v>19</v>
      </c>
      <c r="K211">
        <v>3</v>
      </c>
      <c r="L211">
        <v>1</v>
      </c>
      <c r="M211">
        <v>1</v>
      </c>
      <c r="N211">
        <v>2</v>
      </c>
      <c r="O211">
        <v>3</v>
      </c>
      <c r="P211">
        <v>1</v>
      </c>
      <c r="Q211">
        <v>1</v>
      </c>
      <c r="R211">
        <v>0</v>
      </c>
      <c r="S211" t="s">
        <v>34</v>
      </c>
      <c r="T211" t="s">
        <v>24</v>
      </c>
      <c r="U211" t="str">
        <f>IF(Table1[[#This Row],[YearsSince
LastPromotion]]&gt; 4, "Delayed", "Normal")</f>
        <v>Normal</v>
      </c>
      <c r="V211" t="str">
        <f>IF(Table1[[#This Row],[Years
InCurrentRole]]&gt;4, "Role Stagnent", "Normal")</f>
        <v>Normal</v>
      </c>
      <c r="W211" t="str">
        <f>IF(AND(Table1[[#This Row],[Years
InCurrentRole]]&gt; 4, Table1[[#This Row],[Performance
Rating]]&gt;=3), "High Risk", "Normal")</f>
        <v>Normal</v>
      </c>
      <c r="X211" t="str">
        <f>IF(Table1[[#This Row],[Performance
Rating]]&gt;=4, "High Performer", "Low Performer")</f>
        <v>Low Performer</v>
      </c>
    </row>
    <row r="212" spans="2:24" x14ac:dyDescent="0.3">
      <c r="B212" t="s">
        <v>19</v>
      </c>
      <c r="C212" t="s">
        <v>25</v>
      </c>
      <c r="D212">
        <v>1</v>
      </c>
      <c r="E212" t="s">
        <v>28</v>
      </c>
      <c r="F212">
        <v>1</v>
      </c>
      <c r="G212" t="s">
        <v>26</v>
      </c>
      <c r="H212">
        <v>2</v>
      </c>
      <c r="I212">
        <v>3617</v>
      </c>
      <c r="J212">
        <v>14</v>
      </c>
      <c r="K212">
        <v>3</v>
      </c>
      <c r="L212">
        <v>1</v>
      </c>
      <c r="M212">
        <v>3</v>
      </c>
      <c r="N212">
        <v>2</v>
      </c>
      <c r="O212">
        <v>3</v>
      </c>
      <c r="P212">
        <v>1</v>
      </c>
      <c r="Q212">
        <v>1</v>
      </c>
      <c r="R212">
        <v>0</v>
      </c>
      <c r="S212" t="s">
        <v>34</v>
      </c>
      <c r="T212" t="s">
        <v>24</v>
      </c>
      <c r="U212" t="str">
        <f>IF(Table1[[#This Row],[YearsSince
LastPromotion]]&gt; 4, "Delayed", "Normal")</f>
        <v>Normal</v>
      </c>
      <c r="V212" t="str">
        <f>IF(Table1[[#This Row],[Years
InCurrentRole]]&gt;4, "Role Stagnent", "Normal")</f>
        <v>Normal</v>
      </c>
      <c r="W212" t="str">
        <f>IF(AND(Table1[[#This Row],[Years
InCurrentRole]]&gt; 4, Table1[[#This Row],[Performance
Rating]]&gt;=3), "High Risk", "Normal")</f>
        <v>Normal</v>
      </c>
      <c r="X212" t="str">
        <f>IF(Table1[[#This Row],[Performance
Rating]]&gt;=4, "High Performer", "Low Performer")</f>
        <v>Low Performer</v>
      </c>
    </row>
    <row r="213" spans="2:24" x14ac:dyDescent="0.3">
      <c r="B213" t="s">
        <v>27</v>
      </c>
      <c r="C213" t="s">
        <v>25</v>
      </c>
      <c r="D213">
        <v>1</v>
      </c>
      <c r="E213" t="s">
        <v>28</v>
      </c>
      <c r="F213">
        <v>1</v>
      </c>
      <c r="G213" t="s">
        <v>29</v>
      </c>
      <c r="H213">
        <v>2</v>
      </c>
      <c r="I213">
        <v>2408</v>
      </c>
      <c r="J213">
        <v>17</v>
      </c>
      <c r="K213">
        <v>3</v>
      </c>
      <c r="L213">
        <v>3</v>
      </c>
      <c r="M213">
        <v>1</v>
      </c>
      <c r="N213">
        <v>3</v>
      </c>
      <c r="O213">
        <v>3</v>
      </c>
      <c r="P213">
        <v>1</v>
      </c>
      <c r="Q213">
        <v>1</v>
      </c>
      <c r="R213">
        <v>0</v>
      </c>
      <c r="S213" t="s">
        <v>34</v>
      </c>
      <c r="T213" t="s">
        <v>24</v>
      </c>
      <c r="U213" t="str">
        <f>IF(Table1[[#This Row],[YearsSince
LastPromotion]]&gt; 4, "Delayed", "Normal")</f>
        <v>Normal</v>
      </c>
      <c r="V213" t="str">
        <f>IF(Table1[[#This Row],[Years
InCurrentRole]]&gt;4, "Role Stagnent", "Normal")</f>
        <v>Normal</v>
      </c>
      <c r="W213" t="str">
        <f>IF(AND(Table1[[#This Row],[Years
InCurrentRole]]&gt; 4, Table1[[#This Row],[Performance
Rating]]&gt;=3), "High Risk", "Normal")</f>
        <v>Normal</v>
      </c>
      <c r="X213" t="str">
        <f>IF(Table1[[#This Row],[Performance
Rating]]&gt;=4, "High Performer", "Low Performer")</f>
        <v>Low Performer</v>
      </c>
    </row>
    <row r="214" spans="2:24" x14ac:dyDescent="0.3">
      <c r="B214" t="s">
        <v>19</v>
      </c>
      <c r="C214" t="s">
        <v>25</v>
      </c>
      <c r="D214">
        <v>1</v>
      </c>
      <c r="E214" t="s">
        <v>28</v>
      </c>
      <c r="F214">
        <v>1</v>
      </c>
      <c r="G214" t="s">
        <v>29</v>
      </c>
      <c r="H214">
        <v>1</v>
      </c>
      <c r="I214">
        <v>2296</v>
      </c>
      <c r="J214">
        <v>14</v>
      </c>
      <c r="K214">
        <v>3</v>
      </c>
      <c r="L214">
        <v>3</v>
      </c>
      <c r="M214">
        <v>2</v>
      </c>
      <c r="N214">
        <v>3</v>
      </c>
      <c r="O214">
        <v>3</v>
      </c>
      <c r="P214">
        <v>1</v>
      </c>
      <c r="Q214">
        <v>1</v>
      </c>
      <c r="R214">
        <v>0</v>
      </c>
      <c r="S214" t="s">
        <v>34</v>
      </c>
      <c r="T214" t="s">
        <v>24</v>
      </c>
      <c r="U214" t="str">
        <f>IF(Table1[[#This Row],[YearsSince
LastPromotion]]&gt; 4, "Delayed", "Normal")</f>
        <v>Normal</v>
      </c>
      <c r="V214" t="str">
        <f>IF(Table1[[#This Row],[Years
InCurrentRole]]&gt;4, "Role Stagnent", "Normal")</f>
        <v>Normal</v>
      </c>
      <c r="W214" t="str">
        <f>IF(AND(Table1[[#This Row],[Years
InCurrentRole]]&gt; 4, Table1[[#This Row],[Performance
Rating]]&gt;=3), "High Risk", "Normal")</f>
        <v>Normal</v>
      </c>
      <c r="X214" t="str">
        <f>IF(Table1[[#This Row],[Performance
Rating]]&gt;=4, "High Performer", "Low Performer")</f>
        <v>Low Performer</v>
      </c>
    </row>
    <row r="215" spans="2:24" x14ac:dyDescent="0.3">
      <c r="B215" t="s">
        <v>19</v>
      </c>
      <c r="C215" t="s">
        <v>25</v>
      </c>
      <c r="D215">
        <v>1</v>
      </c>
      <c r="E215" t="s">
        <v>28</v>
      </c>
      <c r="F215">
        <v>1</v>
      </c>
      <c r="G215" t="s">
        <v>29</v>
      </c>
      <c r="H215">
        <v>4</v>
      </c>
      <c r="I215">
        <v>2496</v>
      </c>
      <c r="J215">
        <v>11</v>
      </c>
      <c r="K215">
        <v>3</v>
      </c>
      <c r="L215">
        <v>0</v>
      </c>
      <c r="M215">
        <v>7</v>
      </c>
      <c r="N215">
        <v>3</v>
      </c>
      <c r="O215">
        <v>3</v>
      </c>
      <c r="P215">
        <v>1</v>
      </c>
      <c r="Q215">
        <v>1</v>
      </c>
      <c r="R215">
        <v>0</v>
      </c>
      <c r="S215" t="s">
        <v>34</v>
      </c>
      <c r="T215" t="s">
        <v>24</v>
      </c>
      <c r="U215" t="str">
        <f>IF(Table1[[#This Row],[YearsSince
LastPromotion]]&gt; 4, "Delayed", "Normal")</f>
        <v>Normal</v>
      </c>
      <c r="V215" t="str">
        <f>IF(Table1[[#This Row],[Years
InCurrentRole]]&gt;4, "Role Stagnent", "Normal")</f>
        <v>Normal</v>
      </c>
      <c r="W215" t="str">
        <f>IF(AND(Table1[[#This Row],[Years
InCurrentRole]]&gt; 4, Table1[[#This Row],[Performance
Rating]]&gt;=3), "High Risk", "Normal")</f>
        <v>Normal</v>
      </c>
      <c r="X215" t="str">
        <f>IF(Table1[[#This Row],[Performance
Rating]]&gt;=4, "High Performer", "Low Performer")</f>
        <v>Low Performer</v>
      </c>
    </row>
    <row r="216" spans="2:24" x14ac:dyDescent="0.3">
      <c r="B216" t="s">
        <v>19</v>
      </c>
      <c r="C216" t="s">
        <v>25</v>
      </c>
      <c r="D216">
        <v>1</v>
      </c>
      <c r="E216" t="s">
        <v>28</v>
      </c>
      <c r="F216">
        <v>1</v>
      </c>
      <c r="G216" t="s">
        <v>26</v>
      </c>
      <c r="H216">
        <v>1</v>
      </c>
      <c r="I216">
        <v>2552</v>
      </c>
      <c r="J216">
        <v>25</v>
      </c>
      <c r="K216">
        <v>4</v>
      </c>
      <c r="L216">
        <v>0</v>
      </c>
      <c r="M216">
        <v>1</v>
      </c>
      <c r="N216">
        <v>4</v>
      </c>
      <c r="O216">
        <v>3</v>
      </c>
      <c r="P216">
        <v>1</v>
      </c>
      <c r="Q216">
        <v>1</v>
      </c>
      <c r="R216">
        <v>0</v>
      </c>
      <c r="S216" t="s">
        <v>34</v>
      </c>
      <c r="T216" t="s">
        <v>24</v>
      </c>
      <c r="U216" t="str">
        <f>IF(Table1[[#This Row],[YearsSince
LastPromotion]]&gt; 4, "Delayed", "Normal")</f>
        <v>Normal</v>
      </c>
      <c r="V216" t="str">
        <f>IF(Table1[[#This Row],[Years
InCurrentRole]]&gt;4, "Role Stagnent", "Normal")</f>
        <v>Normal</v>
      </c>
      <c r="W216" t="str">
        <f>IF(AND(Table1[[#This Row],[Years
InCurrentRole]]&gt; 4, Table1[[#This Row],[Performance
Rating]]&gt;=3), "High Risk", "Normal")</f>
        <v>Normal</v>
      </c>
      <c r="X216" t="str">
        <f>IF(Table1[[#This Row],[Performance
Rating]]&gt;=4, "High Performer", "Low Performer")</f>
        <v>High Performer</v>
      </c>
    </row>
    <row r="217" spans="2:24" x14ac:dyDescent="0.3">
      <c r="B217" t="s">
        <v>27</v>
      </c>
      <c r="C217" t="s">
        <v>20</v>
      </c>
      <c r="D217">
        <v>1</v>
      </c>
      <c r="E217" t="s">
        <v>21</v>
      </c>
      <c r="F217">
        <v>2</v>
      </c>
      <c r="G217" t="s">
        <v>32</v>
      </c>
      <c r="H217">
        <v>1</v>
      </c>
      <c r="I217">
        <v>4286</v>
      </c>
      <c r="J217">
        <v>14</v>
      </c>
      <c r="K217">
        <v>3</v>
      </c>
      <c r="L217">
        <v>2</v>
      </c>
      <c r="M217">
        <v>5</v>
      </c>
      <c r="N217">
        <v>4</v>
      </c>
      <c r="O217">
        <v>3</v>
      </c>
      <c r="P217">
        <v>1</v>
      </c>
      <c r="Q217">
        <v>1</v>
      </c>
      <c r="R217">
        <v>0</v>
      </c>
      <c r="S217" t="s">
        <v>34</v>
      </c>
      <c r="T217" t="s">
        <v>24</v>
      </c>
      <c r="U217" t="str">
        <f>IF(Table1[[#This Row],[YearsSince
LastPromotion]]&gt; 4, "Delayed", "Normal")</f>
        <v>Normal</v>
      </c>
      <c r="V217" t="str">
        <f>IF(Table1[[#This Row],[Years
InCurrentRole]]&gt;4, "Role Stagnent", "Normal")</f>
        <v>Normal</v>
      </c>
      <c r="W217" t="str">
        <f>IF(AND(Table1[[#This Row],[Years
InCurrentRole]]&gt; 4, Table1[[#This Row],[Performance
Rating]]&gt;=3), "High Risk", "Normal")</f>
        <v>Normal</v>
      </c>
      <c r="X217" t="str">
        <f>IF(Table1[[#This Row],[Performance
Rating]]&gt;=4, "High Performer", "Low Performer")</f>
        <v>Low Performer</v>
      </c>
    </row>
    <row r="218" spans="2:24" x14ac:dyDescent="0.3">
      <c r="B218" t="s">
        <v>19</v>
      </c>
      <c r="C218" t="s">
        <v>25</v>
      </c>
      <c r="D218">
        <v>1</v>
      </c>
      <c r="E218" t="s">
        <v>28</v>
      </c>
      <c r="F218">
        <v>2</v>
      </c>
      <c r="G218" t="s">
        <v>31</v>
      </c>
      <c r="H218">
        <v>2</v>
      </c>
      <c r="I218">
        <v>6540</v>
      </c>
      <c r="J218">
        <v>19</v>
      </c>
      <c r="K218">
        <v>3</v>
      </c>
      <c r="L218">
        <v>0</v>
      </c>
      <c r="M218">
        <v>10</v>
      </c>
      <c r="N218">
        <v>5</v>
      </c>
      <c r="O218">
        <v>3</v>
      </c>
      <c r="P218">
        <v>1</v>
      </c>
      <c r="Q218">
        <v>1</v>
      </c>
      <c r="R218">
        <v>0</v>
      </c>
      <c r="S218" t="s">
        <v>34</v>
      </c>
      <c r="T218" t="s">
        <v>24</v>
      </c>
      <c r="U218" t="str">
        <f>IF(Table1[[#This Row],[YearsSince
LastPromotion]]&gt; 4, "Delayed", "Normal")</f>
        <v>Normal</v>
      </c>
      <c r="V218" t="str">
        <f>IF(Table1[[#This Row],[Years
InCurrentRole]]&gt;4, "Role Stagnent", "Normal")</f>
        <v>Normal</v>
      </c>
      <c r="W218" t="str">
        <f>IF(AND(Table1[[#This Row],[Years
InCurrentRole]]&gt; 4, Table1[[#This Row],[Performance
Rating]]&gt;=3), "High Risk", "Normal")</f>
        <v>Normal</v>
      </c>
      <c r="X218" t="str">
        <f>IF(Table1[[#This Row],[Performance
Rating]]&gt;=4, "High Performer", "Low Performer")</f>
        <v>Low Performer</v>
      </c>
    </row>
    <row r="219" spans="2:24" x14ac:dyDescent="0.3">
      <c r="B219" t="s">
        <v>27</v>
      </c>
      <c r="C219" t="s">
        <v>25</v>
      </c>
      <c r="D219">
        <v>1</v>
      </c>
      <c r="E219" t="s">
        <v>21</v>
      </c>
      <c r="F219">
        <v>1</v>
      </c>
      <c r="G219" t="s">
        <v>26</v>
      </c>
      <c r="H219">
        <v>2</v>
      </c>
      <c r="I219">
        <v>1859</v>
      </c>
      <c r="J219">
        <v>25</v>
      </c>
      <c r="K219">
        <v>4</v>
      </c>
      <c r="L219">
        <v>0</v>
      </c>
      <c r="M219">
        <v>1</v>
      </c>
      <c r="N219">
        <v>2</v>
      </c>
      <c r="O219">
        <v>4</v>
      </c>
      <c r="P219">
        <v>1</v>
      </c>
      <c r="Q219">
        <v>1</v>
      </c>
      <c r="R219">
        <v>0</v>
      </c>
      <c r="S219" t="s">
        <v>34</v>
      </c>
      <c r="T219" t="s">
        <v>24</v>
      </c>
      <c r="U219" t="str">
        <f>IF(Table1[[#This Row],[YearsSince
LastPromotion]]&gt; 4, "Delayed", "Normal")</f>
        <v>Normal</v>
      </c>
      <c r="V219" t="str">
        <f>IF(Table1[[#This Row],[Years
InCurrentRole]]&gt;4, "Role Stagnent", "Normal")</f>
        <v>Normal</v>
      </c>
      <c r="W219" t="str">
        <f>IF(AND(Table1[[#This Row],[Years
InCurrentRole]]&gt; 4, Table1[[#This Row],[Performance
Rating]]&gt;=3), "High Risk", "Normal")</f>
        <v>Normal</v>
      </c>
      <c r="X219" t="str">
        <f>IF(Table1[[#This Row],[Performance
Rating]]&gt;=4, "High Performer", "Low Performer")</f>
        <v>High Performer</v>
      </c>
    </row>
    <row r="220" spans="2:24" x14ac:dyDescent="0.3">
      <c r="B220" t="s">
        <v>19</v>
      </c>
      <c r="C220" t="s">
        <v>25</v>
      </c>
      <c r="D220">
        <v>1</v>
      </c>
      <c r="E220" t="s">
        <v>21</v>
      </c>
      <c r="F220">
        <v>1</v>
      </c>
      <c r="G220" t="s">
        <v>26</v>
      </c>
      <c r="H220">
        <v>1</v>
      </c>
      <c r="I220">
        <v>3419</v>
      </c>
      <c r="J220">
        <v>14</v>
      </c>
      <c r="K220">
        <v>3</v>
      </c>
      <c r="L220">
        <v>1</v>
      </c>
      <c r="M220">
        <v>6</v>
      </c>
      <c r="N220">
        <v>3</v>
      </c>
      <c r="O220">
        <v>4</v>
      </c>
      <c r="P220">
        <v>1</v>
      </c>
      <c r="Q220">
        <v>1</v>
      </c>
      <c r="R220">
        <v>0</v>
      </c>
      <c r="S220" t="s">
        <v>34</v>
      </c>
      <c r="T220" t="s">
        <v>24</v>
      </c>
      <c r="U220" t="str">
        <f>IF(Table1[[#This Row],[YearsSince
LastPromotion]]&gt; 4, "Delayed", "Normal")</f>
        <v>Normal</v>
      </c>
      <c r="V220" t="str">
        <f>IF(Table1[[#This Row],[Years
InCurrentRole]]&gt;4, "Role Stagnent", "Normal")</f>
        <v>Normal</v>
      </c>
      <c r="W220" t="str">
        <f>IF(AND(Table1[[#This Row],[Years
InCurrentRole]]&gt; 4, Table1[[#This Row],[Performance
Rating]]&gt;=3), "High Risk", "Normal")</f>
        <v>Normal</v>
      </c>
      <c r="X220" t="str">
        <f>IF(Table1[[#This Row],[Performance
Rating]]&gt;=4, "High Performer", "Low Performer")</f>
        <v>Low Performer</v>
      </c>
    </row>
    <row r="221" spans="2:24" x14ac:dyDescent="0.3">
      <c r="B221" t="s">
        <v>19</v>
      </c>
      <c r="C221" t="s">
        <v>25</v>
      </c>
      <c r="D221">
        <v>1</v>
      </c>
      <c r="E221" t="s">
        <v>28</v>
      </c>
      <c r="F221">
        <v>1</v>
      </c>
      <c r="G221" t="s">
        <v>26</v>
      </c>
      <c r="H221">
        <v>3</v>
      </c>
      <c r="I221">
        <v>2684</v>
      </c>
      <c r="J221">
        <v>17</v>
      </c>
      <c r="K221">
        <v>3</v>
      </c>
      <c r="L221">
        <v>1</v>
      </c>
      <c r="M221">
        <v>3</v>
      </c>
      <c r="N221">
        <v>0</v>
      </c>
      <c r="O221">
        <v>2</v>
      </c>
      <c r="P221">
        <v>2</v>
      </c>
      <c r="Q221">
        <v>1</v>
      </c>
      <c r="R221">
        <v>0</v>
      </c>
      <c r="S221" t="s">
        <v>23</v>
      </c>
      <c r="T221" t="s">
        <v>24</v>
      </c>
      <c r="U221" t="str">
        <f>IF(Table1[[#This Row],[YearsSince
LastPromotion]]&gt; 4, "Delayed", "Normal")</f>
        <v>Normal</v>
      </c>
      <c r="V221" t="str">
        <f>IF(Table1[[#This Row],[Years
InCurrentRole]]&gt;4, "Role Stagnent", "Normal")</f>
        <v>Normal</v>
      </c>
      <c r="W221" t="str">
        <f>IF(AND(Table1[[#This Row],[Years
InCurrentRole]]&gt; 4, Table1[[#This Row],[Performance
Rating]]&gt;=3), "High Risk", "Normal")</f>
        <v>Normal</v>
      </c>
      <c r="X221" t="str">
        <f>IF(Table1[[#This Row],[Performance
Rating]]&gt;=4, "High Performer", "Low Performer")</f>
        <v>Low Performer</v>
      </c>
    </row>
    <row r="222" spans="2:24" x14ac:dyDescent="0.3">
      <c r="B222" t="s">
        <v>19</v>
      </c>
      <c r="C222" t="s">
        <v>25</v>
      </c>
      <c r="D222">
        <v>1</v>
      </c>
      <c r="E222" t="s">
        <v>21</v>
      </c>
      <c r="F222">
        <v>1</v>
      </c>
      <c r="G222" t="s">
        <v>26</v>
      </c>
      <c r="H222">
        <v>1</v>
      </c>
      <c r="I222">
        <v>3920</v>
      </c>
      <c r="J222">
        <v>14</v>
      </c>
      <c r="K222">
        <v>3</v>
      </c>
      <c r="L222">
        <v>1</v>
      </c>
      <c r="M222">
        <v>17</v>
      </c>
      <c r="N222">
        <v>2</v>
      </c>
      <c r="O222">
        <v>2</v>
      </c>
      <c r="P222">
        <v>3</v>
      </c>
      <c r="Q222">
        <v>1</v>
      </c>
      <c r="R222">
        <v>0</v>
      </c>
      <c r="S222" t="s">
        <v>23</v>
      </c>
      <c r="T222" t="s">
        <v>24</v>
      </c>
      <c r="U222" t="str">
        <f>IF(Table1[[#This Row],[YearsSince
LastPromotion]]&gt; 4, "Delayed", "Normal")</f>
        <v>Normal</v>
      </c>
      <c r="V222" t="str">
        <f>IF(Table1[[#This Row],[Years
InCurrentRole]]&gt;4, "Role Stagnent", "Normal")</f>
        <v>Normal</v>
      </c>
      <c r="W222" t="str">
        <f>IF(AND(Table1[[#This Row],[Years
InCurrentRole]]&gt; 4, Table1[[#This Row],[Performance
Rating]]&gt;=3), "High Risk", "Normal")</f>
        <v>Normal</v>
      </c>
      <c r="X222" t="str">
        <f>IF(Table1[[#This Row],[Performance
Rating]]&gt;=4, "High Performer", "Low Performer")</f>
        <v>Low Performer</v>
      </c>
    </row>
    <row r="223" spans="2:24" x14ac:dyDescent="0.3">
      <c r="B223" t="s">
        <v>19</v>
      </c>
      <c r="C223" t="s">
        <v>25</v>
      </c>
      <c r="D223">
        <v>1</v>
      </c>
      <c r="E223" t="s">
        <v>28</v>
      </c>
      <c r="F223">
        <v>1</v>
      </c>
      <c r="G223" t="s">
        <v>26</v>
      </c>
      <c r="H223">
        <v>3</v>
      </c>
      <c r="I223">
        <v>2703</v>
      </c>
      <c r="J223">
        <v>14</v>
      </c>
      <c r="K223">
        <v>3</v>
      </c>
      <c r="L223">
        <v>1</v>
      </c>
      <c r="M223">
        <v>3</v>
      </c>
      <c r="N223">
        <v>2</v>
      </c>
      <c r="O223">
        <v>3</v>
      </c>
      <c r="P223">
        <v>3</v>
      </c>
      <c r="Q223">
        <v>1</v>
      </c>
      <c r="R223">
        <v>0</v>
      </c>
      <c r="S223" t="s">
        <v>34</v>
      </c>
      <c r="T223" t="s">
        <v>24</v>
      </c>
      <c r="U223" t="str">
        <f>IF(Table1[[#This Row],[YearsSince
LastPromotion]]&gt; 4, "Delayed", "Normal")</f>
        <v>Normal</v>
      </c>
      <c r="V223" t="str">
        <f>IF(Table1[[#This Row],[Years
InCurrentRole]]&gt;4, "Role Stagnent", "Normal")</f>
        <v>Normal</v>
      </c>
      <c r="W223" t="str">
        <f>IF(AND(Table1[[#This Row],[Years
InCurrentRole]]&gt; 4, Table1[[#This Row],[Performance
Rating]]&gt;=3), "High Risk", "Normal")</f>
        <v>Normal</v>
      </c>
      <c r="X223" t="str">
        <f>IF(Table1[[#This Row],[Performance
Rating]]&gt;=4, "High Performer", "Low Performer")</f>
        <v>Low Performer</v>
      </c>
    </row>
    <row r="224" spans="2:24" x14ac:dyDescent="0.3">
      <c r="B224" t="s">
        <v>19</v>
      </c>
      <c r="C224" t="s">
        <v>20</v>
      </c>
      <c r="D224">
        <v>1</v>
      </c>
      <c r="E224" t="s">
        <v>21</v>
      </c>
      <c r="F224">
        <v>1</v>
      </c>
      <c r="G224" t="s">
        <v>30</v>
      </c>
      <c r="H224">
        <v>4</v>
      </c>
      <c r="I224">
        <v>2157</v>
      </c>
      <c r="J224">
        <v>15</v>
      </c>
      <c r="K224">
        <v>3</v>
      </c>
      <c r="L224">
        <v>1</v>
      </c>
      <c r="M224">
        <v>3</v>
      </c>
      <c r="N224">
        <v>5</v>
      </c>
      <c r="O224">
        <v>3</v>
      </c>
      <c r="P224">
        <v>3</v>
      </c>
      <c r="Q224">
        <v>1</v>
      </c>
      <c r="R224">
        <v>0</v>
      </c>
      <c r="S224" t="s">
        <v>34</v>
      </c>
      <c r="T224" t="s">
        <v>24</v>
      </c>
      <c r="U224" t="str">
        <f>IF(Table1[[#This Row],[YearsSince
LastPromotion]]&gt; 4, "Delayed", "Normal")</f>
        <v>Normal</v>
      </c>
      <c r="V224" t="str">
        <f>IF(Table1[[#This Row],[Years
InCurrentRole]]&gt;4, "Role Stagnent", "Normal")</f>
        <v>Normal</v>
      </c>
      <c r="W224" t="str">
        <f>IF(AND(Table1[[#This Row],[Years
InCurrentRole]]&gt; 4, Table1[[#This Row],[Performance
Rating]]&gt;=3), "High Risk", "Normal")</f>
        <v>Normal</v>
      </c>
      <c r="X224" t="str">
        <f>IF(Table1[[#This Row],[Performance
Rating]]&gt;=4, "High Performer", "Low Performer")</f>
        <v>Low Performer</v>
      </c>
    </row>
    <row r="225" spans="2:24" x14ac:dyDescent="0.3">
      <c r="B225" t="s">
        <v>19</v>
      </c>
      <c r="C225" t="s">
        <v>25</v>
      </c>
      <c r="D225">
        <v>1</v>
      </c>
      <c r="E225" t="s">
        <v>28</v>
      </c>
      <c r="F225">
        <v>1</v>
      </c>
      <c r="G225" t="s">
        <v>26</v>
      </c>
      <c r="H225">
        <v>4</v>
      </c>
      <c r="I225">
        <v>2500</v>
      </c>
      <c r="J225">
        <v>14</v>
      </c>
      <c r="K225">
        <v>3</v>
      </c>
      <c r="L225">
        <v>0</v>
      </c>
      <c r="M225">
        <v>4</v>
      </c>
      <c r="N225">
        <v>2</v>
      </c>
      <c r="O225">
        <v>4</v>
      </c>
      <c r="P225">
        <v>3</v>
      </c>
      <c r="Q225">
        <v>1</v>
      </c>
      <c r="R225">
        <v>0</v>
      </c>
      <c r="S225" t="s">
        <v>34</v>
      </c>
      <c r="T225" t="s">
        <v>24</v>
      </c>
      <c r="U225" t="str">
        <f>IF(Table1[[#This Row],[YearsSince
LastPromotion]]&gt; 4, "Delayed", "Normal")</f>
        <v>Normal</v>
      </c>
      <c r="V225" t="str">
        <f>IF(Table1[[#This Row],[Years
InCurrentRole]]&gt;4, "Role Stagnent", "Normal")</f>
        <v>Normal</v>
      </c>
      <c r="W225" t="str">
        <f>IF(AND(Table1[[#This Row],[Years
InCurrentRole]]&gt; 4, Table1[[#This Row],[Performance
Rating]]&gt;=3), "High Risk", "Normal")</f>
        <v>Normal</v>
      </c>
      <c r="X225" t="str">
        <f>IF(Table1[[#This Row],[Performance
Rating]]&gt;=4, "High Performer", "Low Performer")</f>
        <v>Low Performer</v>
      </c>
    </row>
    <row r="226" spans="2:24" x14ac:dyDescent="0.3">
      <c r="B226" t="s">
        <v>27</v>
      </c>
      <c r="C226" t="s">
        <v>25</v>
      </c>
      <c r="D226">
        <v>1</v>
      </c>
      <c r="E226" t="s">
        <v>28</v>
      </c>
      <c r="F226">
        <v>1</v>
      </c>
      <c r="G226" t="s">
        <v>29</v>
      </c>
      <c r="H226">
        <v>4</v>
      </c>
      <c r="I226">
        <v>2367</v>
      </c>
      <c r="J226">
        <v>12</v>
      </c>
      <c r="K226">
        <v>3</v>
      </c>
      <c r="L226">
        <v>1</v>
      </c>
      <c r="M226">
        <v>6</v>
      </c>
      <c r="N226">
        <v>2</v>
      </c>
      <c r="O226">
        <v>2</v>
      </c>
      <c r="P226">
        <v>4</v>
      </c>
      <c r="Q226">
        <v>1</v>
      </c>
      <c r="R226">
        <v>0</v>
      </c>
      <c r="S226" t="s">
        <v>23</v>
      </c>
      <c r="T226" t="s">
        <v>38</v>
      </c>
      <c r="U226" t="str">
        <f>IF(Table1[[#This Row],[YearsSince
LastPromotion]]&gt; 4, "Delayed", "Normal")</f>
        <v>Normal</v>
      </c>
      <c r="V226" t="str">
        <f>IF(Table1[[#This Row],[Years
InCurrentRole]]&gt;4, "Role Stagnent", "Normal")</f>
        <v>Normal</v>
      </c>
      <c r="W226" t="str">
        <f>IF(AND(Table1[[#This Row],[Years
InCurrentRole]]&gt; 4, Table1[[#This Row],[Performance
Rating]]&gt;=3), "High Risk", "Normal")</f>
        <v>Normal</v>
      </c>
      <c r="X226" t="str">
        <f>IF(Table1[[#This Row],[Performance
Rating]]&gt;=4, "High Performer", "Low Performer")</f>
        <v>Low Performer</v>
      </c>
    </row>
    <row r="227" spans="2:24" x14ac:dyDescent="0.3">
      <c r="B227" t="s">
        <v>27</v>
      </c>
      <c r="C227" t="s">
        <v>25</v>
      </c>
      <c r="D227">
        <v>1</v>
      </c>
      <c r="E227" t="s">
        <v>21</v>
      </c>
      <c r="F227">
        <v>1</v>
      </c>
      <c r="G227" t="s">
        <v>26</v>
      </c>
      <c r="H227">
        <v>3</v>
      </c>
      <c r="I227">
        <v>2432</v>
      </c>
      <c r="J227">
        <v>14</v>
      </c>
      <c r="K227">
        <v>3</v>
      </c>
      <c r="L227">
        <v>0</v>
      </c>
      <c r="M227">
        <v>8</v>
      </c>
      <c r="N227">
        <v>2</v>
      </c>
      <c r="O227">
        <v>3</v>
      </c>
      <c r="P227">
        <v>4</v>
      </c>
      <c r="Q227">
        <v>1</v>
      </c>
      <c r="R227">
        <v>0</v>
      </c>
      <c r="S227" t="s">
        <v>34</v>
      </c>
      <c r="T227" t="s">
        <v>38</v>
      </c>
      <c r="U227" t="str">
        <f>IF(Table1[[#This Row],[YearsSince
LastPromotion]]&gt; 4, "Delayed", "Normal")</f>
        <v>Normal</v>
      </c>
      <c r="V227" t="str">
        <f>IF(Table1[[#This Row],[Years
InCurrentRole]]&gt;4, "Role Stagnent", "Normal")</f>
        <v>Normal</v>
      </c>
      <c r="W227" t="str">
        <f>IF(AND(Table1[[#This Row],[Years
InCurrentRole]]&gt; 4, Table1[[#This Row],[Performance
Rating]]&gt;=3), "High Risk", "Normal")</f>
        <v>Normal</v>
      </c>
      <c r="X227" t="str">
        <f>IF(Table1[[#This Row],[Performance
Rating]]&gt;=4, "High Performer", "Low Performer")</f>
        <v>Low Performer</v>
      </c>
    </row>
    <row r="228" spans="2:24" x14ac:dyDescent="0.3">
      <c r="B228" t="s">
        <v>19</v>
      </c>
      <c r="C228" t="s">
        <v>25</v>
      </c>
      <c r="D228">
        <v>1</v>
      </c>
      <c r="E228" t="s">
        <v>28</v>
      </c>
      <c r="F228">
        <v>1</v>
      </c>
      <c r="G228" t="s">
        <v>29</v>
      </c>
      <c r="H228">
        <v>2</v>
      </c>
      <c r="I228">
        <v>2794</v>
      </c>
      <c r="J228">
        <v>20</v>
      </c>
      <c r="K228">
        <v>4</v>
      </c>
      <c r="L228">
        <v>0</v>
      </c>
      <c r="M228">
        <v>5</v>
      </c>
      <c r="N228">
        <v>3</v>
      </c>
      <c r="O228">
        <v>1</v>
      </c>
      <c r="P228">
        <v>5</v>
      </c>
      <c r="Q228">
        <v>1</v>
      </c>
      <c r="R228">
        <v>0</v>
      </c>
      <c r="S228" t="s">
        <v>23</v>
      </c>
      <c r="T228" t="s">
        <v>37</v>
      </c>
      <c r="U228" t="str">
        <f>IF(Table1[[#This Row],[YearsSince
LastPromotion]]&gt; 4, "Delayed", "Normal")</f>
        <v>Normal</v>
      </c>
      <c r="V228" t="str">
        <f>IF(Table1[[#This Row],[Years
InCurrentRole]]&gt;4, "Role Stagnent", "Normal")</f>
        <v>Normal</v>
      </c>
      <c r="W228" t="str">
        <f>IF(AND(Table1[[#This Row],[Years
InCurrentRole]]&gt; 4, Table1[[#This Row],[Performance
Rating]]&gt;=3), "High Risk", "Normal")</f>
        <v>Normal</v>
      </c>
      <c r="X228" t="str">
        <f>IF(Table1[[#This Row],[Performance
Rating]]&gt;=4, "High Performer", "Low Performer")</f>
        <v>High Performer</v>
      </c>
    </row>
    <row r="229" spans="2:24" x14ac:dyDescent="0.3">
      <c r="B229" t="s">
        <v>19</v>
      </c>
      <c r="C229" t="s">
        <v>36</v>
      </c>
      <c r="D229">
        <v>1</v>
      </c>
      <c r="E229" t="s">
        <v>28</v>
      </c>
      <c r="F229">
        <v>1</v>
      </c>
      <c r="G229" t="s">
        <v>36</v>
      </c>
      <c r="H229">
        <v>4</v>
      </c>
      <c r="I229">
        <v>4936</v>
      </c>
      <c r="J229">
        <v>13</v>
      </c>
      <c r="K229">
        <v>3</v>
      </c>
      <c r="L229">
        <v>1</v>
      </c>
      <c r="M229">
        <v>6</v>
      </c>
      <c r="N229">
        <v>6</v>
      </c>
      <c r="O229">
        <v>3</v>
      </c>
      <c r="P229">
        <v>5</v>
      </c>
      <c r="Q229">
        <v>1</v>
      </c>
      <c r="R229">
        <v>0</v>
      </c>
      <c r="S229" t="s">
        <v>34</v>
      </c>
      <c r="T229" t="s">
        <v>37</v>
      </c>
      <c r="U229" t="str">
        <f>IF(Table1[[#This Row],[YearsSince
LastPromotion]]&gt; 4, "Delayed", "Normal")</f>
        <v>Normal</v>
      </c>
      <c r="V229" t="str">
        <f>IF(Table1[[#This Row],[Years
InCurrentRole]]&gt;4, "Role Stagnent", "Normal")</f>
        <v>Normal</v>
      </c>
      <c r="W229" t="str">
        <f>IF(AND(Table1[[#This Row],[Years
InCurrentRole]]&gt; 4, Table1[[#This Row],[Performance
Rating]]&gt;=3), "High Risk", "Normal")</f>
        <v>Normal</v>
      </c>
      <c r="X229" t="str">
        <f>IF(Table1[[#This Row],[Performance
Rating]]&gt;=4, "High Performer", "Low Performer")</f>
        <v>Low Performer</v>
      </c>
    </row>
    <row r="230" spans="2:24" x14ac:dyDescent="0.3">
      <c r="B230" t="s">
        <v>19</v>
      </c>
      <c r="C230" t="s">
        <v>20</v>
      </c>
      <c r="D230">
        <v>1</v>
      </c>
      <c r="E230" t="s">
        <v>21</v>
      </c>
      <c r="F230">
        <v>2</v>
      </c>
      <c r="G230" t="s">
        <v>32</v>
      </c>
      <c r="H230">
        <v>4</v>
      </c>
      <c r="I230">
        <v>4507</v>
      </c>
      <c r="J230">
        <v>12</v>
      </c>
      <c r="K230">
        <v>3</v>
      </c>
      <c r="L230">
        <v>0</v>
      </c>
      <c r="M230">
        <v>8</v>
      </c>
      <c r="N230">
        <v>1</v>
      </c>
      <c r="O230">
        <v>4</v>
      </c>
      <c r="P230">
        <v>5</v>
      </c>
      <c r="Q230">
        <v>1</v>
      </c>
      <c r="R230">
        <v>0</v>
      </c>
      <c r="S230" t="s">
        <v>34</v>
      </c>
      <c r="T230" t="s">
        <v>37</v>
      </c>
      <c r="U230" t="str">
        <f>IF(Table1[[#This Row],[YearsSince
LastPromotion]]&gt; 4, "Delayed", "Normal")</f>
        <v>Normal</v>
      </c>
      <c r="V230" t="str">
        <f>IF(Table1[[#This Row],[Years
InCurrentRole]]&gt;4, "Role Stagnent", "Normal")</f>
        <v>Normal</v>
      </c>
      <c r="W230" t="str">
        <f>IF(AND(Table1[[#This Row],[Years
InCurrentRole]]&gt; 4, Table1[[#This Row],[Performance
Rating]]&gt;=3), "High Risk", "Normal")</f>
        <v>Normal</v>
      </c>
      <c r="X230" t="str">
        <f>IF(Table1[[#This Row],[Performance
Rating]]&gt;=4, "High Performer", "Low Performer")</f>
        <v>Low Performer</v>
      </c>
    </row>
    <row r="231" spans="2:24" x14ac:dyDescent="0.3">
      <c r="B231" t="s">
        <v>19</v>
      </c>
      <c r="C231" t="s">
        <v>25</v>
      </c>
      <c r="D231">
        <v>1</v>
      </c>
      <c r="E231" t="s">
        <v>21</v>
      </c>
      <c r="F231">
        <v>1</v>
      </c>
      <c r="G231" t="s">
        <v>29</v>
      </c>
      <c r="H231">
        <v>2</v>
      </c>
      <c r="I231">
        <v>2468</v>
      </c>
      <c r="J231">
        <v>14</v>
      </c>
      <c r="K231">
        <v>3</v>
      </c>
      <c r="L231">
        <v>1</v>
      </c>
      <c r="M231">
        <v>9</v>
      </c>
      <c r="N231">
        <v>4</v>
      </c>
      <c r="O231">
        <v>2</v>
      </c>
      <c r="P231">
        <v>6</v>
      </c>
      <c r="Q231">
        <v>1</v>
      </c>
      <c r="R231">
        <v>0</v>
      </c>
      <c r="S231" t="s">
        <v>23</v>
      </c>
      <c r="T231" t="s">
        <v>37</v>
      </c>
      <c r="U231" t="str">
        <f>IF(Table1[[#This Row],[YearsSince
LastPromotion]]&gt; 4, "Delayed", "Normal")</f>
        <v>Normal</v>
      </c>
      <c r="V231" t="str">
        <f>IF(Table1[[#This Row],[Years
InCurrentRole]]&gt;4, "Role Stagnent", "Normal")</f>
        <v>Normal</v>
      </c>
      <c r="W231" t="str">
        <f>IF(AND(Table1[[#This Row],[Years
InCurrentRole]]&gt; 4, Table1[[#This Row],[Performance
Rating]]&gt;=3), "High Risk", "Normal")</f>
        <v>Normal</v>
      </c>
      <c r="X231" t="str">
        <f>IF(Table1[[#This Row],[Performance
Rating]]&gt;=4, "High Performer", "Low Performer")</f>
        <v>Low Performer</v>
      </c>
    </row>
    <row r="232" spans="2:24" x14ac:dyDescent="0.3">
      <c r="B232" t="s">
        <v>19</v>
      </c>
      <c r="C232" t="s">
        <v>25</v>
      </c>
      <c r="D232">
        <v>1</v>
      </c>
      <c r="E232" t="s">
        <v>21</v>
      </c>
      <c r="F232">
        <v>4</v>
      </c>
      <c r="G232" t="s">
        <v>35</v>
      </c>
      <c r="H232">
        <v>3</v>
      </c>
      <c r="I232">
        <v>16184</v>
      </c>
      <c r="J232">
        <v>19</v>
      </c>
      <c r="K232">
        <v>3</v>
      </c>
      <c r="L232">
        <v>1</v>
      </c>
      <c r="M232">
        <v>10</v>
      </c>
      <c r="N232">
        <v>2</v>
      </c>
      <c r="O232">
        <v>3</v>
      </c>
      <c r="P232">
        <v>6</v>
      </c>
      <c r="Q232">
        <v>1</v>
      </c>
      <c r="R232">
        <v>0</v>
      </c>
      <c r="S232" t="s">
        <v>34</v>
      </c>
      <c r="T232" t="s">
        <v>37</v>
      </c>
      <c r="U232" t="str">
        <f>IF(Table1[[#This Row],[YearsSince
LastPromotion]]&gt; 4, "Delayed", "Normal")</f>
        <v>Normal</v>
      </c>
      <c r="V232" t="str">
        <f>IF(Table1[[#This Row],[Years
InCurrentRole]]&gt;4, "Role Stagnent", "Normal")</f>
        <v>Normal</v>
      </c>
      <c r="W232" t="str">
        <f>IF(AND(Table1[[#This Row],[Years
InCurrentRole]]&gt; 4, Table1[[#This Row],[Performance
Rating]]&gt;=3), "High Risk", "Normal")</f>
        <v>Normal</v>
      </c>
      <c r="X232" t="str">
        <f>IF(Table1[[#This Row],[Performance
Rating]]&gt;=4, "High Performer", "Low Performer")</f>
        <v>Low Performer</v>
      </c>
    </row>
    <row r="233" spans="2:24" x14ac:dyDescent="0.3">
      <c r="B233" t="s">
        <v>19</v>
      </c>
      <c r="C233" t="s">
        <v>20</v>
      </c>
      <c r="D233">
        <v>1</v>
      </c>
      <c r="E233" t="s">
        <v>21</v>
      </c>
      <c r="F233">
        <v>2</v>
      </c>
      <c r="G233" t="s">
        <v>32</v>
      </c>
      <c r="H233">
        <v>4</v>
      </c>
      <c r="I233">
        <v>5171</v>
      </c>
      <c r="J233">
        <v>17</v>
      </c>
      <c r="K233">
        <v>3</v>
      </c>
      <c r="L233">
        <v>0</v>
      </c>
      <c r="M233">
        <v>13</v>
      </c>
      <c r="N233">
        <v>2</v>
      </c>
      <c r="O233">
        <v>3</v>
      </c>
      <c r="P233">
        <v>6</v>
      </c>
      <c r="Q233">
        <v>1</v>
      </c>
      <c r="R233">
        <v>0</v>
      </c>
      <c r="S233" t="s">
        <v>34</v>
      </c>
      <c r="T233" t="s">
        <v>37</v>
      </c>
      <c r="U233" t="str">
        <f>IF(Table1[[#This Row],[YearsSince
LastPromotion]]&gt; 4, "Delayed", "Normal")</f>
        <v>Normal</v>
      </c>
      <c r="V233" t="str">
        <f>IF(Table1[[#This Row],[Years
InCurrentRole]]&gt;4, "Role Stagnent", "Normal")</f>
        <v>Normal</v>
      </c>
      <c r="W233" t="str">
        <f>IF(AND(Table1[[#This Row],[Years
InCurrentRole]]&gt; 4, Table1[[#This Row],[Performance
Rating]]&gt;=3), "High Risk", "Normal")</f>
        <v>Normal</v>
      </c>
      <c r="X233" t="str">
        <f>IF(Table1[[#This Row],[Performance
Rating]]&gt;=4, "High Performer", "Low Performer")</f>
        <v>Low Performer</v>
      </c>
    </row>
    <row r="234" spans="2:24" x14ac:dyDescent="0.3">
      <c r="B234" t="s">
        <v>27</v>
      </c>
      <c r="C234" t="s">
        <v>25</v>
      </c>
      <c r="D234">
        <v>1</v>
      </c>
      <c r="E234" t="s">
        <v>28</v>
      </c>
      <c r="F234">
        <v>2</v>
      </c>
      <c r="G234" t="s">
        <v>29</v>
      </c>
      <c r="H234">
        <v>1</v>
      </c>
      <c r="I234">
        <v>5346</v>
      </c>
      <c r="J234">
        <v>17</v>
      </c>
      <c r="K234">
        <v>3</v>
      </c>
      <c r="L234">
        <v>1</v>
      </c>
      <c r="M234">
        <v>11</v>
      </c>
      <c r="N234">
        <v>3</v>
      </c>
      <c r="O234">
        <v>2</v>
      </c>
      <c r="P234">
        <v>7</v>
      </c>
      <c r="Q234">
        <v>1</v>
      </c>
      <c r="R234">
        <v>0</v>
      </c>
      <c r="S234" t="s">
        <v>23</v>
      </c>
      <c r="T234" t="s">
        <v>37</v>
      </c>
      <c r="U234" t="str">
        <f>IF(Table1[[#This Row],[YearsSince
LastPromotion]]&gt; 4, "Delayed", "Normal")</f>
        <v>Normal</v>
      </c>
      <c r="V234" t="str">
        <f>IF(Table1[[#This Row],[Years
InCurrentRole]]&gt;4, "Role Stagnent", "Normal")</f>
        <v>Normal</v>
      </c>
      <c r="W234" t="str">
        <f>IF(AND(Table1[[#This Row],[Years
InCurrentRole]]&gt; 4, Table1[[#This Row],[Performance
Rating]]&gt;=3), "High Risk", "Normal")</f>
        <v>Normal</v>
      </c>
      <c r="X234" t="str">
        <f>IF(Table1[[#This Row],[Performance
Rating]]&gt;=4, "High Performer", "Low Performer")</f>
        <v>Low Performer</v>
      </c>
    </row>
    <row r="235" spans="2:24" x14ac:dyDescent="0.3">
      <c r="B235" t="s">
        <v>19</v>
      </c>
      <c r="C235" t="s">
        <v>25</v>
      </c>
      <c r="D235">
        <v>1</v>
      </c>
      <c r="E235" t="s">
        <v>21</v>
      </c>
      <c r="F235">
        <v>4</v>
      </c>
      <c r="G235" t="s">
        <v>31</v>
      </c>
      <c r="H235">
        <v>3</v>
      </c>
      <c r="I235">
        <v>13964</v>
      </c>
      <c r="J235">
        <v>12</v>
      </c>
      <c r="K235">
        <v>3</v>
      </c>
      <c r="L235">
        <v>0</v>
      </c>
      <c r="M235">
        <v>25</v>
      </c>
      <c r="N235">
        <v>2</v>
      </c>
      <c r="O235">
        <v>3</v>
      </c>
      <c r="P235">
        <v>7</v>
      </c>
      <c r="Q235">
        <v>1</v>
      </c>
      <c r="R235">
        <v>0</v>
      </c>
      <c r="S235" t="s">
        <v>34</v>
      </c>
      <c r="T235" t="s">
        <v>37</v>
      </c>
      <c r="U235" t="str">
        <f>IF(Table1[[#This Row],[YearsSince
LastPromotion]]&gt; 4, "Delayed", "Normal")</f>
        <v>Normal</v>
      </c>
      <c r="V235" t="str">
        <f>IF(Table1[[#This Row],[Years
InCurrentRole]]&gt;4, "Role Stagnent", "Normal")</f>
        <v>Normal</v>
      </c>
      <c r="W235" t="str">
        <f>IF(AND(Table1[[#This Row],[Years
InCurrentRole]]&gt; 4, Table1[[#This Row],[Performance
Rating]]&gt;=3), "High Risk", "Normal")</f>
        <v>Normal</v>
      </c>
      <c r="X235" t="str">
        <f>IF(Table1[[#This Row],[Performance
Rating]]&gt;=4, "High Performer", "Low Performer")</f>
        <v>Low Performer</v>
      </c>
    </row>
    <row r="236" spans="2:24" x14ac:dyDescent="0.3">
      <c r="B236" t="s">
        <v>19</v>
      </c>
      <c r="C236" t="s">
        <v>25</v>
      </c>
      <c r="D236">
        <v>1</v>
      </c>
      <c r="E236" t="s">
        <v>21</v>
      </c>
      <c r="F236">
        <v>3</v>
      </c>
      <c r="G236" t="s">
        <v>22</v>
      </c>
      <c r="H236">
        <v>1</v>
      </c>
      <c r="I236">
        <v>11916</v>
      </c>
      <c r="J236">
        <v>23</v>
      </c>
      <c r="K236">
        <v>4</v>
      </c>
      <c r="L236">
        <v>2</v>
      </c>
      <c r="M236">
        <v>9</v>
      </c>
      <c r="N236">
        <v>2</v>
      </c>
      <c r="O236">
        <v>3</v>
      </c>
      <c r="P236">
        <v>9</v>
      </c>
      <c r="Q236">
        <v>1</v>
      </c>
      <c r="R236">
        <v>0</v>
      </c>
      <c r="S236" t="s">
        <v>34</v>
      </c>
      <c r="T236" t="s">
        <v>37</v>
      </c>
      <c r="U236" t="str">
        <f>IF(Table1[[#This Row],[YearsSince
LastPromotion]]&gt; 4, "Delayed", "Normal")</f>
        <v>Normal</v>
      </c>
      <c r="V236" t="str">
        <f>IF(Table1[[#This Row],[Years
InCurrentRole]]&gt;4, "Role Stagnent", "Normal")</f>
        <v>Normal</v>
      </c>
      <c r="W236" t="str">
        <f>IF(AND(Table1[[#This Row],[Years
InCurrentRole]]&gt; 4, Table1[[#This Row],[Performance
Rating]]&gt;=3), "High Risk", "Normal")</f>
        <v>Normal</v>
      </c>
      <c r="X236" t="str">
        <f>IF(Table1[[#This Row],[Performance
Rating]]&gt;=4, "High Performer", "Low Performer")</f>
        <v>High Performer</v>
      </c>
    </row>
    <row r="237" spans="2:24" x14ac:dyDescent="0.3">
      <c r="B237" t="s">
        <v>19</v>
      </c>
      <c r="C237" t="s">
        <v>36</v>
      </c>
      <c r="D237">
        <v>1</v>
      </c>
      <c r="E237" t="s">
        <v>28</v>
      </c>
      <c r="F237">
        <v>2</v>
      </c>
      <c r="G237" t="s">
        <v>36</v>
      </c>
      <c r="H237">
        <v>4</v>
      </c>
      <c r="I237">
        <v>3886</v>
      </c>
      <c r="J237">
        <v>21</v>
      </c>
      <c r="K237">
        <v>4</v>
      </c>
      <c r="L237">
        <v>0</v>
      </c>
      <c r="M237">
        <v>10</v>
      </c>
      <c r="N237">
        <v>2</v>
      </c>
      <c r="O237">
        <v>2</v>
      </c>
      <c r="P237">
        <v>10</v>
      </c>
      <c r="Q237">
        <v>1</v>
      </c>
      <c r="R237">
        <v>0</v>
      </c>
      <c r="S237" t="s">
        <v>23</v>
      </c>
      <c r="T237" t="s">
        <v>37</v>
      </c>
      <c r="U237" t="str">
        <f>IF(Table1[[#This Row],[YearsSince
LastPromotion]]&gt; 4, "Delayed", "Normal")</f>
        <v>Normal</v>
      </c>
      <c r="V237" t="str">
        <f>IF(Table1[[#This Row],[Years
InCurrentRole]]&gt;4, "Role Stagnent", "Normal")</f>
        <v>Normal</v>
      </c>
      <c r="W237" t="str">
        <f>IF(AND(Table1[[#This Row],[Years
InCurrentRole]]&gt; 4, Table1[[#This Row],[Performance
Rating]]&gt;=3), "High Risk", "Normal")</f>
        <v>Normal</v>
      </c>
      <c r="X237" t="str">
        <f>IF(Table1[[#This Row],[Performance
Rating]]&gt;=4, "High Performer", "Low Performer")</f>
        <v>High Performer</v>
      </c>
    </row>
    <row r="238" spans="2:24" x14ac:dyDescent="0.3">
      <c r="B238" t="s">
        <v>19</v>
      </c>
      <c r="C238" t="s">
        <v>20</v>
      </c>
      <c r="D238">
        <v>1</v>
      </c>
      <c r="E238" t="s">
        <v>28</v>
      </c>
      <c r="F238">
        <v>2</v>
      </c>
      <c r="G238" t="s">
        <v>32</v>
      </c>
      <c r="H238">
        <v>4</v>
      </c>
      <c r="I238">
        <v>9725</v>
      </c>
      <c r="J238">
        <v>11</v>
      </c>
      <c r="K238">
        <v>3</v>
      </c>
      <c r="L238">
        <v>1</v>
      </c>
      <c r="M238">
        <v>16</v>
      </c>
      <c r="N238">
        <v>2</v>
      </c>
      <c r="O238">
        <v>2</v>
      </c>
      <c r="P238">
        <v>15</v>
      </c>
      <c r="Q238">
        <v>1</v>
      </c>
      <c r="R238">
        <v>0</v>
      </c>
      <c r="S238" t="s">
        <v>23</v>
      </c>
      <c r="T238" t="s">
        <v>37</v>
      </c>
      <c r="U238" t="str">
        <f>IF(Table1[[#This Row],[YearsSince
LastPromotion]]&gt; 4, "Delayed", "Normal")</f>
        <v>Normal</v>
      </c>
      <c r="V238" t="str">
        <f>IF(Table1[[#This Row],[Years
InCurrentRole]]&gt;4, "Role Stagnent", "Normal")</f>
        <v>Normal</v>
      </c>
      <c r="W238" t="str">
        <f>IF(AND(Table1[[#This Row],[Years
InCurrentRole]]&gt; 4, Table1[[#This Row],[Performance
Rating]]&gt;=3), "High Risk", "Normal")</f>
        <v>Normal</v>
      </c>
      <c r="X238" t="str">
        <f>IF(Table1[[#This Row],[Performance
Rating]]&gt;=4, "High Performer", "Low Performer")</f>
        <v>Low Performer</v>
      </c>
    </row>
    <row r="239" spans="2:24" x14ac:dyDescent="0.3">
      <c r="B239" t="s">
        <v>19</v>
      </c>
      <c r="C239" t="s">
        <v>25</v>
      </c>
      <c r="D239">
        <v>1</v>
      </c>
      <c r="E239" t="s">
        <v>21</v>
      </c>
      <c r="F239">
        <v>1</v>
      </c>
      <c r="G239" t="s">
        <v>26</v>
      </c>
      <c r="H239">
        <v>4</v>
      </c>
      <c r="I239">
        <v>2911</v>
      </c>
      <c r="J239">
        <v>13</v>
      </c>
      <c r="K239">
        <v>3</v>
      </c>
      <c r="L239">
        <v>1</v>
      </c>
      <c r="M239">
        <v>2</v>
      </c>
      <c r="N239">
        <v>2</v>
      </c>
      <c r="O239">
        <v>2</v>
      </c>
      <c r="P239">
        <v>2</v>
      </c>
      <c r="Q239">
        <v>2</v>
      </c>
      <c r="R239">
        <v>0</v>
      </c>
      <c r="S239" t="s">
        <v>23</v>
      </c>
      <c r="T239" t="s">
        <v>24</v>
      </c>
      <c r="U239" t="str">
        <f>IF(Table1[[#This Row],[YearsSince
LastPromotion]]&gt; 4, "Delayed", "Normal")</f>
        <v>Normal</v>
      </c>
      <c r="V239" t="str">
        <f>IF(Table1[[#This Row],[Years
InCurrentRole]]&gt;4, "Role Stagnent", "Normal")</f>
        <v>Normal</v>
      </c>
      <c r="W239" t="str">
        <f>IF(AND(Table1[[#This Row],[Years
InCurrentRole]]&gt; 4, Table1[[#This Row],[Performance
Rating]]&gt;=3), "High Risk", "Normal")</f>
        <v>Normal</v>
      </c>
      <c r="X239" t="str">
        <f>IF(Table1[[#This Row],[Performance
Rating]]&gt;=4, "High Performer", "Low Performer")</f>
        <v>Low Performer</v>
      </c>
    </row>
    <row r="240" spans="2:24" x14ac:dyDescent="0.3">
      <c r="B240" t="s">
        <v>19</v>
      </c>
      <c r="C240" t="s">
        <v>20</v>
      </c>
      <c r="D240">
        <v>1</v>
      </c>
      <c r="E240" t="s">
        <v>21</v>
      </c>
      <c r="F240">
        <v>2</v>
      </c>
      <c r="G240" t="s">
        <v>32</v>
      </c>
      <c r="H240">
        <v>4</v>
      </c>
      <c r="I240">
        <v>4157</v>
      </c>
      <c r="J240">
        <v>19</v>
      </c>
      <c r="K240">
        <v>3</v>
      </c>
      <c r="L240">
        <v>1</v>
      </c>
      <c r="M240">
        <v>5</v>
      </c>
      <c r="N240">
        <v>2</v>
      </c>
      <c r="O240">
        <v>2</v>
      </c>
      <c r="P240">
        <v>2</v>
      </c>
      <c r="Q240">
        <v>2</v>
      </c>
      <c r="R240">
        <v>0</v>
      </c>
      <c r="S240" t="s">
        <v>23</v>
      </c>
      <c r="T240" t="s">
        <v>24</v>
      </c>
      <c r="U240" t="str">
        <f>IF(Table1[[#This Row],[YearsSince
LastPromotion]]&gt; 4, "Delayed", "Normal")</f>
        <v>Normal</v>
      </c>
      <c r="V240" t="str">
        <f>IF(Table1[[#This Row],[Years
InCurrentRole]]&gt;4, "Role Stagnent", "Normal")</f>
        <v>Normal</v>
      </c>
      <c r="W240" t="str">
        <f>IF(AND(Table1[[#This Row],[Years
InCurrentRole]]&gt; 4, Table1[[#This Row],[Performance
Rating]]&gt;=3), "High Risk", "Normal")</f>
        <v>Normal</v>
      </c>
      <c r="X240" t="str">
        <f>IF(Table1[[#This Row],[Performance
Rating]]&gt;=4, "High Performer", "Low Performer")</f>
        <v>Low Performer</v>
      </c>
    </row>
    <row r="241" spans="2:24" x14ac:dyDescent="0.3">
      <c r="B241" t="s">
        <v>19</v>
      </c>
      <c r="C241" t="s">
        <v>25</v>
      </c>
      <c r="D241">
        <v>1</v>
      </c>
      <c r="E241" t="s">
        <v>28</v>
      </c>
      <c r="F241">
        <v>1</v>
      </c>
      <c r="G241" t="s">
        <v>29</v>
      </c>
      <c r="H241">
        <v>3</v>
      </c>
      <c r="I241">
        <v>3977</v>
      </c>
      <c r="J241">
        <v>19</v>
      </c>
      <c r="K241">
        <v>3</v>
      </c>
      <c r="L241">
        <v>1</v>
      </c>
      <c r="M241">
        <v>7</v>
      </c>
      <c r="N241">
        <v>2</v>
      </c>
      <c r="O241">
        <v>2</v>
      </c>
      <c r="P241">
        <v>2</v>
      </c>
      <c r="Q241">
        <v>2</v>
      </c>
      <c r="R241">
        <v>0</v>
      </c>
      <c r="S241" t="s">
        <v>23</v>
      </c>
      <c r="T241" t="s">
        <v>24</v>
      </c>
      <c r="U241" t="str">
        <f>IF(Table1[[#This Row],[YearsSince
LastPromotion]]&gt; 4, "Delayed", "Normal")</f>
        <v>Normal</v>
      </c>
      <c r="V241" t="str">
        <f>IF(Table1[[#This Row],[Years
InCurrentRole]]&gt;4, "Role Stagnent", "Normal")</f>
        <v>Normal</v>
      </c>
      <c r="W241" t="str">
        <f>IF(AND(Table1[[#This Row],[Years
InCurrentRole]]&gt; 4, Table1[[#This Row],[Performance
Rating]]&gt;=3), "High Risk", "Normal")</f>
        <v>Normal</v>
      </c>
      <c r="X241" t="str">
        <f>IF(Table1[[#This Row],[Performance
Rating]]&gt;=4, "High Performer", "Low Performer")</f>
        <v>Low Performer</v>
      </c>
    </row>
    <row r="242" spans="2:24" x14ac:dyDescent="0.3">
      <c r="B242" t="s">
        <v>27</v>
      </c>
      <c r="C242" t="s">
        <v>20</v>
      </c>
      <c r="D242">
        <v>1</v>
      </c>
      <c r="E242" t="s">
        <v>21</v>
      </c>
      <c r="F242">
        <v>1</v>
      </c>
      <c r="G242" t="s">
        <v>30</v>
      </c>
      <c r="H242">
        <v>3</v>
      </c>
      <c r="I242">
        <v>2044</v>
      </c>
      <c r="J242">
        <v>13</v>
      </c>
      <c r="K242">
        <v>3</v>
      </c>
      <c r="L242">
        <v>0</v>
      </c>
      <c r="M242">
        <v>2</v>
      </c>
      <c r="N242">
        <v>3</v>
      </c>
      <c r="O242">
        <v>2</v>
      </c>
      <c r="P242">
        <v>2</v>
      </c>
      <c r="Q242">
        <v>2</v>
      </c>
      <c r="R242">
        <v>0</v>
      </c>
      <c r="S242" t="s">
        <v>23</v>
      </c>
      <c r="T242" t="s">
        <v>24</v>
      </c>
      <c r="U242" t="str">
        <f>IF(Table1[[#This Row],[YearsSince
LastPromotion]]&gt; 4, "Delayed", "Normal")</f>
        <v>Normal</v>
      </c>
      <c r="V242" t="str">
        <f>IF(Table1[[#This Row],[Years
InCurrentRole]]&gt;4, "Role Stagnent", "Normal")</f>
        <v>Normal</v>
      </c>
      <c r="W242" t="str">
        <f>IF(AND(Table1[[#This Row],[Years
InCurrentRole]]&gt; 4, Table1[[#This Row],[Performance
Rating]]&gt;=3), "High Risk", "Normal")</f>
        <v>Normal</v>
      </c>
      <c r="X242" t="str">
        <f>IF(Table1[[#This Row],[Performance
Rating]]&gt;=4, "High Performer", "Low Performer")</f>
        <v>Low Performer</v>
      </c>
    </row>
    <row r="243" spans="2:24" x14ac:dyDescent="0.3">
      <c r="B243" t="s">
        <v>19</v>
      </c>
      <c r="C243" t="s">
        <v>25</v>
      </c>
      <c r="D243">
        <v>1</v>
      </c>
      <c r="E243" t="s">
        <v>28</v>
      </c>
      <c r="F243">
        <v>1</v>
      </c>
      <c r="G243" t="s">
        <v>26</v>
      </c>
      <c r="H243">
        <v>4</v>
      </c>
      <c r="I243">
        <v>2654</v>
      </c>
      <c r="J243">
        <v>21</v>
      </c>
      <c r="K243">
        <v>4</v>
      </c>
      <c r="L243">
        <v>2</v>
      </c>
      <c r="M243">
        <v>8</v>
      </c>
      <c r="N243">
        <v>3</v>
      </c>
      <c r="O243">
        <v>2</v>
      </c>
      <c r="P243">
        <v>2</v>
      </c>
      <c r="Q243">
        <v>2</v>
      </c>
      <c r="R243">
        <v>0</v>
      </c>
      <c r="S243" t="s">
        <v>23</v>
      </c>
      <c r="T243" t="s">
        <v>24</v>
      </c>
      <c r="U243" t="str">
        <f>IF(Table1[[#This Row],[YearsSince
LastPromotion]]&gt; 4, "Delayed", "Normal")</f>
        <v>Normal</v>
      </c>
      <c r="V243" t="str">
        <f>IF(Table1[[#This Row],[Years
InCurrentRole]]&gt;4, "Role Stagnent", "Normal")</f>
        <v>Normal</v>
      </c>
      <c r="W243" t="str">
        <f>IF(AND(Table1[[#This Row],[Years
InCurrentRole]]&gt; 4, Table1[[#This Row],[Performance
Rating]]&gt;=3), "High Risk", "Normal")</f>
        <v>Normal</v>
      </c>
      <c r="X243" t="str">
        <f>IF(Table1[[#This Row],[Performance
Rating]]&gt;=4, "High Performer", "Low Performer")</f>
        <v>High Performer</v>
      </c>
    </row>
    <row r="244" spans="2:24" x14ac:dyDescent="0.3">
      <c r="B244" t="s">
        <v>19</v>
      </c>
      <c r="C244" t="s">
        <v>25</v>
      </c>
      <c r="D244">
        <v>1</v>
      </c>
      <c r="E244" t="s">
        <v>28</v>
      </c>
      <c r="F244">
        <v>1</v>
      </c>
      <c r="G244" t="s">
        <v>29</v>
      </c>
      <c r="H244">
        <v>3</v>
      </c>
      <c r="I244">
        <v>3833</v>
      </c>
      <c r="J244">
        <v>21</v>
      </c>
      <c r="K244">
        <v>4</v>
      </c>
      <c r="L244">
        <v>2</v>
      </c>
      <c r="M244">
        <v>7</v>
      </c>
      <c r="N244">
        <v>2</v>
      </c>
      <c r="O244">
        <v>3</v>
      </c>
      <c r="P244">
        <v>2</v>
      </c>
      <c r="Q244">
        <v>2</v>
      </c>
      <c r="R244">
        <v>0</v>
      </c>
      <c r="S244" t="s">
        <v>34</v>
      </c>
      <c r="T244" t="s">
        <v>24</v>
      </c>
      <c r="U244" t="str">
        <f>IF(Table1[[#This Row],[YearsSince
LastPromotion]]&gt; 4, "Delayed", "Normal")</f>
        <v>Normal</v>
      </c>
      <c r="V244" t="str">
        <f>IF(Table1[[#This Row],[Years
InCurrentRole]]&gt;4, "Role Stagnent", "Normal")</f>
        <v>Normal</v>
      </c>
      <c r="W244" t="str">
        <f>IF(AND(Table1[[#This Row],[Years
InCurrentRole]]&gt; 4, Table1[[#This Row],[Performance
Rating]]&gt;=3), "High Risk", "Normal")</f>
        <v>Normal</v>
      </c>
      <c r="X244" t="str">
        <f>IF(Table1[[#This Row],[Performance
Rating]]&gt;=4, "High Performer", "Low Performer")</f>
        <v>High Performer</v>
      </c>
    </row>
    <row r="245" spans="2:24" x14ac:dyDescent="0.3">
      <c r="B245" t="s">
        <v>19</v>
      </c>
      <c r="C245" t="s">
        <v>20</v>
      </c>
      <c r="D245">
        <v>1</v>
      </c>
      <c r="E245" t="s">
        <v>28</v>
      </c>
      <c r="F245">
        <v>1</v>
      </c>
      <c r="G245" t="s">
        <v>30</v>
      </c>
      <c r="H245">
        <v>1</v>
      </c>
      <c r="I245">
        <v>2728</v>
      </c>
      <c r="J245">
        <v>11</v>
      </c>
      <c r="K245">
        <v>3</v>
      </c>
      <c r="L245">
        <v>0</v>
      </c>
      <c r="M245">
        <v>2</v>
      </c>
      <c r="N245">
        <v>3</v>
      </c>
      <c r="O245">
        <v>3</v>
      </c>
      <c r="P245">
        <v>2</v>
      </c>
      <c r="Q245">
        <v>2</v>
      </c>
      <c r="R245">
        <v>0</v>
      </c>
      <c r="S245" t="s">
        <v>34</v>
      </c>
      <c r="T245" t="s">
        <v>24</v>
      </c>
      <c r="U245" t="str">
        <f>IF(Table1[[#This Row],[YearsSince
LastPromotion]]&gt; 4, "Delayed", "Normal")</f>
        <v>Normal</v>
      </c>
      <c r="V245" t="str">
        <f>IF(Table1[[#This Row],[Years
InCurrentRole]]&gt;4, "Role Stagnent", "Normal")</f>
        <v>Normal</v>
      </c>
      <c r="W245" t="str">
        <f>IF(AND(Table1[[#This Row],[Years
InCurrentRole]]&gt; 4, Table1[[#This Row],[Performance
Rating]]&gt;=3), "High Risk", "Normal")</f>
        <v>Normal</v>
      </c>
      <c r="X245" t="str">
        <f>IF(Table1[[#This Row],[Performance
Rating]]&gt;=4, "High Performer", "Low Performer")</f>
        <v>Low Performer</v>
      </c>
    </row>
    <row r="246" spans="2:24" x14ac:dyDescent="0.3">
      <c r="B246" t="s">
        <v>27</v>
      </c>
      <c r="C246" t="s">
        <v>20</v>
      </c>
      <c r="D246">
        <v>1</v>
      </c>
      <c r="E246" t="s">
        <v>21</v>
      </c>
      <c r="F246">
        <v>1</v>
      </c>
      <c r="G246" t="s">
        <v>30</v>
      </c>
      <c r="H246">
        <v>4</v>
      </c>
      <c r="I246">
        <v>2323</v>
      </c>
      <c r="J246">
        <v>14</v>
      </c>
      <c r="K246">
        <v>3</v>
      </c>
      <c r="L246">
        <v>0</v>
      </c>
      <c r="M246">
        <v>2</v>
      </c>
      <c r="N246">
        <v>3</v>
      </c>
      <c r="O246">
        <v>3</v>
      </c>
      <c r="P246">
        <v>2</v>
      </c>
      <c r="Q246">
        <v>2</v>
      </c>
      <c r="R246">
        <v>0</v>
      </c>
      <c r="S246" t="s">
        <v>34</v>
      </c>
      <c r="T246" t="s">
        <v>24</v>
      </c>
      <c r="U246" t="str">
        <f>IF(Table1[[#This Row],[YearsSince
LastPromotion]]&gt; 4, "Delayed", "Normal")</f>
        <v>Normal</v>
      </c>
      <c r="V246" t="str">
        <f>IF(Table1[[#This Row],[Years
InCurrentRole]]&gt;4, "Role Stagnent", "Normal")</f>
        <v>Normal</v>
      </c>
      <c r="W246" t="str">
        <f>IF(AND(Table1[[#This Row],[Years
InCurrentRole]]&gt; 4, Table1[[#This Row],[Performance
Rating]]&gt;=3), "High Risk", "Normal")</f>
        <v>Normal</v>
      </c>
      <c r="X246" t="str">
        <f>IF(Table1[[#This Row],[Performance
Rating]]&gt;=4, "High Performer", "Low Performer")</f>
        <v>Low Performer</v>
      </c>
    </row>
    <row r="247" spans="2:24" x14ac:dyDescent="0.3">
      <c r="B247" t="s">
        <v>19</v>
      </c>
      <c r="C247" t="s">
        <v>25</v>
      </c>
      <c r="D247">
        <v>1</v>
      </c>
      <c r="E247" t="s">
        <v>28</v>
      </c>
      <c r="F247">
        <v>1</v>
      </c>
      <c r="G247" t="s">
        <v>26</v>
      </c>
      <c r="H247">
        <v>3</v>
      </c>
      <c r="I247">
        <v>3505</v>
      </c>
      <c r="J247">
        <v>18</v>
      </c>
      <c r="K247">
        <v>3</v>
      </c>
      <c r="L247">
        <v>0</v>
      </c>
      <c r="M247">
        <v>2</v>
      </c>
      <c r="N247">
        <v>3</v>
      </c>
      <c r="O247">
        <v>3</v>
      </c>
      <c r="P247">
        <v>2</v>
      </c>
      <c r="Q247">
        <v>2</v>
      </c>
      <c r="R247">
        <v>0</v>
      </c>
      <c r="S247" t="s">
        <v>34</v>
      </c>
      <c r="T247" t="s">
        <v>24</v>
      </c>
      <c r="U247" t="str">
        <f>IF(Table1[[#This Row],[YearsSince
LastPromotion]]&gt; 4, "Delayed", "Normal")</f>
        <v>Normal</v>
      </c>
      <c r="V247" t="str">
        <f>IF(Table1[[#This Row],[Years
InCurrentRole]]&gt;4, "Role Stagnent", "Normal")</f>
        <v>Normal</v>
      </c>
      <c r="W247" t="str">
        <f>IF(AND(Table1[[#This Row],[Years
InCurrentRole]]&gt; 4, Table1[[#This Row],[Performance
Rating]]&gt;=3), "High Risk", "Normal")</f>
        <v>Normal</v>
      </c>
      <c r="X247" t="str">
        <f>IF(Table1[[#This Row],[Performance
Rating]]&gt;=4, "High Performer", "Low Performer")</f>
        <v>Low Performer</v>
      </c>
    </row>
    <row r="248" spans="2:24" x14ac:dyDescent="0.3">
      <c r="B248" t="s">
        <v>27</v>
      </c>
      <c r="C248" t="s">
        <v>25</v>
      </c>
      <c r="D248">
        <v>1</v>
      </c>
      <c r="E248" t="s">
        <v>28</v>
      </c>
      <c r="F248">
        <v>1</v>
      </c>
      <c r="G248" t="s">
        <v>29</v>
      </c>
      <c r="H248">
        <v>1</v>
      </c>
      <c r="I248">
        <v>4031</v>
      </c>
      <c r="J248">
        <v>13</v>
      </c>
      <c r="K248">
        <v>3</v>
      </c>
      <c r="L248">
        <v>1</v>
      </c>
      <c r="M248">
        <v>6</v>
      </c>
      <c r="N248">
        <v>5</v>
      </c>
      <c r="O248">
        <v>3</v>
      </c>
      <c r="P248">
        <v>2</v>
      </c>
      <c r="Q248">
        <v>2</v>
      </c>
      <c r="R248">
        <v>0</v>
      </c>
      <c r="S248" t="s">
        <v>34</v>
      </c>
      <c r="T248" t="s">
        <v>24</v>
      </c>
      <c r="U248" t="str">
        <f>IF(Table1[[#This Row],[YearsSince
LastPromotion]]&gt; 4, "Delayed", "Normal")</f>
        <v>Normal</v>
      </c>
      <c r="V248" t="str">
        <f>IF(Table1[[#This Row],[Years
InCurrentRole]]&gt;4, "Role Stagnent", "Normal")</f>
        <v>Normal</v>
      </c>
      <c r="W248" t="str">
        <f>IF(AND(Table1[[#This Row],[Years
InCurrentRole]]&gt; 4, Table1[[#This Row],[Performance
Rating]]&gt;=3), "High Risk", "Normal")</f>
        <v>Normal</v>
      </c>
      <c r="X248" t="str">
        <f>IF(Table1[[#This Row],[Performance
Rating]]&gt;=4, "High Performer", "Low Performer")</f>
        <v>Low Performer</v>
      </c>
    </row>
    <row r="249" spans="2:24" x14ac:dyDescent="0.3">
      <c r="B249" t="s">
        <v>19</v>
      </c>
      <c r="C249" t="s">
        <v>36</v>
      </c>
      <c r="D249">
        <v>1</v>
      </c>
      <c r="E249" t="s">
        <v>21</v>
      </c>
      <c r="F249">
        <v>2</v>
      </c>
      <c r="G249" t="s">
        <v>36</v>
      </c>
      <c r="H249">
        <v>3</v>
      </c>
      <c r="I249">
        <v>5985</v>
      </c>
      <c r="J249">
        <v>11</v>
      </c>
      <c r="K249">
        <v>3</v>
      </c>
      <c r="L249">
        <v>0</v>
      </c>
      <c r="M249">
        <v>10</v>
      </c>
      <c r="N249">
        <v>1</v>
      </c>
      <c r="O249">
        <v>4</v>
      </c>
      <c r="P249">
        <v>2</v>
      </c>
      <c r="Q249">
        <v>2</v>
      </c>
      <c r="R249">
        <v>0</v>
      </c>
      <c r="S249" t="s">
        <v>34</v>
      </c>
      <c r="T249" t="s">
        <v>24</v>
      </c>
      <c r="U249" t="str">
        <f>IF(Table1[[#This Row],[YearsSince
LastPromotion]]&gt; 4, "Delayed", "Normal")</f>
        <v>Normal</v>
      </c>
      <c r="V249" t="str">
        <f>IF(Table1[[#This Row],[Years
InCurrentRole]]&gt;4, "Role Stagnent", "Normal")</f>
        <v>Normal</v>
      </c>
      <c r="W249" t="str">
        <f>IF(AND(Table1[[#This Row],[Years
InCurrentRole]]&gt; 4, Table1[[#This Row],[Performance
Rating]]&gt;=3), "High Risk", "Normal")</f>
        <v>Normal</v>
      </c>
      <c r="X249" t="str">
        <f>IF(Table1[[#This Row],[Performance
Rating]]&gt;=4, "High Performer", "Low Performer")</f>
        <v>Low Performer</v>
      </c>
    </row>
    <row r="250" spans="2:24" x14ac:dyDescent="0.3">
      <c r="B250" t="s">
        <v>19</v>
      </c>
      <c r="C250" t="s">
        <v>25</v>
      </c>
      <c r="D250">
        <v>1</v>
      </c>
      <c r="E250" t="s">
        <v>28</v>
      </c>
      <c r="F250">
        <v>5</v>
      </c>
      <c r="G250" t="s">
        <v>22</v>
      </c>
      <c r="H250">
        <v>4</v>
      </c>
      <c r="I250">
        <v>19513</v>
      </c>
      <c r="J250">
        <v>12</v>
      </c>
      <c r="K250">
        <v>3</v>
      </c>
      <c r="L250">
        <v>1</v>
      </c>
      <c r="M250">
        <v>26</v>
      </c>
      <c r="N250">
        <v>2</v>
      </c>
      <c r="O250">
        <v>4</v>
      </c>
      <c r="P250">
        <v>2</v>
      </c>
      <c r="Q250">
        <v>2</v>
      </c>
      <c r="R250">
        <v>0</v>
      </c>
      <c r="S250" t="s">
        <v>34</v>
      </c>
      <c r="T250" t="s">
        <v>24</v>
      </c>
      <c r="U250" t="str">
        <f>IF(Table1[[#This Row],[YearsSince
LastPromotion]]&gt; 4, "Delayed", "Normal")</f>
        <v>Normal</v>
      </c>
      <c r="V250" t="str">
        <f>IF(Table1[[#This Row],[Years
InCurrentRole]]&gt;4, "Role Stagnent", "Normal")</f>
        <v>Normal</v>
      </c>
      <c r="W250" t="str">
        <f>IF(AND(Table1[[#This Row],[Years
InCurrentRole]]&gt; 4, Table1[[#This Row],[Performance
Rating]]&gt;=3), "High Risk", "Normal")</f>
        <v>Normal</v>
      </c>
      <c r="X250" t="str">
        <f>IF(Table1[[#This Row],[Performance
Rating]]&gt;=4, "High Performer", "Low Performer")</f>
        <v>Low Performer</v>
      </c>
    </row>
    <row r="251" spans="2:24" x14ac:dyDescent="0.3">
      <c r="B251" t="s">
        <v>19</v>
      </c>
      <c r="C251" t="s">
        <v>36</v>
      </c>
      <c r="D251">
        <v>1</v>
      </c>
      <c r="E251" t="s">
        <v>28</v>
      </c>
      <c r="F251">
        <v>1</v>
      </c>
      <c r="G251" t="s">
        <v>36</v>
      </c>
      <c r="H251">
        <v>4</v>
      </c>
      <c r="I251">
        <v>3737</v>
      </c>
      <c r="J251">
        <v>19</v>
      </c>
      <c r="K251">
        <v>3</v>
      </c>
      <c r="L251">
        <v>1</v>
      </c>
      <c r="M251">
        <v>4</v>
      </c>
      <c r="N251">
        <v>1</v>
      </c>
      <c r="O251">
        <v>1</v>
      </c>
      <c r="P251">
        <v>3</v>
      </c>
      <c r="Q251">
        <v>2</v>
      </c>
      <c r="R251">
        <v>0</v>
      </c>
      <c r="S251" t="s">
        <v>23</v>
      </c>
      <c r="T251" t="s">
        <v>24</v>
      </c>
      <c r="U251" t="str">
        <f>IF(Table1[[#This Row],[YearsSince
LastPromotion]]&gt; 4, "Delayed", "Normal")</f>
        <v>Normal</v>
      </c>
      <c r="V251" t="str">
        <f>IF(Table1[[#This Row],[Years
InCurrentRole]]&gt;4, "Role Stagnent", "Normal")</f>
        <v>Normal</v>
      </c>
      <c r="W251" t="str">
        <f>IF(AND(Table1[[#This Row],[Years
InCurrentRole]]&gt; 4, Table1[[#This Row],[Performance
Rating]]&gt;=3), "High Risk", "Normal")</f>
        <v>Normal</v>
      </c>
      <c r="X251" t="str">
        <f>IF(Table1[[#This Row],[Performance
Rating]]&gt;=4, "High Performer", "Low Performer")</f>
        <v>Low Performer</v>
      </c>
    </row>
    <row r="252" spans="2:24" x14ac:dyDescent="0.3">
      <c r="B252" t="s">
        <v>19</v>
      </c>
      <c r="C252" t="s">
        <v>25</v>
      </c>
      <c r="D252">
        <v>1</v>
      </c>
      <c r="E252" t="s">
        <v>28</v>
      </c>
      <c r="F252">
        <v>4</v>
      </c>
      <c r="G252" t="s">
        <v>35</v>
      </c>
      <c r="H252">
        <v>3</v>
      </c>
      <c r="I252">
        <v>17861</v>
      </c>
      <c r="J252">
        <v>13</v>
      </c>
      <c r="K252">
        <v>3</v>
      </c>
      <c r="L252">
        <v>0</v>
      </c>
      <c r="M252">
        <v>26</v>
      </c>
      <c r="N252">
        <v>2</v>
      </c>
      <c r="O252">
        <v>1</v>
      </c>
      <c r="P252">
        <v>3</v>
      </c>
      <c r="Q252">
        <v>2</v>
      </c>
      <c r="R252">
        <v>0</v>
      </c>
      <c r="S252" t="s">
        <v>23</v>
      </c>
      <c r="T252" t="s">
        <v>24</v>
      </c>
      <c r="U252" t="str">
        <f>IF(Table1[[#This Row],[YearsSince
LastPromotion]]&gt; 4, "Delayed", "Normal")</f>
        <v>Normal</v>
      </c>
      <c r="V252" t="str">
        <f>IF(Table1[[#This Row],[Years
InCurrentRole]]&gt;4, "Role Stagnent", "Normal")</f>
        <v>Normal</v>
      </c>
      <c r="W252" t="str">
        <f>IF(AND(Table1[[#This Row],[Years
InCurrentRole]]&gt; 4, Table1[[#This Row],[Performance
Rating]]&gt;=3), "High Risk", "Normal")</f>
        <v>Normal</v>
      </c>
      <c r="X252" t="str">
        <f>IF(Table1[[#This Row],[Performance
Rating]]&gt;=4, "High Performer", "Low Performer")</f>
        <v>Low Performer</v>
      </c>
    </row>
    <row r="253" spans="2:24" x14ac:dyDescent="0.3">
      <c r="B253" t="s">
        <v>19</v>
      </c>
      <c r="C253" t="s">
        <v>25</v>
      </c>
      <c r="D253">
        <v>1</v>
      </c>
      <c r="E253" t="s">
        <v>21</v>
      </c>
      <c r="F253">
        <v>1</v>
      </c>
      <c r="G253" t="s">
        <v>26</v>
      </c>
      <c r="H253">
        <v>4</v>
      </c>
      <c r="I253">
        <v>2886</v>
      </c>
      <c r="J253">
        <v>22</v>
      </c>
      <c r="K253">
        <v>4</v>
      </c>
      <c r="L253">
        <v>2</v>
      </c>
      <c r="M253">
        <v>3</v>
      </c>
      <c r="N253">
        <v>3</v>
      </c>
      <c r="O253">
        <v>1</v>
      </c>
      <c r="P253">
        <v>3</v>
      </c>
      <c r="Q253">
        <v>2</v>
      </c>
      <c r="R253">
        <v>0</v>
      </c>
      <c r="S253" t="s">
        <v>23</v>
      </c>
      <c r="T253" t="s">
        <v>24</v>
      </c>
      <c r="U253" t="str">
        <f>IF(Table1[[#This Row],[YearsSince
LastPromotion]]&gt; 4, "Delayed", "Normal")</f>
        <v>Normal</v>
      </c>
      <c r="V253" t="str">
        <f>IF(Table1[[#This Row],[Years
InCurrentRole]]&gt;4, "Role Stagnent", "Normal")</f>
        <v>Normal</v>
      </c>
      <c r="W253" t="str">
        <f>IF(AND(Table1[[#This Row],[Years
InCurrentRole]]&gt; 4, Table1[[#This Row],[Performance
Rating]]&gt;=3), "High Risk", "Normal")</f>
        <v>Normal</v>
      </c>
      <c r="X253" t="str">
        <f>IF(Table1[[#This Row],[Performance
Rating]]&gt;=4, "High Performer", "Low Performer")</f>
        <v>High Performer</v>
      </c>
    </row>
    <row r="254" spans="2:24" x14ac:dyDescent="0.3">
      <c r="B254" t="s">
        <v>19</v>
      </c>
      <c r="C254" t="s">
        <v>25</v>
      </c>
      <c r="D254">
        <v>1</v>
      </c>
      <c r="E254" t="s">
        <v>21</v>
      </c>
      <c r="F254">
        <v>4</v>
      </c>
      <c r="G254" t="s">
        <v>22</v>
      </c>
      <c r="H254">
        <v>1</v>
      </c>
      <c r="I254">
        <v>15402</v>
      </c>
      <c r="J254">
        <v>11</v>
      </c>
      <c r="K254">
        <v>3</v>
      </c>
      <c r="L254">
        <v>1</v>
      </c>
      <c r="M254">
        <v>21</v>
      </c>
      <c r="N254">
        <v>3</v>
      </c>
      <c r="O254">
        <v>1</v>
      </c>
      <c r="P254">
        <v>3</v>
      </c>
      <c r="Q254">
        <v>2</v>
      </c>
      <c r="R254">
        <v>0</v>
      </c>
      <c r="S254" t="s">
        <v>23</v>
      </c>
      <c r="T254" t="s">
        <v>24</v>
      </c>
      <c r="U254" t="str">
        <f>IF(Table1[[#This Row],[YearsSince
LastPromotion]]&gt; 4, "Delayed", "Normal")</f>
        <v>Normal</v>
      </c>
      <c r="V254" t="str">
        <f>IF(Table1[[#This Row],[Years
InCurrentRole]]&gt;4, "Role Stagnent", "Normal")</f>
        <v>Normal</v>
      </c>
      <c r="W254" t="str">
        <f>IF(AND(Table1[[#This Row],[Years
InCurrentRole]]&gt; 4, Table1[[#This Row],[Performance
Rating]]&gt;=3), "High Risk", "Normal")</f>
        <v>Normal</v>
      </c>
      <c r="X254" t="str">
        <f>IF(Table1[[#This Row],[Performance
Rating]]&gt;=4, "High Performer", "Low Performer")</f>
        <v>Low Performer</v>
      </c>
    </row>
    <row r="255" spans="2:24" x14ac:dyDescent="0.3">
      <c r="B255" t="s">
        <v>19</v>
      </c>
      <c r="C255" t="s">
        <v>25</v>
      </c>
      <c r="D255">
        <v>1</v>
      </c>
      <c r="E255" t="s">
        <v>28</v>
      </c>
      <c r="F255">
        <v>2</v>
      </c>
      <c r="G255" t="s">
        <v>31</v>
      </c>
      <c r="H255">
        <v>4</v>
      </c>
      <c r="I255">
        <v>4876</v>
      </c>
      <c r="J255">
        <v>14</v>
      </c>
      <c r="K255">
        <v>3</v>
      </c>
      <c r="L255">
        <v>1</v>
      </c>
      <c r="M255">
        <v>5</v>
      </c>
      <c r="N255">
        <v>5</v>
      </c>
      <c r="O255">
        <v>1</v>
      </c>
      <c r="P255">
        <v>3</v>
      </c>
      <c r="Q255">
        <v>2</v>
      </c>
      <c r="R255">
        <v>0</v>
      </c>
      <c r="S255" t="s">
        <v>23</v>
      </c>
      <c r="T255" t="s">
        <v>24</v>
      </c>
      <c r="U255" t="str">
        <f>IF(Table1[[#This Row],[YearsSince
LastPromotion]]&gt; 4, "Delayed", "Normal")</f>
        <v>Normal</v>
      </c>
      <c r="V255" t="str">
        <f>IF(Table1[[#This Row],[Years
InCurrentRole]]&gt;4, "Role Stagnent", "Normal")</f>
        <v>Normal</v>
      </c>
      <c r="W255" t="str">
        <f>IF(AND(Table1[[#This Row],[Years
InCurrentRole]]&gt; 4, Table1[[#This Row],[Performance
Rating]]&gt;=3), "High Risk", "Normal")</f>
        <v>Normal</v>
      </c>
      <c r="X255" t="str">
        <f>IF(Table1[[#This Row],[Performance
Rating]]&gt;=4, "High Performer", "Low Performer")</f>
        <v>Low Performer</v>
      </c>
    </row>
    <row r="256" spans="2:24" x14ac:dyDescent="0.3">
      <c r="B256" t="s">
        <v>19</v>
      </c>
      <c r="C256" t="s">
        <v>20</v>
      </c>
      <c r="D256">
        <v>1</v>
      </c>
      <c r="E256" t="s">
        <v>21</v>
      </c>
      <c r="F256">
        <v>1</v>
      </c>
      <c r="G256" t="s">
        <v>30</v>
      </c>
      <c r="H256">
        <v>4</v>
      </c>
      <c r="I256">
        <v>2572</v>
      </c>
      <c r="J256">
        <v>16</v>
      </c>
      <c r="K256">
        <v>3</v>
      </c>
      <c r="L256">
        <v>1</v>
      </c>
      <c r="M256">
        <v>3</v>
      </c>
      <c r="N256">
        <v>1</v>
      </c>
      <c r="O256">
        <v>2</v>
      </c>
      <c r="P256">
        <v>3</v>
      </c>
      <c r="Q256">
        <v>2</v>
      </c>
      <c r="R256">
        <v>0</v>
      </c>
      <c r="S256" t="s">
        <v>23</v>
      </c>
      <c r="T256" t="s">
        <v>24</v>
      </c>
      <c r="U256" t="str">
        <f>IF(Table1[[#This Row],[YearsSince
LastPromotion]]&gt; 4, "Delayed", "Normal")</f>
        <v>Normal</v>
      </c>
      <c r="V256" t="str">
        <f>IF(Table1[[#This Row],[Years
InCurrentRole]]&gt;4, "Role Stagnent", "Normal")</f>
        <v>Normal</v>
      </c>
      <c r="W256" t="str">
        <f>IF(AND(Table1[[#This Row],[Years
InCurrentRole]]&gt; 4, Table1[[#This Row],[Performance
Rating]]&gt;=3), "High Risk", "Normal")</f>
        <v>Normal</v>
      </c>
      <c r="X256" t="str">
        <f>IF(Table1[[#This Row],[Performance
Rating]]&gt;=4, "High Performer", "Low Performer")</f>
        <v>Low Performer</v>
      </c>
    </row>
    <row r="257" spans="2:24" x14ac:dyDescent="0.3">
      <c r="B257" t="s">
        <v>19</v>
      </c>
      <c r="C257" t="s">
        <v>20</v>
      </c>
      <c r="D257">
        <v>1</v>
      </c>
      <c r="E257" t="s">
        <v>21</v>
      </c>
      <c r="F257">
        <v>2</v>
      </c>
      <c r="G257" t="s">
        <v>32</v>
      </c>
      <c r="H257">
        <v>3</v>
      </c>
      <c r="I257">
        <v>4999</v>
      </c>
      <c r="J257">
        <v>21</v>
      </c>
      <c r="K257">
        <v>4</v>
      </c>
      <c r="L257">
        <v>1</v>
      </c>
      <c r="M257">
        <v>4</v>
      </c>
      <c r="N257">
        <v>2</v>
      </c>
      <c r="O257">
        <v>2</v>
      </c>
      <c r="P257">
        <v>3</v>
      </c>
      <c r="Q257">
        <v>2</v>
      </c>
      <c r="R257">
        <v>0</v>
      </c>
      <c r="S257" t="s">
        <v>23</v>
      </c>
      <c r="T257" t="s">
        <v>24</v>
      </c>
      <c r="U257" t="str">
        <f>IF(Table1[[#This Row],[YearsSince
LastPromotion]]&gt; 4, "Delayed", "Normal")</f>
        <v>Normal</v>
      </c>
      <c r="V257" t="str">
        <f>IF(Table1[[#This Row],[Years
InCurrentRole]]&gt;4, "Role Stagnent", "Normal")</f>
        <v>Normal</v>
      </c>
      <c r="W257" t="str">
        <f>IF(AND(Table1[[#This Row],[Years
InCurrentRole]]&gt; 4, Table1[[#This Row],[Performance
Rating]]&gt;=3), "High Risk", "Normal")</f>
        <v>Normal</v>
      </c>
      <c r="X257" t="str">
        <f>IF(Table1[[#This Row],[Performance
Rating]]&gt;=4, "High Performer", "Low Performer")</f>
        <v>High Performer</v>
      </c>
    </row>
    <row r="258" spans="2:24" x14ac:dyDescent="0.3">
      <c r="B258" t="s">
        <v>19</v>
      </c>
      <c r="C258" t="s">
        <v>25</v>
      </c>
      <c r="D258">
        <v>1</v>
      </c>
      <c r="E258" t="s">
        <v>28</v>
      </c>
      <c r="F258">
        <v>1</v>
      </c>
      <c r="G258" t="s">
        <v>29</v>
      </c>
      <c r="H258">
        <v>3</v>
      </c>
      <c r="I258">
        <v>3690</v>
      </c>
      <c r="J258">
        <v>15</v>
      </c>
      <c r="K258">
        <v>3</v>
      </c>
      <c r="L258">
        <v>1</v>
      </c>
      <c r="M258">
        <v>5</v>
      </c>
      <c r="N258">
        <v>2</v>
      </c>
      <c r="O258">
        <v>2</v>
      </c>
      <c r="P258">
        <v>3</v>
      </c>
      <c r="Q258">
        <v>2</v>
      </c>
      <c r="R258">
        <v>0</v>
      </c>
      <c r="S258" t="s">
        <v>23</v>
      </c>
      <c r="T258" t="s">
        <v>24</v>
      </c>
      <c r="U258" t="str">
        <f>IF(Table1[[#This Row],[YearsSince
LastPromotion]]&gt; 4, "Delayed", "Normal")</f>
        <v>Normal</v>
      </c>
      <c r="V258" t="str">
        <f>IF(Table1[[#This Row],[Years
InCurrentRole]]&gt;4, "Role Stagnent", "Normal")</f>
        <v>Normal</v>
      </c>
      <c r="W258" t="str">
        <f>IF(AND(Table1[[#This Row],[Years
InCurrentRole]]&gt; 4, Table1[[#This Row],[Performance
Rating]]&gt;=3), "High Risk", "Normal")</f>
        <v>Normal</v>
      </c>
      <c r="X258" t="str">
        <f>IF(Table1[[#This Row],[Performance
Rating]]&gt;=4, "High Performer", "Low Performer")</f>
        <v>Low Performer</v>
      </c>
    </row>
    <row r="259" spans="2:24" x14ac:dyDescent="0.3">
      <c r="B259" t="s">
        <v>19</v>
      </c>
      <c r="C259" t="s">
        <v>25</v>
      </c>
      <c r="D259">
        <v>1</v>
      </c>
      <c r="E259" t="s">
        <v>28</v>
      </c>
      <c r="F259">
        <v>1</v>
      </c>
      <c r="G259" t="s">
        <v>29</v>
      </c>
      <c r="H259">
        <v>4</v>
      </c>
      <c r="I259">
        <v>3229</v>
      </c>
      <c r="J259">
        <v>11</v>
      </c>
      <c r="K259">
        <v>3</v>
      </c>
      <c r="L259">
        <v>1</v>
      </c>
      <c r="M259">
        <v>7</v>
      </c>
      <c r="N259">
        <v>2</v>
      </c>
      <c r="O259">
        <v>2</v>
      </c>
      <c r="P259">
        <v>3</v>
      </c>
      <c r="Q259">
        <v>2</v>
      </c>
      <c r="R259">
        <v>0</v>
      </c>
      <c r="S259" t="s">
        <v>23</v>
      </c>
      <c r="T259" t="s">
        <v>24</v>
      </c>
      <c r="U259" t="str">
        <f>IF(Table1[[#This Row],[YearsSince
LastPromotion]]&gt; 4, "Delayed", "Normal")</f>
        <v>Normal</v>
      </c>
      <c r="V259" t="str">
        <f>IF(Table1[[#This Row],[Years
InCurrentRole]]&gt;4, "Role Stagnent", "Normal")</f>
        <v>Normal</v>
      </c>
      <c r="W259" t="str">
        <f>IF(AND(Table1[[#This Row],[Years
InCurrentRole]]&gt; 4, Table1[[#This Row],[Performance
Rating]]&gt;=3), "High Risk", "Normal")</f>
        <v>Normal</v>
      </c>
      <c r="X259" t="str">
        <f>IF(Table1[[#This Row],[Performance
Rating]]&gt;=4, "High Performer", "Low Performer")</f>
        <v>Low Performer</v>
      </c>
    </row>
    <row r="260" spans="2:24" x14ac:dyDescent="0.3">
      <c r="B260" t="s">
        <v>19</v>
      </c>
      <c r="C260" t="s">
        <v>25</v>
      </c>
      <c r="D260">
        <v>1</v>
      </c>
      <c r="E260" t="s">
        <v>21</v>
      </c>
      <c r="F260">
        <v>1</v>
      </c>
      <c r="G260" t="s">
        <v>26</v>
      </c>
      <c r="H260">
        <v>3</v>
      </c>
      <c r="I260">
        <v>4477</v>
      </c>
      <c r="J260">
        <v>19</v>
      </c>
      <c r="K260">
        <v>3</v>
      </c>
      <c r="L260">
        <v>1</v>
      </c>
      <c r="M260">
        <v>7</v>
      </c>
      <c r="N260">
        <v>2</v>
      </c>
      <c r="O260">
        <v>2</v>
      </c>
      <c r="P260">
        <v>3</v>
      </c>
      <c r="Q260">
        <v>2</v>
      </c>
      <c r="R260">
        <v>0</v>
      </c>
      <c r="S260" t="s">
        <v>23</v>
      </c>
      <c r="T260" t="s">
        <v>24</v>
      </c>
      <c r="U260" t="str">
        <f>IF(Table1[[#This Row],[YearsSince
LastPromotion]]&gt; 4, "Delayed", "Normal")</f>
        <v>Normal</v>
      </c>
      <c r="V260" t="str">
        <f>IF(Table1[[#This Row],[Years
InCurrentRole]]&gt;4, "Role Stagnent", "Normal")</f>
        <v>Normal</v>
      </c>
      <c r="W260" t="str">
        <f>IF(AND(Table1[[#This Row],[Years
InCurrentRole]]&gt; 4, Table1[[#This Row],[Performance
Rating]]&gt;=3), "High Risk", "Normal")</f>
        <v>Normal</v>
      </c>
      <c r="X260" t="str">
        <f>IF(Table1[[#This Row],[Performance
Rating]]&gt;=4, "High Performer", "Low Performer")</f>
        <v>Low Performer</v>
      </c>
    </row>
    <row r="261" spans="2:24" x14ac:dyDescent="0.3">
      <c r="B261" t="s">
        <v>19</v>
      </c>
      <c r="C261" t="s">
        <v>25</v>
      </c>
      <c r="D261">
        <v>1</v>
      </c>
      <c r="E261" t="s">
        <v>28</v>
      </c>
      <c r="F261">
        <v>1</v>
      </c>
      <c r="G261" t="s">
        <v>29</v>
      </c>
      <c r="H261">
        <v>4</v>
      </c>
      <c r="I261">
        <v>2818</v>
      </c>
      <c r="J261">
        <v>24</v>
      </c>
      <c r="K261">
        <v>4</v>
      </c>
      <c r="L261">
        <v>1</v>
      </c>
      <c r="M261">
        <v>10</v>
      </c>
      <c r="N261">
        <v>2</v>
      </c>
      <c r="O261">
        <v>2</v>
      </c>
      <c r="P261">
        <v>3</v>
      </c>
      <c r="Q261">
        <v>2</v>
      </c>
      <c r="R261">
        <v>0</v>
      </c>
      <c r="S261" t="s">
        <v>23</v>
      </c>
      <c r="T261" t="s">
        <v>24</v>
      </c>
      <c r="U261" t="str">
        <f>IF(Table1[[#This Row],[YearsSince
LastPromotion]]&gt; 4, "Delayed", "Normal")</f>
        <v>Normal</v>
      </c>
      <c r="V261" t="str">
        <f>IF(Table1[[#This Row],[Years
InCurrentRole]]&gt;4, "Role Stagnent", "Normal")</f>
        <v>Normal</v>
      </c>
      <c r="W261" t="str">
        <f>IF(AND(Table1[[#This Row],[Years
InCurrentRole]]&gt; 4, Table1[[#This Row],[Performance
Rating]]&gt;=3), "High Risk", "Normal")</f>
        <v>Normal</v>
      </c>
      <c r="X261" t="str">
        <f>IF(Table1[[#This Row],[Performance
Rating]]&gt;=4, "High Performer", "Low Performer")</f>
        <v>High Performer</v>
      </c>
    </row>
    <row r="262" spans="2:24" x14ac:dyDescent="0.3">
      <c r="B262" t="s">
        <v>19</v>
      </c>
      <c r="C262" t="s">
        <v>25</v>
      </c>
      <c r="D262">
        <v>1</v>
      </c>
      <c r="E262" t="s">
        <v>28</v>
      </c>
      <c r="F262">
        <v>2</v>
      </c>
      <c r="G262" t="s">
        <v>31</v>
      </c>
      <c r="H262">
        <v>3</v>
      </c>
      <c r="I262">
        <v>5347</v>
      </c>
      <c r="J262">
        <v>14</v>
      </c>
      <c r="K262">
        <v>3</v>
      </c>
      <c r="L262">
        <v>2</v>
      </c>
      <c r="M262">
        <v>10</v>
      </c>
      <c r="N262">
        <v>2</v>
      </c>
      <c r="O262">
        <v>2</v>
      </c>
      <c r="P262">
        <v>3</v>
      </c>
      <c r="Q262">
        <v>2</v>
      </c>
      <c r="R262">
        <v>0</v>
      </c>
      <c r="S262" t="s">
        <v>23</v>
      </c>
      <c r="T262" t="s">
        <v>24</v>
      </c>
      <c r="U262" t="str">
        <f>IF(Table1[[#This Row],[YearsSince
LastPromotion]]&gt; 4, "Delayed", "Normal")</f>
        <v>Normal</v>
      </c>
      <c r="V262" t="str">
        <f>IF(Table1[[#This Row],[Years
InCurrentRole]]&gt;4, "Role Stagnent", "Normal")</f>
        <v>Normal</v>
      </c>
      <c r="W262" t="str">
        <f>IF(AND(Table1[[#This Row],[Years
InCurrentRole]]&gt; 4, Table1[[#This Row],[Performance
Rating]]&gt;=3), "High Risk", "Normal")</f>
        <v>Normal</v>
      </c>
      <c r="X262" t="str">
        <f>IF(Table1[[#This Row],[Performance
Rating]]&gt;=4, "High Performer", "Low Performer")</f>
        <v>Low Performer</v>
      </c>
    </row>
    <row r="263" spans="2:24" x14ac:dyDescent="0.3">
      <c r="B263" t="s">
        <v>19</v>
      </c>
      <c r="C263" t="s">
        <v>25</v>
      </c>
      <c r="D263">
        <v>1</v>
      </c>
      <c r="E263" t="s">
        <v>21</v>
      </c>
      <c r="F263">
        <v>4</v>
      </c>
      <c r="G263" t="s">
        <v>33</v>
      </c>
      <c r="H263">
        <v>3</v>
      </c>
      <c r="I263">
        <v>12965</v>
      </c>
      <c r="J263">
        <v>20</v>
      </c>
      <c r="K263">
        <v>4</v>
      </c>
      <c r="L263">
        <v>3</v>
      </c>
      <c r="M263">
        <v>27</v>
      </c>
      <c r="N263">
        <v>2</v>
      </c>
      <c r="O263">
        <v>2</v>
      </c>
      <c r="P263">
        <v>3</v>
      </c>
      <c r="Q263">
        <v>2</v>
      </c>
      <c r="R263">
        <v>0</v>
      </c>
      <c r="S263" t="s">
        <v>23</v>
      </c>
      <c r="T263" t="s">
        <v>24</v>
      </c>
      <c r="U263" t="str">
        <f>IF(Table1[[#This Row],[YearsSince
LastPromotion]]&gt; 4, "Delayed", "Normal")</f>
        <v>Normal</v>
      </c>
      <c r="V263" t="str">
        <f>IF(Table1[[#This Row],[Years
InCurrentRole]]&gt;4, "Role Stagnent", "Normal")</f>
        <v>Normal</v>
      </c>
      <c r="W263" t="str">
        <f>IF(AND(Table1[[#This Row],[Years
InCurrentRole]]&gt; 4, Table1[[#This Row],[Performance
Rating]]&gt;=3), "High Risk", "Normal")</f>
        <v>Normal</v>
      </c>
      <c r="X263" t="str">
        <f>IF(Table1[[#This Row],[Performance
Rating]]&gt;=4, "High Performer", "Low Performer")</f>
        <v>High Performer</v>
      </c>
    </row>
    <row r="264" spans="2:24" x14ac:dyDescent="0.3">
      <c r="B264" t="s">
        <v>19</v>
      </c>
      <c r="C264" t="s">
        <v>25</v>
      </c>
      <c r="D264">
        <v>1</v>
      </c>
      <c r="E264" t="s">
        <v>28</v>
      </c>
      <c r="F264">
        <v>2</v>
      </c>
      <c r="G264" t="s">
        <v>33</v>
      </c>
      <c r="H264">
        <v>3</v>
      </c>
      <c r="I264">
        <v>4033</v>
      </c>
      <c r="J264">
        <v>11</v>
      </c>
      <c r="K264">
        <v>3</v>
      </c>
      <c r="L264">
        <v>0</v>
      </c>
      <c r="M264">
        <v>5</v>
      </c>
      <c r="N264">
        <v>3</v>
      </c>
      <c r="O264">
        <v>2</v>
      </c>
      <c r="P264">
        <v>3</v>
      </c>
      <c r="Q264">
        <v>2</v>
      </c>
      <c r="R264">
        <v>0</v>
      </c>
      <c r="S264" t="s">
        <v>23</v>
      </c>
      <c r="T264" t="s">
        <v>24</v>
      </c>
      <c r="U264" t="str">
        <f>IF(Table1[[#This Row],[YearsSince
LastPromotion]]&gt; 4, "Delayed", "Normal")</f>
        <v>Normal</v>
      </c>
      <c r="V264" t="str">
        <f>IF(Table1[[#This Row],[Years
InCurrentRole]]&gt;4, "Role Stagnent", "Normal")</f>
        <v>Normal</v>
      </c>
      <c r="W264" t="str">
        <f>IF(AND(Table1[[#This Row],[Years
InCurrentRole]]&gt; 4, Table1[[#This Row],[Performance
Rating]]&gt;=3), "High Risk", "Normal")</f>
        <v>Normal</v>
      </c>
      <c r="X264" t="str">
        <f>IF(Table1[[#This Row],[Performance
Rating]]&gt;=4, "High Performer", "Low Performer")</f>
        <v>Low Performer</v>
      </c>
    </row>
    <row r="265" spans="2:24" x14ac:dyDescent="0.3">
      <c r="B265" t="s">
        <v>19</v>
      </c>
      <c r="C265" t="s">
        <v>20</v>
      </c>
      <c r="D265">
        <v>1</v>
      </c>
      <c r="E265" t="s">
        <v>21</v>
      </c>
      <c r="F265">
        <v>2</v>
      </c>
      <c r="G265" t="s">
        <v>32</v>
      </c>
      <c r="H265">
        <v>1</v>
      </c>
      <c r="I265">
        <v>5647</v>
      </c>
      <c r="J265">
        <v>13</v>
      </c>
      <c r="K265">
        <v>3</v>
      </c>
      <c r="L265">
        <v>2</v>
      </c>
      <c r="M265">
        <v>11</v>
      </c>
      <c r="N265">
        <v>3</v>
      </c>
      <c r="O265">
        <v>2</v>
      </c>
      <c r="P265">
        <v>3</v>
      </c>
      <c r="Q265">
        <v>2</v>
      </c>
      <c r="R265">
        <v>0</v>
      </c>
      <c r="S265" t="s">
        <v>23</v>
      </c>
      <c r="T265" t="s">
        <v>24</v>
      </c>
      <c r="U265" t="str">
        <f>IF(Table1[[#This Row],[YearsSince
LastPromotion]]&gt; 4, "Delayed", "Normal")</f>
        <v>Normal</v>
      </c>
      <c r="V265" t="str">
        <f>IF(Table1[[#This Row],[Years
InCurrentRole]]&gt;4, "Role Stagnent", "Normal")</f>
        <v>Normal</v>
      </c>
      <c r="W265" t="str">
        <f>IF(AND(Table1[[#This Row],[Years
InCurrentRole]]&gt; 4, Table1[[#This Row],[Performance
Rating]]&gt;=3), "High Risk", "Normal")</f>
        <v>Normal</v>
      </c>
      <c r="X265" t="str">
        <f>IF(Table1[[#This Row],[Performance
Rating]]&gt;=4, "High Performer", "Low Performer")</f>
        <v>Low Performer</v>
      </c>
    </row>
    <row r="266" spans="2:24" x14ac:dyDescent="0.3">
      <c r="B266" t="s">
        <v>19</v>
      </c>
      <c r="C266" t="s">
        <v>25</v>
      </c>
      <c r="D266">
        <v>1</v>
      </c>
      <c r="E266" t="s">
        <v>21</v>
      </c>
      <c r="F266">
        <v>1</v>
      </c>
      <c r="G266" t="s">
        <v>26</v>
      </c>
      <c r="H266">
        <v>3</v>
      </c>
      <c r="I266">
        <v>3517</v>
      </c>
      <c r="J266">
        <v>17</v>
      </c>
      <c r="K266">
        <v>3</v>
      </c>
      <c r="L266">
        <v>0</v>
      </c>
      <c r="M266">
        <v>5</v>
      </c>
      <c r="N266">
        <v>0</v>
      </c>
      <c r="O266">
        <v>3</v>
      </c>
      <c r="P266">
        <v>3</v>
      </c>
      <c r="Q266">
        <v>2</v>
      </c>
      <c r="R266">
        <v>0</v>
      </c>
      <c r="S266" t="s">
        <v>34</v>
      </c>
      <c r="T266" t="s">
        <v>24</v>
      </c>
      <c r="U266" t="str">
        <f>IF(Table1[[#This Row],[YearsSince
LastPromotion]]&gt; 4, "Delayed", "Normal")</f>
        <v>Normal</v>
      </c>
      <c r="V266" t="str">
        <f>IF(Table1[[#This Row],[Years
InCurrentRole]]&gt;4, "Role Stagnent", "Normal")</f>
        <v>Normal</v>
      </c>
      <c r="W266" t="str">
        <f>IF(AND(Table1[[#This Row],[Years
InCurrentRole]]&gt; 4, Table1[[#This Row],[Performance
Rating]]&gt;=3), "High Risk", "Normal")</f>
        <v>Normal</v>
      </c>
      <c r="X266" t="str">
        <f>IF(Table1[[#This Row],[Performance
Rating]]&gt;=4, "High Performer", "Low Performer")</f>
        <v>Low Performer</v>
      </c>
    </row>
    <row r="267" spans="2:24" x14ac:dyDescent="0.3">
      <c r="B267" t="s">
        <v>19</v>
      </c>
      <c r="C267" t="s">
        <v>25</v>
      </c>
      <c r="D267">
        <v>1</v>
      </c>
      <c r="E267" t="s">
        <v>28</v>
      </c>
      <c r="F267">
        <v>2</v>
      </c>
      <c r="G267" t="s">
        <v>33</v>
      </c>
      <c r="H267">
        <v>2</v>
      </c>
      <c r="I267">
        <v>4941</v>
      </c>
      <c r="J267">
        <v>20</v>
      </c>
      <c r="K267">
        <v>4</v>
      </c>
      <c r="L267">
        <v>2</v>
      </c>
      <c r="M267">
        <v>7</v>
      </c>
      <c r="N267">
        <v>0</v>
      </c>
      <c r="O267">
        <v>3</v>
      </c>
      <c r="P267">
        <v>3</v>
      </c>
      <c r="Q267">
        <v>2</v>
      </c>
      <c r="R267">
        <v>0</v>
      </c>
      <c r="S267" t="s">
        <v>34</v>
      </c>
      <c r="T267" t="s">
        <v>24</v>
      </c>
      <c r="U267" t="str">
        <f>IF(Table1[[#This Row],[YearsSince
LastPromotion]]&gt; 4, "Delayed", "Normal")</f>
        <v>Normal</v>
      </c>
      <c r="V267" t="str">
        <f>IF(Table1[[#This Row],[Years
InCurrentRole]]&gt;4, "Role Stagnent", "Normal")</f>
        <v>Normal</v>
      </c>
      <c r="W267" t="str">
        <f>IF(AND(Table1[[#This Row],[Years
InCurrentRole]]&gt; 4, Table1[[#This Row],[Performance
Rating]]&gt;=3), "High Risk", "Normal")</f>
        <v>Normal</v>
      </c>
      <c r="X267" t="str">
        <f>IF(Table1[[#This Row],[Performance
Rating]]&gt;=4, "High Performer", "Low Performer")</f>
        <v>High Performer</v>
      </c>
    </row>
    <row r="268" spans="2:24" x14ac:dyDescent="0.3">
      <c r="B268" t="s">
        <v>19</v>
      </c>
      <c r="C268" t="s">
        <v>25</v>
      </c>
      <c r="D268">
        <v>1</v>
      </c>
      <c r="E268" t="s">
        <v>28</v>
      </c>
      <c r="F268">
        <v>1</v>
      </c>
      <c r="G268" t="s">
        <v>26</v>
      </c>
      <c r="H268">
        <v>1</v>
      </c>
      <c r="I268">
        <v>2799</v>
      </c>
      <c r="J268">
        <v>11</v>
      </c>
      <c r="K268">
        <v>3</v>
      </c>
      <c r="L268">
        <v>0</v>
      </c>
      <c r="M268">
        <v>6</v>
      </c>
      <c r="N268">
        <v>1</v>
      </c>
      <c r="O268">
        <v>3</v>
      </c>
      <c r="P268">
        <v>3</v>
      </c>
      <c r="Q268">
        <v>2</v>
      </c>
      <c r="R268">
        <v>0</v>
      </c>
      <c r="S268" t="s">
        <v>34</v>
      </c>
      <c r="T268" t="s">
        <v>24</v>
      </c>
      <c r="U268" t="str">
        <f>IF(Table1[[#This Row],[YearsSince
LastPromotion]]&gt; 4, "Delayed", "Normal")</f>
        <v>Normal</v>
      </c>
      <c r="V268" t="str">
        <f>IF(Table1[[#This Row],[Years
InCurrentRole]]&gt;4, "Role Stagnent", "Normal")</f>
        <v>Normal</v>
      </c>
      <c r="W268" t="str">
        <f>IF(AND(Table1[[#This Row],[Years
InCurrentRole]]&gt; 4, Table1[[#This Row],[Performance
Rating]]&gt;=3), "High Risk", "Normal")</f>
        <v>Normal</v>
      </c>
      <c r="X268" t="str">
        <f>IF(Table1[[#This Row],[Performance
Rating]]&gt;=4, "High Performer", "Low Performer")</f>
        <v>Low Performer</v>
      </c>
    </row>
    <row r="269" spans="2:24" x14ac:dyDescent="0.3">
      <c r="B269" t="s">
        <v>19</v>
      </c>
      <c r="C269" t="s">
        <v>25</v>
      </c>
      <c r="D269">
        <v>1</v>
      </c>
      <c r="E269" t="s">
        <v>28</v>
      </c>
      <c r="F269">
        <v>2</v>
      </c>
      <c r="G269" t="s">
        <v>33</v>
      </c>
      <c r="H269">
        <v>3</v>
      </c>
      <c r="I269">
        <v>6434</v>
      </c>
      <c r="J269">
        <v>17</v>
      </c>
      <c r="K269">
        <v>3</v>
      </c>
      <c r="L269">
        <v>1</v>
      </c>
      <c r="M269">
        <v>9</v>
      </c>
      <c r="N269">
        <v>1</v>
      </c>
      <c r="O269">
        <v>3</v>
      </c>
      <c r="P269">
        <v>3</v>
      </c>
      <c r="Q269">
        <v>2</v>
      </c>
      <c r="R269">
        <v>0</v>
      </c>
      <c r="S269" t="s">
        <v>34</v>
      </c>
      <c r="T269" t="s">
        <v>24</v>
      </c>
      <c r="U269" t="str">
        <f>IF(Table1[[#This Row],[YearsSince
LastPromotion]]&gt; 4, "Delayed", "Normal")</f>
        <v>Normal</v>
      </c>
      <c r="V269" t="str">
        <f>IF(Table1[[#This Row],[Years
InCurrentRole]]&gt;4, "Role Stagnent", "Normal")</f>
        <v>Normal</v>
      </c>
      <c r="W269" t="str">
        <f>IF(AND(Table1[[#This Row],[Years
InCurrentRole]]&gt; 4, Table1[[#This Row],[Performance
Rating]]&gt;=3), "High Risk", "Normal")</f>
        <v>Normal</v>
      </c>
      <c r="X269" t="str">
        <f>IF(Table1[[#This Row],[Performance
Rating]]&gt;=4, "High Performer", "Low Performer")</f>
        <v>Low Performer</v>
      </c>
    </row>
    <row r="270" spans="2:24" x14ac:dyDescent="0.3">
      <c r="B270" t="s">
        <v>19</v>
      </c>
      <c r="C270" t="s">
        <v>25</v>
      </c>
      <c r="D270">
        <v>1</v>
      </c>
      <c r="E270" t="s">
        <v>21</v>
      </c>
      <c r="F270">
        <v>2</v>
      </c>
      <c r="G270" t="s">
        <v>26</v>
      </c>
      <c r="H270">
        <v>1</v>
      </c>
      <c r="I270">
        <v>6545</v>
      </c>
      <c r="J270">
        <v>13</v>
      </c>
      <c r="K270">
        <v>3</v>
      </c>
      <c r="L270">
        <v>0</v>
      </c>
      <c r="M270">
        <v>10</v>
      </c>
      <c r="N270">
        <v>1</v>
      </c>
      <c r="O270">
        <v>3</v>
      </c>
      <c r="P270">
        <v>3</v>
      </c>
      <c r="Q270">
        <v>2</v>
      </c>
      <c r="R270">
        <v>0</v>
      </c>
      <c r="S270" t="s">
        <v>34</v>
      </c>
      <c r="T270" t="s">
        <v>24</v>
      </c>
      <c r="U270" t="str">
        <f>IF(Table1[[#This Row],[YearsSince
LastPromotion]]&gt; 4, "Delayed", "Normal")</f>
        <v>Normal</v>
      </c>
      <c r="V270" t="str">
        <f>IF(Table1[[#This Row],[Years
InCurrentRole]]&gt;4, "Role Stagnent", "Normal")</f>
        <v>Normal</v>
      </c>
      <c r="W270" t="str">
        <f>IF(AND(Table1[[#This Row],[Years
InCurrentRole]]&gt; 4, Table1[[#This Row],[Performance
Rating]]&gt;=3), "High Risk", "Normal")</f>
        <v>Normal</v>
      </c>
      <c r="X270" t="str">
        <f>IF(Table1[[#This Row],[Performance
Rating]]&gt;=4, "High Performer", "Low Performer")</f>
        <v>Low Performer</v>
      </c>
    </row>
    <row r="271" spans="2:24" x14ac:dyDescent="0.3">
      <c r="B271" t="s">
        <v>27</v>
      </c>
      <c r="C271" t="s">
        <v>20</v>
      </c>
      <c r="D271">
        <v>1</v>
      </c>
      <c r="E271" t="s">
        <v>28</v>
      </c>
      <c r="F271">
        <v>1</v>
      </c>
      <c r="G271" t="s">
        <v>30</v>
      </c>
      <c r="H271">
        <v>3</v>
      </c>
      <c r="I271">
        <v>2683</v>
      </c>
      <c r="J271">
        <v>14</v>
      </c>
      <c r="K271">
        <v>3</v>
      </c>
      <c r="L271">
        <v>0</v>
      </c>
      <c r="M271">
        <v>3</v>
      </c>
      <c r="N271">
        <v>2</v>
      </c>
      <c r="O271">
        <v>3</v>
      </c>
      <c r="P271">
        <v>3</v>
      </c>
      <c r="Q271">
        <v>2</v>
      </c>
      <c r="R271">
        <v>0</v>
      </c>
      <c r="S271" t="s">
        <v>34</v>
      </c>
      <c r="T271" t="s">
        <v>24</v>
      </c>
      <c r="U271" t="str">
        <f>IF(Table1[[#This Row],[YearsSince
LastPromotion]]&gt; 4, "Delayed", "Normal")</f>
        <v>Normal</v>
      </c>
      <c r="V271" t="str">
        <f>IF(Table1[[#This Row],[Years
InCurrentRole]]&gt;4, "Role Stagnent", "Normal")</f>
        <v>Normal</v>
      </c>
      <c r="W271" t="str">
        <f>IF(AND(Table1[[#This Row],[Years
InCurrentRole]]&gt; 4, Table1[[#This Row],[Performance
Rating]]&gt;=3), "High Risk", "Normal")</f>
        <v>Normal</v>
      </c>
      <c r="X271" t="str">
        <f>IF(Table1[[#This Row],[Performance
Rating]]&gt;=4, "High Performer", "Low Performer")</f>
        <v>Low Performer</v>
      </c>
    </row>
    <row r="272" spans="2:24" x14ac:dyDescent="0.3">
      <c r="B272" t="s">
        <v>19</v>
      </c>
      <c r="C272" t="s">
        <v>25</v>
      </c>
      <c r="D272">
        <v>1</v>
      </c>
      <c r="E272" t="s">
        <v>21</v>
      </c>
      <c r="F272">
        <v>1</v>
      </c>
      <c r="G272" t="s">
        <v>29</v>
      </c>
      <c r="H272">
        <v>4</v>
      </c>
      <c r="I272">
        <v>2659</v>
      </c>
      <c r="J272">
        <v>13</v>
      </c>
      <c r="K272">
        <v>3</v>
      </c>
      <c r="L272">
        <v>1</v>
      </c>
      <c r="M272">
        <v>3</v>
      </c>
      <c r="N272">
        <v>2</v>
      </c>
      <c r="O272">
        <v>3</v>
      </c>
      <c r="P272">
        <v>3</v>
      </c>
      <c r="Q272">
        <v>2</v>
      </c>
      <c r="R272">
        <v>0</v>
      </c>
      <c r="S272" t="s">
        <v>34</v>
      </c>
      <c r="T272" t="s">
        <v>24</v>
      </c>
      <c r="U272" t="str">
        <f>IF(Table1[[#This Row],[YearsSince
LastPromotion]]&gt; 4, "Delayed", "Normal")</f>
        <v>Normal</v>
      </c>
      <c r="V272" t="str">
        <f>IF(Table1[[#This Row],[Years
InCurrentRole]]&gt;4, "Role Stagnent", "Normal")</f>
        <v>Normal</v>
      </c>
      <c r="W272" t="str">
        <f>IF(AND(Table1[[#This Row],[Years
InCurrentRole]]&gt; 4, Table1[[#This Row],[Performance
Rating]]&gt;=3), "High Risk", "Normal")</f>
        <v>Normal</v>
      </c>
      <c r="X272" t="str">
        <f>IF(Table1[[#This Row],[Performance
Rating]]&gt;=4, "High Performer", "Low Performer")</f>
        <v>Low Performer</v>
      </c>
    </row>
    <row r="273" spans="2:24" x14ac:dyDescent="0.3">
      <c r="B273" t="s">
        <v>27</v>
      </c>
      <c r="C273" t="s">
        <v>20</v>
      </c>
      <c r="D273">
        <v>1</v>
      </c>
      <c r="E273" t="s">
        <v>28</v>
      </c>
      <c r="F273">
        <v>1</v>
      </c>
      <c r="G273" t="s">
        <v>30</v>
      </c>
      <c r="H273">
        <v>4</v>
      </c>
      <c r="I273">
        <v>2275</v>
      </c>
      <c r="J273">
        <v>21</v>
      </c>
      <c r="K273">
        <v>4</v>
      </c>
      <c r="L273">
        <v>1</v>
      </c>
      <c r="M273">
        <v>3</v>
      </c>
      <c r="N273">
        <v>2</v>
      </c>
      <c r="O273">
        <v>3</v>
      </c>
      <c r="P273">
        <v>3</v>
      </c>
      <c r="Q273">
        <v>2</v>
      </c>
      <c r="R273">
        <v>0</v>
      </c>
      <c r="S273" t="s">
        <v>34</v>
      </c>
      <c r="T273" t="s">
        <v>24</v>
      </c>
      <c r="U273" t="str">
        <f>IF(Table1[[#This Row],[YearsSince
LastPromotion]]&gt; 4, "Delayed", "Normal")</f>
        <v>Normal</v>
      </c>
      <c r="V273" t="str">
        <f>IF(Table1[[#This Row],[Years
InCurrentRole]]&gt;4, "Role Stagnent", "Normal")</f>
        <v>Normal</v>
      </c>
      <c r="W273" t="str">
        <f>IF(AND(Table1[[#This Row],[Years
InCurrentRole]]&gt; 4, Table1[[#This Row],[Performance
Rating]]&gt;=3), "High Risk", "Normal")</f>
        <v>Normal</v>
      </c>
      <c r="X273" t="str">
        <f>IF(Table1[[#This Row],[Performance
Rating]]&gt;=4, "High Performer", "Low Performer")</f>
        <v>High Performer</v>
      </c>
    </row>
    <row r="274" spans="2:24" x14ac:dyDescent="0.3">
      <c r="B274" t="s">
        <v>19</v>
      </c>
      <c r="C274" t="s">
        <v>25</v>
      </c>
      <c r="D274">
        <v>1</v>
      </c>
      <c r="E274" t="s">
        <v>21</v>
      </c>
      <c r="F274">
        <v>2</v>
      </c>
      <c r="G274" t="s">
        <v>33</v>
      </c>
      <c r="H274">
        <v>2</v>
      </c>
      <c r="I274">
        <v>4788</v>
      </c>
      <c r="J274">
        <v>11</v>
      </c>
      <c r="K274">
        <v>3</v>
      </c>
      <c r="L274">
        <v>0</v>
      </c>
      <c r="M274">
        <v>4</v>
      </c>
      <c r="N274">
        <v>2</v>
      </c>
      <c r="O274">
        <v>3</v>
      </c>
      <c r="P274">
        <v>3</v>
      </c>
      <c r="Q274">
        <v>2</v>
      </c>
      <c r="R274">
        <v>0</v>
      </c>
      <c r="S274" t="s">
        <v>34</v>
      </c>
      <c r="T274" t="s">
        <v>24</v>
      </c>
      <c r="U274" t="str">
        <f>IF(Table1[[#This Row],[YearsSince
LastPromotion]]&gt; 4, "Delayed", "Normal")</f>
        <v>Normal</v>
      </c>
      <c r="V274" t="str">
        <f>IF(Table1[[#This Row],[Years
InCurrentRole]]&gt;4, "Role Stagnent", "Normal")</f>
        <v>Normal</v>
      </c>
      <c r="W274" t="str">
        <f>IF(AND(Table1[[#This Row],[Years
InCurrentRole]]&gt; 4, Table1[[#This Row],[Performance
Rating]]&gt;=3), "High Risk", "Normal")</f>
        <v>Normal</v>
      </c>
      <c r="X274" t="str">
        <f>IF(Table1[[#This Row],[Performance
Rating]]&gt;=4, "High Performer", "Low Performer")</f>
        <v>Low Performer</v>
      </c>
    </row>
    <row r="275" spans="2:24" x14ac:dyDescent="0.3">
      <c r="B275" t="s">
        <v>27</v>
      </c>
      <c r="C275" t="s">
        <v>25</v>
      </c>
      <c r="D275">
        <v>1</v>
      </c>
      <c r="E275" t="s">
        <v>28</v>
      </c>
      <c r="F275">
        <v>1</v>
      </c>
      <c r="G275" t="s">
        <v>29</v>
      </c>
      <c r="H275">
        <v>2</v>
      </c>
      <c r="I275">
        <v>2373</v>
      </c>
      <c r="J275">
        <v>13</v>
      </c>
      <c r="K275">
        <v>3</v>
      </c>
      <c r="L275">
        <v>1</v>
      </c>
      <c r="M275">
        <v>5</v>
      </c>
      <c r="N275">
        <v>2</v>
      </c>
      <c r="O275">
        <v>3</v>
      </c>
      <c r="P275">
        <v>3</v>
      </c>
      <c r="Q275">
        <v>2</v>
      </c>
      <c r="R275">
        <v>0</v>
      </c>
      <c r="S275" t="s">
        <v>34</v>
      </c>
      <c r="T275" t="s">
        <v>24</v>
      </c>
      <c r="U275" t="str">
        <f>IF(Table1[[#This Row],[YearsSince
LastPromotion]]&gt; 4, "Delayed", "Normal")</f>
        <v>Normal</v>
      </c>
      <c r="V275" t="str">
        <f>IF(Table1[[#This Row],[Years
InCurrentRole]]&gt;4, "Role Stagnent", "Normal")</f>
        <v>Normal</v>
      </c>
      <c r="W275" t="str">
        <f>IF(AND(Table1[[#This Row],[Years
InCurrentRole]]&gt; 4, Table1[[#This Row],[Performance
Rating]]&gt;=3), "High Risk", "Normal")</f>
        <v>Normal</v>
      </c>
      <c r="X275" t="str">
        <f>IF(Table1[[#This Row],[Performance
Rating]]&gt;=4, "High Performer", "Low Performer")</f>
        <v>Low Performer</v>
      </c>
    </row>
    <row r="276" spans="2:24" x14ac:dyDescent="0.3">
      <c r="B276" t="s">
        <v>19</v>
      </c>
      <c r="C276" t="s">
        <v>20</v>
      </c>
      <c r="D276">
        <v>1</v>
      </c>
      <c r="E276" t="s">
        <v>28</v>
      </c>
      <c r="F276">
        <v>2</v>
      </c>
      <c r="G276" t="s">
        <v>32</v>
      </c>
      <c r="H276">
        <v>4</v>
      </c>
      <c r="I276">
        <v>6931</v>
      </c>
      <c r="J276">
        <v>14</v>
      </c>
      <c r="K276">
        <v>3</v>
      </c>
      <c r="L276">
        <v>1</v>
      </c>
      <c r="M276">
        <v>10</v>
      </c>
      <c r="N276">
        <v>2</v>
      </c>
      <c r="O276">
        <v>3</v>
      </c>
      <c r="P276">
        <v>3</v>
      </c>
      <c r="Q276">
        <v>2</v>
      </c>
      <c r="R276">
        <v>0</v>
      </c>
      <c r="S276" t="s">
        <v>34</v>
      </c>
      <c r="T276" t="s">
        <v>24</v>
      </c>
      <c r="U276" t="str">
        <f>IF(Table1[[#This Row],[YearsSince
LastPromotion]]&gt; 4, "Delayed", "Normal")</f>
        <v>Normal</v>
      </c>
      <c r="V276" t="str">
        <f>IF(Table1[[#This Row],[Years
InCurrentRole]]&gt;4, "Role Stagnent", "Normal")</f>
        <v>Normal</v>
      </c>
      <c r="W276" t="str">
        <f>IF(AND(Table1[[#This Row],[Years
InCurrentRole]]&gt; 4, Table1[[#This Row],[Performance
Rating]]&gt;=3), "High Risk", "Normal")</f>
        <v>Normal</v>
      </c>
      <c r="X276" t="str">
        <f>IF(Table1[[#This Row],[Performance
Rating]]&gt;=4, "High Performer", "Low Performer")</f>
        <v>Low Performer</v>
      </c>
    </row>
    <row r="277" spans="2:24" x14ac:dyDescent="0.3">
      <c r="B277" t="s">
        <v>27</v>
      </c>
      <c r="C277" t="s">
        <v>36</v>
      </c>
      <c r="D277">
        <v>1</v>
      </c>
      <c r="E277" t="s">
        <v>21</v>
      </c>
      <c r="F277">
        <v>3</v>
      </c>
      <c r="G277" t="s">
        <v>36</v>
      </c>
      <c r="H277">
        <v>1</v>
      </c>
      <c r="I277">
        <v>9950</v>
      </c>
      <c r="J277">
        <v>15</v>
      </c>
      <c r="K277">
        <v>3</v>
      </c>
      <c r="L277">
        <v>3</v>
      </c>
      <c r="M277">
        <v>11</v>
      </c>
      <c r="N277">
        <v>2</v>
      </c>
      <c r="O277">
        <v>3</v>
      </c>
      <c r="P277">
        <v>3</v>
      </c>
      <c r="Q277">
        <v>2</v>
      </c>
      <c r="R277">
        <v>0</v>
      </c>
      <c r="S277" t="s">
        <v>34</v>
      </c>
      <c r="T277" t="s">
        <v>24</v>
      </c>
      <c r="U277" t="str">
        <f>IF(Table1[[#This Row],[YearsSince
LastPromotion]]&gt; 4, "Delayed", "Normal")</f>
        <v>Normal</v>
      </c>
      <c r="V277" t="str">
        <f>IF(Table1[[#This Row],[Years
InCurrentRole]]&gt;4, "Role Stagnent", "Normal")</f>
        <v>Normal</v>
      </c>
      <c r="W277" t="str">
        <f>IF(AND(Table1[[#This Row],[Years
InCurrentRole]]&gt; 4, Table1[[#This Row],[Performance
Rating]]&gt;=3), "High Risk", "Normal")</f>
        <v>Normal</v>
      </c>
      <c r="X277" t="str">
        <f>IF(Table1[[#This Row],[Performance
Rating]]&gt;=4, "High Performer", "Low Performer")</f>
        <v>Low Performer</v>
      </c>
    </row>
    <row r="278" spans="2:24" x14ac:dyDescent="0.3">
      <c r="B278" t="s">
        <v>19</v>
      </c>
      <c r="C278" t="s">
        <v>25</v>
      </c>
      <c r="D278">
        <v>1</v>
      </c>
      <c r="E278" t="s">
        <v>28</v>
      </c>
      <c r="F278">
        <v>2</v>
      </c>
      <c r="G278" t="s">
        <v>33</v>
      </c>
      <c r="H278">
        <v>2</v>
      </c>
      <c r="I278">
        <v>8847</v>
      </c>
      <c r="J278">
        <v>11</v>
      </c>
      <c r="K278">
        <v>3</v>
      </c>
      <c r="L278">
        <v>1</v>
      </c>
      <c r="M278">
        <v>13</v>
      </c>
      <c r="N278">
        <v>2</v>
      </c>
      <c r="O278">
        <v>3</v>
      </c>
      <c r="P278">
        <v>3</v>
      </c>
      <c r="Q278">
        <v>2</v>
      </c>
      <c r="R278">
        <v>0</v>
      </c>
      <c r="S278" t="s">
        <v>34</v>
      </c>
      <c r="T278" t="s">
        <v>24</v>
      </c>
      <c r="U278" t="str">
        <f>IF(Table1[[#This Row],[YearsSince
LastPromotion]]&gt; 4, "Delayed", "Normal")</f>
        <v>Normal</v>
      </c>
      <c r="V278" t="str">
        <f>IF(Table1[[#This Row],[Years
InCurrentRole]]&gt;4, "Role Stagnent", "Normal")</f>
        <v>Normal</v>
      </c>
      <c r="W278" t="str">
        <f>IF(AND(Table1[[#This Row],[Years
InCurrentRole]]&gt; 4, Table1[[#This Row],[Performance
Rating]]&gt;=3), "High Risk", "Normal")</f>
        <v>Normal</v>
      </c>
      <c r="X278" t="str">
        <f>IF(Table1[[#This Row],[Performance
Rating]]&gt;=4, "High Performer", "Low Performer")</f>
        <v>Low Performer</v>
      </c>
    </row>
    <row r="279" spans="2:24" x14ac:dyDescent="0.3">
      <c r="B279" t="s">
        <v>19</v>
      </c>
      <c r="C279" t="s">
        <v>20</v>
      </c>
      <c r="D279">
        <v>1</v>
      </c>
      <c r="E279" t="s">
        <v>21</v>
      </c>
      <c r="F279">
        <v>2</v>
      </c>
      <c r="G279" t="s">
        <v>32</v>
      </c>
      <c r="H279">
        <v>1</v>
      </c>
      <c r="I279">
        <v>4538</v>
      </c>
      <c r="J279">
        <v>12</v>
      </c>
      <c r="K279">
        <v>3</v>
      </c>
      <c r="L279">
        <v>0</v>
      </c>
      <c r="M279">
        <v>4</v>
      </c>
      <c r="N279">
        <v>3</v>
      </c>
      <c r="O279">
        <v>3</v>
      </c>
      <c r="P279">
        <v>3</v>
      </c>
      <c r="Q279">
        <v>2</v>
      </c>
      <c r="R279">
        <v>0</v>
      </c>
      <c r="S279" t="s">
        <v>34</v>
      </c>
      <c r="T279" t="s">
        <v>24</v>
      </c>
      <c r="U279" t="str">
        <f>IF(Table1[[#This Row],[YearsSince
LastPromotion]]&gt; 4, "Delayed", "Normal")</f>
        <v>Normal</v>
      </c>
      <c r="V279" t="str">
        <f>IF(Table1[[#This Row],[Years
InCurrentRole]]&gt;4, "Role Stagnent", "Normal")</f>
        <v>Normal</v>
      </c>
      <c r="W279" t="str">
        <f>IF(AND(Table1[[#This Row],[Years
InCurrentRole]]&gt; 4, Table1[[#This Row],[Performance
Rating]]&gt;=3), "High Risk", "Normal")</f>
        <v>Normal</v>
      </c>
      <c r="X279" t="str">
        <f>IF(Table1[[#This Row],[Performance
Rating]]&gt;=4, "High Performer", "Low Performer")</f>
        <v>Low Performer</v>
      </c>
    </row>
    <row r="280" spans="2:24" x14ac:dyDescent="0.3">
      <c r="B280" t="s">
        <v>19</v>
      </c>
      <c r="C280" t="s">
        <v>20</v>
      </c>
      <c r="D280">
        <v>1</v>
      </c>
      <c r="E280" t="s">
        <v>21</v>
      </c>
      <c r="F280">
        <v>2</v>
      </c>
      <c r="G280" t="s">
        <v>32</v>
      </c>
      <c r="H280">
        <v>2</v>
      </c>
      <c r="I280">
        <v>4302</v>
      </c>
      <c r="J280">
        <v>17</v>
      </c>
      <c r="K280">
        <v>3</v>
      </c>
      <c r="L280">
        <v>1</v>
      </c>
      <c r="M280">
        <v>4</v>
      </c>
      <c r="N280">
        <v>3</v>
      </c>
      <c r="O280">
        <v>3</v>
      </c>
      <c r="P280">
        <v>3</v>
      </c>
      <c r="Q280">
        <v>2</v>
      </c>
      <c r="R280">
        <v>0</v>
      </c>
      <c r="S280" t="s">
        <v>34</v>
      </c>
      <c r="T280" t="s">
        <v>24</v>
      </c>
      <c r="U280" t="str">
        <f>IF(Table1[[#This Row],[YearsSince
LastPromotion]]&gt; 4, "Delayed", "Normal")</f>
        <v>Normal</v>
      </c>
      <c r="V280" t="str">
        <f>IF(Table1[[#This Row],[Years
InCurrentRole]]&gt;4, "Role Stagnent", "Normal")</f>
        <v>Normal</v>
      </c>
      <c r="W280" t="str">
        <f>IF(AND(Table1[[#This Row],[Years
InCurrentRole]]&gt; 4, Table1[[#This Row],[Performance
Rating]]&gt;=3), "High Risk", "Normal")</f>
        <v>Normal</v>
      </c>
      <c r="X280" t="str">
        <f>IF(Table1[[#This Row],[Performance
Rating]]&gt;=4, "High Performer", "Low Performer")</f>
        <v>Low Performer</v>
      </c>
    </row>
    <row r="281" spans="2:24" x14ac:dyDescent="0.3">
      <c r="B281" t="s">
        <v>19</v>
      </c>
      <c r="C281" t="s">
        <v>25</v>
      </c>
      <c r="D281">
        <v>1</v>
      </c>
      <c r="E281" t="s">
        <v>21</v>
      </c>
      <c r="F281">
        <v>1</v>
      </c>
      <c r="G281" t="s">
        <v>29</v>
      </c>
      <c r="H281">
        <v>2</v>
      </c>
      <c r="I281">
        <v>3180</v>
      </c>
      <c r="J281">
        <v>13</v>
      </c>
      <c r="K281">
        <v>3</v>
      </c>
      <c r="L281">
        <v>3</v>
      </c>
      <c r="M281">
        <v>4</v>
      </c>
      <c r="N281">
        <v>3</v>
      </c>
      <c r="O281">
        <v>3</v>
      </c>
      <c r="P281">
        <v>3</v>
      </c>
      <c r="Q281">
        <v>2</v>
      </c>
      <c r="R281">
        <v>0</v>
      </c>
      <c r="S281" t="s">
        <v>34</v>
      </c>
      <c r="T281" t="s">
        <v>24</v>
      </c>
      <c r="U281" t="str">
        <f>IF(Table1[[#This Row],[YearsSince
LastPromotion]]&gt; 4, "Delayed", "Normal")</f>
        <v>Normal</v>
      </c>
      <c r="V281" t="str">
        <f>IF(Table1[[#This Row],[Years
InCurrentRole]]&gt;4, "Role Stagnent", "Normal")</f>
        <v>Normal</v>
      </c>
      <c r="W281" t="str">
        <f>IF(AND(Table1[[#This Row],[Years
InCurrentRole]]&gt; 4, Table1[[#This Row],[Performance
Rating]]&gt;=3), "High Risk", "Normal")</f>
        <v>Normal</v>
      </c>
      <c r="X281" t="str">
        <f>IF(Table1[[#This Row],[Performance
Rating]]&gt;=4, "High Performer", "Low Performer")</f>
        <v>Low Performer</v>
      </c>
    </row>
    <row r="282" spans="2:24" x14ac:dyDescent="0.3">
      <c r="B282" t="s">
        <v>27</v>
      </c>
      <c r="C282" t="s">
        <v>20</v>
      </c>
      <c r="D282">
        <v>1</v>
      </c>
      <c r="E282" t="s">
        <v>21</v>
      </c>
      <c r="F282">
        <v>1</v>
      </c>
      <c r="G282" t="s">
        <v>30</v>
      </c>
      <c r="H282">
        <v>3</v>
      </c>
      <c r="I282">
        <v>2800</v>
      </c>
      <c r="J282">
        <v>19</v>
      </c>
      <c r="K282">
        <v>3</v>
      </c>
      <c r="L282">
        <v>3</v>
      </c>
      <c r="M282">
        <v>5</v>
      </c>
      <c r="N282">
        <v>3</v>
      </c>
      <c r="O282">
        <v>3</v>
      </c>
      <c r="P282">
        <v>3</v>
      </c>
      <c r="Q282">
        <v>2</v>
      </c>
      <c r="R282">
        <v>0</v>
      </c>
      <c r="S282" t="s">
        <v>34</v>
      </c>
      <c r="T282" t="s">
        <v>24</v>
      </c>
      <c r="U282" t="str">
        <f>IF(Table1[[#This Row],[YearsSince
LastPromotion]]&gt; 4, "Delayed", "Normal")</f>
        <v>Normal</v>
      </c>
      <c r="V282" t="str">
        <f>IF(Table1[[#This Row],[Years
InCurrentRole]]&gt;4, "Role Stagnent", "Normal")</f>
        <v>Normal</v>
      </c>
      <c r="W282" t="str">
        <f>IF(AND(Table1[[#This Row],[Years
InCurrentRole]]&gt; 4, Table1[[#This Row],[Performance
Rating]]&gt;=3), "High Risk", "Normal")</f>
        <v>Normal</v>
      </c>
      <c r="X282" t="str">
        <f>IF(Table1[[#This Row],[Performance
Rating]]&gt;=4, "High Performer", "Low Performer")</f>
        <v>Low Performer</v>
      </c>
    </row>
    <row r="283" spans="2:24" x14ac:dyDescent="0.3">
      <c r="B283" t="s">
        <v>27</v>
      </c>
      <c r="C283" t="s">
        <v>20</v>
      </c>
      <c r="D283">
        <v>1</v>
      </c>
      <c r="E283" t="s">
        <v>21</v>
      </c>
      <c r="F283">
        <v>2</v>
      </c>
      <c r="G283" t="s">
        <v>32</v>
      </c>
      <c r="H283">
        <v>1</v>
      </c>
      <c r="I283">
        <v>5324</v>
      </c>
      <c r="J283">
        <v>15</v>
      </c>
      <c r="K283">
        <v>3</v>
      </c>
      <c r="L283">
        <v>0</v>
      </c>
      <c r="M283">
        <v>6</v>
      </c>
      <c r="N283">
        <v>3</v>
      </c>
      <c r="O283">
        <v>3</v>
      </c>
      <c r="P283">
        <v>3</v>
      </c>
      <c r="Q283">
        <v>2</v>
      </c>
      <c r="R283">
        <v>0</v>
      </c>
      <c r="S283" t="s">
        <v>34</v>
      </c>
      <c r="T283" t="s">
        <v>24</v>
      </c>
      <c r="U283" t="str">
        <f>IF(Table1[[#This Row],[YearsSince
LastPromotion]]&gt; 4, "Delayed", "Normal")</f>
        <v>Normal</v>
      </c>
      <c r="V283" t="str">
        <f>IF(Table1[[#This Row],[Years
InCurrentRole]]&gt;4, "Role Stagnent", "Normal")</f>
        <v>Normal</v>
      </c>
      <c r="W283" t="str">
        <f>IF(AND(Table1[[#This Row],[Years
InCurrentRole]]&gt; 4, Table1[[#This Row],[Performance
Rating]]&gt;=3), "High Risk", "Normal")</f>
        <v>Normal</v>
      </c>
      <c r="X283" t="str">
        <f>IF(Table1[[#This Row],[Performance
Rating]]&gt;=4, "High Performer", "Low Performer")</f>
        <v>Low Performer</v>
      </c>
    </row>
    <row r="284" spans="2:24" x14ac:dyDescent="0.3">
      <c r="B284" t="s">
        <v>19</v>
      </c>
      <c r="C284" t="s">
        <v>25</v>
      </c>
      <c r="D284">
        <v>1</v>
      </c>
      <c r="E284" t="s">
        <v>21</v>
      </c>
      <c r="F284">
        <v>1</v>
      </c>
      <c r="G284" t="s">
        <v>26</v>
      </c>
      <c r="H284">
        <v>4</v>
      </c>
      <c r="I284">
        <v>3312</v>
      </c>
      <c r="J284">
        <v>17</v>
      </c>
      <c r="K284">
        <v>3</v>
      </c>
      <c r="L284">
        <v>2</v>
      </c>
      <c r="M284">
        <v>6</v>
      </c>
      <c r="N284">
        <v>3</v>
      </c>
      <c r="O284">
        <v>3</v>
      </c>
      <c r="P284">
        <v>3</v>
      </c>
      <c r="Q284">
        <v>2</v>
      </c>
      <c r="R284">
        <v>0</v>
      </c>
      <c r="S284" t="s">
        <v>34</v>
      </c>
      <c r="T284" t="s">
        <v>24</v>
      </c>
      <c r="U284" t="str">
        <f>IF(Table1[[#This Row],[YearsSince
LastPromotion]]&gt; 4, "Delayed", "Normal")</f>
        <v>Normal</v>
      </c>
      <c r="V284" t="str">
        <f>IF(Table1[[#This Row],[Years
InCurrentRole]]&gt;4, "Role Stagnent", "Normal")</f>
        <v>Normal</v>
      </c>
      <c r="W284" t="str">
        <f>IF(AND(Table1[[#This Row],[Years
InCurrentRole]]&gt; 4, Table1[[#This Row],[Performance
Rating]]&gt;=3), "High Risk", "Normal")</f>
        <v>Normal</v>
      </c>
      <c r="X284" t="str">
        <f>IF(Table1[[#This Row],[Performance
Rating]]&gt;=4, "High Performer", "Low Performer")</f>
        <v>Low Performer</v>
      </c>
    </row>
    <row r="285" spans="2:24" x14ac:dyDescent="0.3">
      <c r="B285" t="s">
        <v>27</v>
      </c>
      <c r="C285" t="s">
        <v>36</v>
      </c>
      <c r="D285">
        <v>1</v>
      </c>
      <c r="E285" t="s">
        <v>28</v>
      </c>
      <c r="F285">
        <v>1</v>
      </c>
      <c r="G285" t="s">
        <v>36</v>
      </c>
      <c r="H285">
        <v>1</v>
      </c>
      <c r="I285">
        <v>2073</v>
      </c>
      <c r="J285">
        <v>22</v>
      </c>
      <c r="K285">
        <v>4</v>
      </c>
      <c r="L285">
        <v>0</v>
      </c>
      <c r="M285">
        <v>7</v>
      </c>
      <c r="N285">
        <v>3</v>
      </c>
      <c r="O285">
        <v>3</v>
      </c>
      <c r="P285">
        <v>3</v>
      </c>
      <c r="Q285">
        <v>2</v>
      </c>
      <c r="R285">
        <v>0</v>
      </c>
      <c r="S285" t="s">
        <v>34</v>
      </c>
      <c r="T285" t="s">
        <v>24</v>
      </c>
      <c r="U285" t="str">
        <f>IF(Table1[[#This Row],[YearsSince
LastPromotion]]&gt; 4, "Delayed", "Normal")</f>
        <v>Normal</v>
      </c>
      <c r="V285" t="str">
        <f>IF(Table1[[#This Row],[Years
InCurrentRole]]&gt;4, "Role Stagnent", "Normal")</f>
        <v>Normal</v>
      </c>
      <c r="W285" t="str">
        <f>IF(AND(Table1[[#This Row],[Years
InCurrentRole]]&gt; 4, Table1[[#This Row],[Performance
Rating]]&gt;=3), "High Risk", "Normal")</f>
        <v>Normal</v>
      </c>
      <c r="X285" t="str">
        <f>IF(Table1[[#This Row],[Performance
Rating]]&gt;=4, "High Performer", "Low Performer")</f>
        <v>High Performer</v>
      </c>
    </row>
    <row r="286" spans="2:24" x14ac:dyDescent="0.3">
      <c r="B286" t="s">
        <v>19</v>
      </c>
      <c r="C286" t="s">
        <v>36</v>
      </c>
      <c r="D286">
        <v>1</v>
      </c>
      <c r="E286" t="s">
        <v>21</v>
      </c>
      <c r="F286">
        <v>1</v>
      </c>
      <c r="G286" t="s">
        <v>36</v>
      </c>
      <c r="H286">
        <v>2</v>
      </c>
      <c r="I286">
        <v>2109</v>
      </c>
      <c r="J286">
        <v>18</v>
      </c>
      <c r="K286">
        <v>3</v>
      </c>
      <c r="L286">
        <v>0</v>
      </c>
      <c r="M286">
        <v>8</v>
      </c>
      <c r="N286">
        <v>3</v>
      </c>
      <c r="O286">
        <v>3</v>
      </c>
      <c r="P286">
        <v>3</v>
      </c>
      <c r="Q286">
        <v>2</v>
      </c>
      <c r="R286">
        <v>0</v>
      </c>
      <c r="S286" t="s">
        <v>34</v>
      </c>
      <c r="T286" t="s">
        <v>24</v>
      </c>
      <c r="U286" t="str">
        <f>IF(Table1[[#This Row],[YearsSince
LastPromotion]]&gt; 4, "Delayed", "Normal")</f>
        <v>Normal</v>
      </c>
      <c r="V286" t="str">
        <f>IF(Table1[[#This Row],[Years
InCurrentRole]]&gt;4, "Role Stagnent", "Normal")</f>
        <v>Normal</v>
      </c>
      <c r="W286" t="str">
        <f>IF(AND(Table1[[#This Row],[Years
InCurrentRole]]&gt; 4, Table1[[#This Row],[Performance
Rating]]&gt;=3), "High Risk", "Normal")</f>
        <v>Normal</v>
      </c>
      <c r="X286" t="str">
        <f>IF(Table1[[#This Row],[Performance
Rating]]&gt;=4, "High Performer", "Low Performer")</f>
        <v>Low Performer</v>
      </c>
    </row>
    <row r="287" spans="2:24" x14ac:dyDescent="0.3">
      <c r="B287" t="s">
        <v>19</v>
      </c>
      <c r="C287" t="s">
        <v>20</v>
      </c>
      <c r="D287">
        <v>1</v>
      </c>
      <c r="E287" t="s">
        <v>21</v>
      </c>
      <c r="F287">
        <v>2</v>
      </c>
      <c r="G287" t="s">
        <v>32</v>
      </c>
      <c r="H287">
        <v>1</v>
      </c>
      <c r="I287">
        <v>4779</v>
      </c>
      <c r="J287">
        <v>14</v>
      </c>
      <c r="K287">
        <v>3</v>
      </c>
      <c r="L287">
        <v>2</v>
      </c>
      <c r="M287">
        <v>8</v>
      </c>
      <c r="N287">
        <v>3</v>
      </c>
      <c r="O287">
        <v>3</v>
      </c>
      <c r="P287">
        <v>3</v>
      </c>
      <c r="Q287">
        <v>2</v>
      </c>
      <c r="R287">
        <v>0</v>
      </c>
      <c r="S287" t="s">
        <v>34</v>
      </c>
      <c r="T287" t="s">
        <v>24</v>
      </c>
      <c r="U287" t="str">
        <f>IF(Table1[[#This Row],[YearsSince
LastPromotion]]&gt; 4, "Delayed", "Normal")</f>
        <v>Normal</v>
      </c>
      <c r="V287" t="str">
        <f>IF(Table1[[#This Row],[Years
InCurrentRole]]&gt;4, "Role Stagnent", "Normal")</f>
        <v>Normal</v>
      </c>
      <c r="W287" t="str">
        <f>IF(AND(Table1[[#This Row],[Years
InCurrentRole]]&gt; 4, Table1[[#This Row],[Performance
Rating]]&gt;=3), "High Risk", "Normal")</f>
        <v>Normal</v>
      </c>
      <c r="X287" t="str">
        <f>IF(Table1[[#This Row],[Performance
Rating]]&gt;=4, "High Performer", "Low Performer")</f>
        <v>Low Performer</v>
      </c>
    </row>
    <row r="288" spans="2:24" x14ac:dyDescent="0.3">
      <c r="B288" t="s">
        <v>19</v>
      </c>
      <c r="C288" t="s">
        <v>25</v>
      </c>
      <c r="D288">
        <v>1</v>
      </c>
      <c r="E288" t="s">
        <v>28</v>
      </c>
      <c r="F288">
        <v>2</v>
      </c>
      <c r="G288" t="s">
        <v>29</v>
      </c>
      <c r="H288">
        <v>4</v>
      </c>
      <c r="I288">
        <v>3681</v>
      </c>
      <c r="J288">
        <v>14</v>
      </c>
      <c r="K288">
        <v>3</v>
      </c>
      <c r="L288">
        <v>0</v>
      </c>
      <c r="M288">
        <v>9</v>
      </c>
      <c r="N288">
        <v>3</v>
      </c>
      <c r="O288">
        <v>3</v>
      </c>
      <c r="P288">
        <v>3</v>
      </c>
      <c r="Q288">
        <v>2</v>
      </c>
      <c r="R288">
        <v>0</v>
      </c>
      <c r="S288" t="s">
        <v>34</v>
      </c>
      <c r="T288" t="s">
        <v>24</v>
      </c>
      <c r="U288" t="str">
        <f>IF(Table1[[#This Row],[YearsSince
LastPromotion]]&gt; 4, "Delayed", "Normal")</f>
        <v>Normal</v>
      </c>
      <c r="V288" t="str">
        <f>IF(Table1[[#This Row],[Years
InCurrentRole]]&gt;4, "Role Stagnent", "Normal")</f>
        <v>Normal</v>
      </c>
      <c r="W288" t="str">
        <f>IF(AND(Table1[[#This Row],[Years
InCurrentRole]]&gt; 4, Table1[[#This Row],[Performance
Rating]]&gt;=3), "High Risk", "Normal")</f>
        <v>Normal</v>
      </c>
      <c r="X288" t="str">
        <f>IF(Table1[[#This Row],[Performance
Rating]]&gt;=4, "High Performer", "Low Performer")</f>
        <v>Low Performer</v>
      </c>
    </row>
    <row r="289" spans="2:24" x14ac:dyDescent="0.3">
      <c r="B289" t="s">
        <v>19</v>
      </c>
      <c r="C289" t="s">
        <v>25</v>
      </c>
      <c r="D289">
        <v>1</v>
      </c>
      <c r="E289" t="s">
        <v>28</v>
      </c>
      <c r="F289">
        <v>2</v>
      </c>
      <c r="G289" t="s">
        <v>29</v>
      </c>
      <c r="H289">
        <v>1</v>
      </c>
      <c r="I289">
        <v>5562</v>
      </c>
      <c r="J289">
        <v>13</v>
      </c>
      <c r="K289">
        <v>3</v>
      </c>
      <c r="L289">
        <v>1</v>
      </c>
      <c r="M289">
        <v>9</v>
      </c>
      <c r="N289">
        <v>3</v>
      </c>
      <c r="O289">
        <v>3</v>
      </c>
      <c r="P289">
        <v>3</v>
      </c>
      <c r="Q289">
        <v>2</v>
      </c>
      <c r="R289">
        <v>0</v>
      </c>
      <c r="S289" t="s">
        <v>34</v>
      </c>
      <c r="T289" t="s">
        <v>24</v>
      </c>
      <c r="U289" t="str">
        <f>IF(Table1[[#This Row],[YearsSince
LastPromotion]]&gt; 4, "Delayed", "Normal")</f>
        <v>Normal</v>
      </c>
      <c r="V289" t="str">
        <f>IF(Table1[[#This Row],[Years
InCurrentRole]]&gt;4, "Role Stagnent", "Normal")</f>
        <v>Normal</v>
      </c>
      <c r="W289" t="str">
        <f>IF(AND(Table1[[#This Row],[Years
InCurrentRole]]&gt; 4, Table1[[#This Row],[Performance
Rating]]&gt;=3), "High Risk", "Normal")</f>
        <v>Normal</v>
      </c>
      <c r="X289" t="str">
        <f>IF(Table1[[#This Row],[Performance
Rating]]&gt;=4, "High Performer", "Low Performer")</f>
        <v>Low Performer</v>
      </c>
    </row>
    <row r="290" spans="2:24" x14ac:dyDescent="0.3">
      <c r="B290" t="s">
        <v>19</v>
      </c>
      <c r="C290" t="s">
        <v>25</v>
      </c>
      <c r="D290">
        <v>1</v>
      </c>
      <c r="E290" t="s">
        <v>21</v>
      </c>
      <c r="F290">
        <v>1</v>
      </c>
      <c r="G290" t="s">
        <v>26</v>
      </c>
      <c r="H290">
        <v>4</v>
      </c>
      <c r="I290">
        <v>3452</v>
      </c>
      <c r="J290">
        <v>18</v>
      </c>
      <c r="K290">
        <v>3</v>
      </c>
      <c r="L290">
        <v>0</v>
      </c>
      <c r="M290">
        <v>5</v>
      </c>
      <c r="N290">
        <v>4</v>
      </c>
      <c r="O290">
        <v>3</v>
      </c>
      <c r="P290">
        <v>3</v>
      </c>
      <c r="Q290">
        <v>2</v>
      </c>
      <c r="R290">
        <v>0</v>
      </c>
      <c r="S290" t="s">
        <v>34</v>
      </c>
      <c r="T290" t="s">
        <v>24</v>
      </c>
      <c r="U290" t="str">
        <f>IF(Table1[[#This Row],[YearsSince
LastPromotion]]&gt; 4, "Delayed", "Normal")</f>
        <v>Normal</v>
      </c>
      <c r="V290" t="str">
        <f>IF(Table1[[#This Row],[Years
InCurrentRole]]&gt;4, "Role Stagnent", "Normal")</f>
        <v>Normal</v>
      </c>
      <c r="W290" t="str">
        <f>IF(AND(Table1[[#This Row],[Years
InCurrentRole]]&gt; 4, Table1[[#This Row],[Performance
Rating]]&gt;=3), "High Risk", "Normal")</f>
        <v>Normal</v>
      </c>
      <c r="X290" t="str">
        <f>IF(Table1[[#This Row],[Performance
Rating]]&gt;=4, "High Performer", "Low Performer")</f>
        <v>Low Performer</v>
      </c>
    </row>
    <row r="291" spans="2:24" x14ac:dyDescent="0.3">
      <c r="B291" t="s">
        <v>19</v>
      </c>
      <c r="C291" t="s">
        <v>25</v>
      </c>
      <c r="D291">
        <v>1</v>
      </c>
      <c r="E291" t="s">
        <v>21</v>
      </c>
      <c r="F291">
        <v>1</v>
      </c>
      <c r="G291" t="s">
        <v>29</v>
      </c>
      <c r="H291">
        <v>3</v>
      </c>
      <c r="I291">
        <v>3629</v>
      </c>
      <c r="J291">
        <v>18</v>
      </c>
      <c r="K291">
        <v>3</v>
      </c>
      <c r="L291">
        <v>0</v>
      </c>
      <c r="M291">
        <v>8</v>
      </c>
      <c r="N291">
        <v>6</v>
      </c>
      <c r="O291">
        <v>3</v>
      </c>
      <c r="P291">
        <v>3</v>
      </c>
      <c r="Q291">
        <v>2</v>
      </c>
      <c r="R291">
        <v>0</v>
      </c>
      <c r="S291" t="s">
        <v>34</v>
      </c>
      <c r="T291" t="s">
        <v>24</v>
      </c>
      <c r="U291" t="str">
        <f>IF(Table1[[#This Row],[YearsSince
LastPromotion]]&gt; 4, "Delayed", "Normal")</f>
        <v>Normal</v>
      </c>
      <c r="V291" t="str">
        <f>IF(Table1[[#This Row],[Years
InCurrentRole]]&gt;4, "Role Stagnent", "Normal")</f>
        <v>Normal</v>
      </c>
      <c r="W291" t="str">
        <f>IF(AND(Table1[[#This Row],[Years
InCurrentRole]]&gt; 4, Table1[[#This Row],[Performance
Rating]]&gt;=3), "High Risk", "Normal")</f>
        <v>Normal</v>
      </c>
      <c r="X291" t="str">
        <f>IF(Table1[[#This Row],[Performance
Rating]]&gt;=4, "High Performer", "Low Performer")</f>
        <v>Low Performer</v>
      </c>
    </row>
    <row r="292" spans="2:24" x14ac:dyDescent="0.3">
      <c r="B292" t="s">
        <v>19</v>
      </c>
      <c r="C292" t="s">
        <v>25</v>
      </c>
      <c r="D292">
        <v>1</v>
      </c>
      <c r="E292" t="s">
        <v>21</v>
      </c>
      <c r="F292">
        <v>3</v>
      </c>
      <c r="G292" t="s">
        <v>31</v>
      </c>
      <c r="H292">
        <v>1</v>
      </c>
      <c r="I292">
        <v>8008</v>
      </c>
      <c r="J292">
        <v>12</v>
      </c>
      <c r="K292">
        <v>3</v>
      </c>
      <c r="L292">
        <v>2</v>
      </c>
      <c r="M292">
        <v>9</v>
      </c>
      <c r="N292">
        <v>6</v>
      </c>
      <c r="O292">
        <v>3</v>
      </c>
      <c r="P292">
        <v>3</v>
      </c>
      <c r="Q292">
        <v>2</v>
      </c>
      <c r="R292">
        <v>0</v>
      </c>
      <c r="S292" t="s">
        <v>34</v>
      </c>
      <c r="T292" t="s">
        <v>24</v>
      </c>
      <c r="U292" t="str">
        <f>IF(Table1[[#This Row],[YearsSince
LastPromotion]]&gt; 4, "Delayed", "Normal")</f>
        <v>Normal</v>
      </c>
      <c r="V292" t="str">
        <f>IF(Table1[[#This Row],[Years
InCurrentRole]]&gt;4, "Role Stagnent", "Normal")</f>
        <v>Normal</v>
      </c>
      <c r="W292" t="str">
        <f>IF(AND(Table1[[#This Row],[Years
InCurrentRole]]&gt; 4, Table1[[#This Row],[Performance
Rating]]&gt;=3), "High Risk", "Normal")</f>
        <v>Normal</v>
      </c>
      <c r="X292" t="str">
        <f>IF(Table1[[#This Row],[Performance
Rating]]&gt;=4, "High Performer", "Low Performer")</f>
        <v>Low Performer</v>
      </c>
    </row>
    <row r="293" spans="2:24" x14ac:dyDescent="0.3">
      <c r="B293" t="s">
        <v>19</v>
      </c>
      <c r="C293" t="s">
        <v>25</v>
      </c>
      <c r="D293">
        <v>1</v>
      </c>
      <c r="E293" t="s">
        <v>28</v>
      </c>
      <c r="F293">
        <v>1</v>
      </c>
      <c r="G293" t="s">
        <v>29</v>
      </c>
      <c r="H293">
        <v>3</v>
      </c>
      <c r="I293">
        <v>2305</v>
      </c>
      <c r="J293">
        <v>15</v>
      </c>
      <c r="K293">
        <v>3</v>
      </c>
      <c r="L293">
        <v>3</v>
      </c>
      <c r="M293">
        <v>3</v>
      </c>
      <c r="N293">
        <v>3</v>
      </c>
      <c r="O293">
        <v>4</v>
      </c>
      <c r="P293">
        <v>3</v>
      </c>
      <c r="Q293">
        <v>2</v>
      </c>
      <c r="R293">
        <v>0</v>
      </c>
      <c r="S293" t="s">
        <v>34</v>
      </c>
      <c r="T293" t="s">
        <v>24</v>
      </c>
      <c r="U293" t="str">
        <f>IF(Table1[[#This Row],[YearsSince
LastPromotion]]&gt; 4, "Delayed", "Normal")</f>
        <v>Normal</v>
      </c>
      <c r="V293" t="str">
        <f>IF(Table1[[#This Row],[Years
InCurrentRole]]&gt;4, "Role Stagnent", "Normal")</f>
        <v>Normal</v>
      </c>
      <c r="W293" t="str">
        <f>IF(AND(Table1[[#This Row],[Years
InCurrentRole]]&gt; 4, Table1[[#This Row],[Performance
Rating]]&gt;=3), "High Risk", "Normal")</f>
        <v>Normal</v>
      </c>
      <c r="X293" t="str">
        <f>IF(Table1[[#This Row],[Performance
Rating]]&gt;=4, "High Performer", "Low Performer")</f>
        <v>Low Performer</v>
      </c>
    </row>
    <row r="294" spans="2:24" x14ac:dyDescent="0.3">
      <c r="B294" t="s">
        <v>27</v>
      </c>
      <c r="C294" t="s">
        <v>25</v>
      </c>
      <c r="D294">
        <v>1</v>
      </c>
      <c r="E294" t="s">
        <v>21</v>
      </c>
      <c r="F294">
        <v>2</v>
      </c>
      <c r="G294" t="s">
        <v>33</v>
      </c>
      <c r="H294">
        <v>3</v>
      </c>
      <c r="I294">
        <v>4171</v>
      </c>
      <c r="J294">
        <v>19</v>
      </c>
      <c r="K294">
        <v>3</v>
      </c>
      <c r="L294">
        <v>1</v>
      </c>
      <c r="M294">
        <v>4</v>
      </c>
      <c r="N294">
        <v>3</v>
      </c>
      <c r="O294">
        <v>4</v>
      </c>
      <c r="P294">
        <v>3</v>
      </c>
      <c r="Q294">
        <v>2</v>
      </c>
      <c r="R294">
        <v>0</v>
      </c>
      <c r="S294" t="s">
        <v>34</v>
      </c>
      <c r="T294" t="s">
        <v>24</v>
      </c>
      <c r="U294" t="str">
        <f>IF(Table1[[#This Row],[YearsSince
LastPromotion]]&gt; 4, "Delayed", "Normal")</f>
        <v>Normal</v>
      </c>
      <c r="V294" t="str">
        <f>IF(Table1[[#This Row],[Years
InCurrentRole]]&gt;4, "Role Stagnent", "Normal")</f>
        <v>Normal</v>
      </c>
      <c r="W294" t="str">
        <f>IF(AND(Table1[[#This Row],[Years
InCurrentRole]]&gt; 4, Table1[[#This Row],[Performance
Rating]]&gt;=3), "High Risk", "Normal")</f>
        <v>Normal</v>
      </c>
      <c r="X294" t="str">
        <f>IF(Table1[[#This Row],[Performance
Rating]]&gt;=4, "High Performer", "Low Performer")</f>
        <v>Low Performer</v>
      </c>
    </row>
    <row r="295" spans="2:24" x14ac:dyDescent="0.3">
      <c r="B295" t="s">
        <v>19</v>
      </c>
      <c r="C295" t="s">
        <v>25</v>
      </c>
      <c r="D295">
        <v>1</v>
      </c>
      <c r="E295" t="s">
        <v>28</v>
      </c>
      <c r="F295">
        <v>1</v>
      </c>
      <c r="G295" t="s">
        <v>26</v>
      </c>
      <c r="H295">
        <v>1</v>
      </c>
      <c r="I295">
        <v>2819</v>
      </c>
      <c r="J295">
        <v>16</v>
      </c>
      <c r="K295">
        <v>3</v>
      </c>
      <c r="L295">
        <v>1</v>
      </c>
      <c r="M295">
        <v>5</v>
      </c>
      <c r="N295">
        <v>3</v>
      </c>
      <c r="O295">
        <v>4</v>
      </c>
      <c r="P295">
        <v>3</v>
      </c>
      <c r="Q295">
        <v>2</v>
      </c>
      <c r="R295">
        <v>0</v>
      </c>
      <c r="S295" t="s">
        <v>34</v>
      </c>
      <c r="T295" t="s">
        <v>24</v>
      </c>
      <c r="U295" t="str">
        <f>IF(Table1[[#This Row],[YearsSince
LastPromotion]]&gt; 4, "Delayed", "Normal")</f>
        <v>Normal</v>
      </c>
      <c r="V295" t="str">
        <f>IF(Table1[[#This Row],[Years
InCurrentRole]]&gt;4, "Role Stagnent", "Normal")</f>
        <v>Normal</v>
      </c>
      <c r="W295" t="str">
        <f>IF(AND(Table1[[#This Row],[Years
InCurrentRole]]&gt; 4, Table1[[#This Row],[Performance
Rating]]&gt;=3), "High Risk", "Normal")</f>
        <v>Normal</v>
      </c>
      <c r="X295" t="str">
        <f>IF(Table1[[#This Row],[Performance
Rating]]&gt;=4, "High Performer", "Low Performer")</f>
        <v>Low Performer</v>
      </c>
    </row>
    <row r="296" spans="2:24" x14ac:dyDescent="0.3">
      <c r="B296" t="s">
        <v>19</v>
      </c>
      <c r="C296" t="s">
        <v>25</v>
      </c>
      <c r="D296">
        <v>1</v>
      </c>
      <c r="E296" t="s">
        <v>28</v>
      </c>
      <c r="F296">
        <v>2</v>
      </c>
      <c r="G296" t="s">
        <v>31</v>
      </c>
      <c r="H296">
        <v>3</v>
      </c>
      <c r="I296">
        <v>6294</v>
      </c>
      <c r="J296">
        <v>12</v>
      </c>
      <c r="K296">
        <v>3</v>
      </c>
      <c r="L296">
        <v>0</v>
      </c>
      <c r="M296">
        <v>10</v>
      </c>
      <c r="N296">
        <v>5</v>
      </c>
      <c r="O296">
        <v>4</v>
      </c>
      <c r="P296">
        <v>3</v>
      </c>
      <c r="Q296">
        <v>2</v>
      </c>
      <c r="R296">
        <v>0</v>
      </c>
      <c r="S296" t="s">
        <v>34</v>
      </c>
      <c r="T296" t="s">
        <v>24</v>
      </c>
      <c r="U296" t="str">
        <f>IF(Table1[[#This Row],[YearsSince
LastPromotion]]&gt; 4, "Delayed", "Normal")</f>
        <v>Normal</v>
      </c>
      <c r="V296" t="str">
        <f>IF(Table1[[#This Row],[Years
InCurrentRole]]&gt;4, "Role Stagnent", "Normal")</f>
        <v>Normal</v>
      </c>
      <c r="W296" t="str">
        <f>IF(AND(Table1[[#This Row],[Years
InCurrentRole]]&gt; 4, Table1[[#This Row],[Performance
Rating]]&gt;=3), "High Risk", "Normal")</f>
        <v>Normal</v>
      </c>
      <c r="X296" t="str">
        <f>IF(Table1[[#This Row],[Performance
Rating]]&gt;=4, "High Performer", "Low Performer")</f>
        <v>Low Performer</v>
      </c>
    </row>
    <row r="297" spans="2:24" x14ac:dyDescent="0.3">
      <c r="B297" t="s">
        <v>27</v>
      </c>
      <c r="C297" t="s">
        <v>25</v>
      </c>
      <c r="D297">
        <v>1</v>
      </c>
      <c r="E297" t="s">
        <v>28</v>
      </c>
      <c r="F297">
        <v>1</v>
      </c>
      <c r="G297" t="s">
        <v>29</v>
      </c>
      <c r="H297">
        <v>2</v>
      </c>
      <c r="I297">
        <v>3743</v>
      </c>
      <c r="J297">
        <v>24</v>
      </c>
      <c r="K297">
        <v>4</v>
      </c>
      <c r="L297">
        <v>1</v>
      </c>
      <c r="M297">
        <v>5</v>
      </c>
      <c r="N297">
        <v>2</v>
      </c>
      <c r="O297">
        <v>1</v>
      </c>
      <c r="P297">
        <v>4</v>
      </c>
      <c r="Q297">
        <v>2</v>
      </c>
      <c r="R297">
        <v>0</v>
      </c>
      <c r="S297" t="s">
        <v>23</v>
      </c>
      <c r="T297" t="s">
        <v>38</v>
      </c>
      <c r="U297" t="str">
        <f>IF(Table1[[#This Row],[YearsSince
LastPromotion]]&gt; 4, "Delayed", "Normal")</f>
        <v>Normal</v>
      </c>
      <c r="V297" t="str">
        <f>IF(Table1[[#This Row],[Years
InCurrentRole]]&gt;4, "Role Stagnent", "Normal")</f>
        <v>Normal</v>
      </c>
      <c r="W297" t="str">
        <f>IF(AND(Table1[[#This Row],[Years
InCurrentRole]]&gt; 4, Table1[[#This Row],[Performance
Rating]]&gt;=3), "High Risk", "Normal")</f>
        <v>Normal</v>
      </c>
      <c r="X297" t="str">
        <f>IF(Table1[[#This Row],[Performance
Rating]]&gt;=4, "High Performer", "Low Performer")</f>
        <v>High Performer</v>
      </c>
    </row>
    <row r="298" spans="2:24" x14ac:dyDescent="0.3">
      <c r="B298" t="s">
        <v>27</v>
      </c>
      <c r="C298" t="s">
        <v>25</v>
      </c>
      <c r="D298">
        <v>1</v>
      </c>
      <c r="E298" t="s">
        <v>28</v>
      </c>
      <c r="F298">
        <v>1</v>
      </c>
      <c r="G298" t="s">
        <v>29</v>
      </c>
      <c r="H298">
        <v>1</v>
      </c>
      <c r="I298">
        <v>2166</v>
      </c>
      <c r="J298">
        <v>14</v>
      </c>
      <c r="K298">
        <v>3</v>
      </c>
      <c r="L298">
        <v>0</v>
      </c>
      <c r="M298">
        <v>10</v>
      </c>
      <c r="N298">
        <v>3</v>
      </c>
      <c r="O298">
        <v>1</v>
      </c>
      <c r="P298">
        <v>4</v>
      </c>
      <c r="Q298">
        <v>2</v>
      </c>
      <c r="R298">
        <v>0</v>
      </c>
      <c r="S298" t="s">
        <v>23</v>
      </c>
      <c r="T298" t="s">
        <v>38</v>
      </c>
      <c r="U298" t="str">
        <f>IF(Table1[[#This Row],[YearsSince
LastPromotion]]&gt; 4, "Delayed", "Normal")</f>
        <v>Normal</v>
      </c>
      <c r="V298" t="str">
        <f>IF(Table1[[#This Row],[Years
InCurrentRole]]&gt;4, "Role Stagnent", "Normal")</f>
        <v>Normal</v>
      </c>
      <c r="W298" t="str">
        <f>IF(AND(Table1[[#This Row],[Years
InCurrentRole]]&gt; 4, Table1[[#This Row],[Performance
Rating]]&gt;=3), "High Risk", "Normal")</f>
        <v>Normal</v>
      </c>
      <c r="X298" t="str">
        <f>IF(Table1[[#This Row],[Performance
Rating]]&gt;=4, "High Performer", "Low Performer")</f>
        <v>Low Performer</v>
      </c>
    </row>
    <row r="299" spans="2:24" x14ac:dyDescent="0.3">
      <c r="B299" t="s">
        <v>19</v>
      </c>
      <c r="C299" t="s">
        <v>25</v>
      </c>
      <c r="D299">
        <v>1</v>
      </c>
      <c r="E299" t="s">
        <v>28</v>
      </c>
      <c r="F299">
        <v>1</v>
      </c>
      <c r="G299" t="s">
        <v>26</v>
      </c>
      <c r="H299">
        <v>4</v>
      </c>
      <c r="I299">
        <v>2904</v>
      </c>
      <c r="J299">
        <v>12</v>
      </c>
      <c r="K299">
        <v>3</v>
      </c>
      <c r="L299">
        <v>2</v>
      </c>
      <c r="M299">
        <v>4</v>
      </c>
      <c r="N299">
        <v>2</v>
      </c>
      <c r="O299">
        <v>2</v>
      </c>
      <c r="P299">
        <v>4</v>
      </c>
      <c r="Q299">
        <v>2</v>
      </c>
      <c r="R299">
        <v>0</v>
      </c>
      <c r="S299" t="s">
        <v>23</v>
      </c>
      <c r="T299" t="s">
        <v>38</v>
      </c>
      <c r="U299" t="str">
        <f>IF(Table1[[#This Row],[YearsSince
LastPromotion]]&gt; 4, "Delayed", "Normal")</f>
        <v>Normal</v>
      </c>
      <c r="V299" t="str">
        <f>IF(Table1[[#This Row],[Years
InCurrentRole]]&gt;4, "Role Stagnent", "Normal")</f>
        <v>Normal</v>
      </c>
      <c r="W299" t="str">
        <f>IF(AND(Table1[[#This Row],[Years
InCurrentRole]]&gt; 4, Table1[[#This Row],[Performance
Rating]]&gt;=3), "High Risk", "Normal")</f>
        <v>Normal</v>
      </c>
      <c r="X299" t="str">
        <f>IF(Table1[[#This Row],[Performance
Rating]]&gt;=4, "High Performer", "Low Performer")</f>
        <v>Low Performer</v>
      </c>
    </row>
    <row r="300" spans="2:24" x14ac:dyDescent="0.3">
      <c r="B300" t="s">
        <v>19</v>
      </c>
      <c r="C300" t="s">
        <v>25</v>
      </c>
      <c r="D300">
        <v>1</v>
      </c>
      <c r="E300" t="s">
        <v>28</v>
      </c>
      <c r="F300">
        <v>1</v>
      </c>
      <c r="G300" t="s">
        <v>29</v>
      </c>
      <c r="H300">
        <v>3</v>
      </c>
      <c r="I300">
        <v>2154</v>
      </c>
      <c r="J300">
        <v>11</v>
      </c>
      <c r="K300">
        <v>3</v>
      </c>
      <c r="L300">
        <v>0</v>
      </c>
      <c r="M300">
        <v>5</v>
      </c>
      <c r="N300">
        <v>2</v>
      </c>
      <c r="O300">
        <v>2</v>
      </c>
      <c r="P300">
        <v>4</v>
      </c>
      <c r="Q300">
        <v>2</v>
      </c>
      <c r="R300">
        <v>0</v>
      </c>
      <c r="S300" t="s">
        <v>23</v>
      </c>
      <c r="T300" t="s">
        <v>38</v>
      </c>
      <c r="U300" t="str">
        <f>IF(Table1[[#This Row],[YearsSince
LastPromotion]]&gt; 4, "Delayed", "Normal")</f>
        <v>Normal</v>
      </c>
      <c r="V300" t="str">
        <f>IF(Table1[[#This Row],[Years
InCurrentRole]]&gt;4, "Role Stagnent", "Normal")</f>
        <v>Normal</v>
      </c>
      <c r="W300" t="str">
        <f>IF(AND(Table1[[#This Row],[Years
InCurrentRole]]&gt; 4, Table1[[#This Row],[Performance
Rating]]&gt;=3), "High Risk", "Normal")</f>
        <v>Normal</v>
      </c>
      <c r="X300" t="str">
        <f>IF(Table1[[#This Row],[Performance
Rating]]&gt;=4, "High Performer", "Low Performer")</f>
        <v>Low Performer</v>
      </c>
    </row>
    <row r="301" spans="2:24" x14ac:dyDescent="0.3">
      <c r="B301" t="s">
        <v>19</v>
      </c>
      <c r="C301" t="s">
        <v>20</v>
      </c>
      <c r="D301">
        <v>1</v>
      </c>
      <c r="E301" t="s">
        <v>21</v>
      </c>
      <c r="F301">
        <v>2</v>
      </c>
      <c r="G301" t="s">
        <v>32</v>
      </c>
      <c r="H301">
        <v>4</v>
      </c>
      <c r="I301">
        <v>8103</v>
      </c>
      <c r="J301">
        <v>12</v>
      </c>
      <c r="K301">
        <v>3</v>
      </c>
      <c r="L301">
        <v>0</v>
      </c>
      <c r="M301">
        <v>9</v>
      </c>
      <c r="N301">
        <v>3</v>
      </c>
      <c r="O301">
        <v>2</v>
      </c>
      <c r="P301">
        <v>4</v>
      </c>
      <c r="Q301">
        <v>2</v>
      </c>
      <c r="R301">
        <v>0</v>
      </c>
      <c r="S301" t="s">
        <v>23</v>
      </c>
      <c r="T301" t="s">
        <v>38</v>
      </c>
      <c r="U301" t="str">
        <f>IF(Table1[[#This Row],[YearsSince
LastPromotion]]&gt; 4, "Delayed", "Normal")</f>
        <v>Normal</v>
      </c>
      <c r="V301" t="str">
        <f>IF(Table1[[#This Row],[Years
InCurrentRole]]&gt;4, "Role Stagnent", "Normal")</f>
        <v>Normal</v>
      </c>
      <c r="W301" t="str">
        <f>IF(AND(Table1[[#This Row],[Years
InCurrentRole]]&gt; 4, Table1[[#This Row],[Performance
Rating]]&gt;=3), "High Risk", "Normal")</f>
        <v>Normal</v>
      </c>
      <c r="X301" t="str">
        <f>IF(Table1[[#This Row],[Performance
Rating]]&gt;=4, "High Performer", "Low Performer")</f>
        <v>Low Performer</v>
      </c>
    </row>
    <row r="302" spans="2:24" x14ac:dyDescent="0.3">
      <c r="B302" t="s">
        <v>19</v>
      </c>
      <c r="C302" t="s">
        <v>20</v>
      </c>
      <c r="D302">
        <v>1</v>
      </c>
      <c r="E302" t="s">
        <v>21</v>
      </c>
      <c r="F302">
        <v>2</v>
      </c>
      <c r="G302" t="s">
        <v>30</v>
      </c>
      <c r="H302">
        <v>4</v>
      </c>
      <c r="I302">
        <v>5405</v>
      </c>
      <c r="J302">
        <v>20</v>
      </c>
      <c r="K302">
        <v>4</v>
      </c>
      <c r="L302">
        <v>2</v>
      </c>
      <c r="M302">
        <v>20</v>
      </c>
      <c r="N302">
        <v>4</v>
      </c>
      <c r="O302">
        <v>2</v>
      </c>
      <c r="P302">
        <v>4</v>
      </c>
      <c r="Q302">
        <v>2</v>
      </c>
      <c r="R302">
        <v>0</v>
      </c>
      <c r="S302" t="s">
        <v>23</v>
      </c>
      <c r="T302" t="s">
        <v>38</v>
      </c>
      <c r="U302" t="str">
        <f>IF(Table1[[#This Row],[YearsSince
LastPromotion]]&gt; 4, "Delayed", "Normal")</f>
        <v>Normal</v>
      </c>
      <c r="V302" t="str">
        <f>IF(Table1[[#This Row],[Years
InCurrentRole]]&gt;4, "Role Stagnent", "Normal")</f>
        <v>Normal</v>
      </c>
      <c r="W302" t="str">
        <f>IF(AND(Table1[[#This Row],[Years
InCurrentRole]]&gt; 4, Table1[[#This Row],[Performance
Rating]]&gt;=3), "High Risk", "Normal")</f>
        <v>Normal</v>
      </c>
      <c r="X302" t="str">
        <f>IF(Table1[[#This Row],[Performance
Rating]]&gt;=4, "High Performer", "Low Performer")</f>
        <v>High Performer</v>
      </c>
    </row>
    <row r="303" spans="2:24" x14ac:dyDescent="0.3">
      <c r="B303" t="s">
        <v>19</v>
      </c>
      <c r="C303" t="s">
        <v>25</v>
      </c>
      <c r="D303">
        <v>1</v>
      </c>
      <c r="E303" t="s">
        <v>28</v>
      </c>
      <c r="F303">
        <v>1</v>
      </c>
      <c r="G303" t="s">
        <v>26</v>
      </c>
      <c r="H303">
        <v>3</v>
      </c>
      <c r="I303">
        <v>2127</v>
      </c>
      <c r="J303">
        <v>12</v>
      </c>
      <c r="K303">
        <v>3</v>
      </c>
      <c r="L303">
        <v>0</v>
      </c>
      <c r="M303">
        <v>7</v>
      </c>
      <c r="N303">
        <v>5</v>
      </c>
      <c r="O303">
        <v>2</v>
      </c>
      <c r="P303">
        <v>4</v>
      </c>
      <c r="Q303">
        <v>2</v>
      </c>
      <c r="R303">
        <v>0</v>
      </c>
      <c r="S303" t="s">
        <v>23</v>
      </c>
      <c r="T303" t="s">
        <v>38</v>
      </c>
      <c r="U303" t="str">
        <f>IF(Table1[[#This Row],[YearsSince
LastPromotion]]&gt; 4, "Delayed", "Normal")</f>
        <v>Normal</v>
      </c>
      <c r="V303" t="str">
        <f>IF(Table1[[#This Row],[Years
InCurrentRole]]&gt;4, "Role Stagnent", "Normal")</f>
        <v>Normal</v>
      </c>
      <c r="W303" t="str">
        <f>IF(AND(Table1[[#This Row],[Years
InCurrentRole]]&gt; 4, Table1[[#This Row],[Performance
Rating]]&gt;=3), "High Risk", "Normal")</f>
        <v>Normal</v>
      </c>
      <c r="X303" t="str">
        <f>IF(Table1[[#This Row],[Performance
Rating]]&gt;=4, "High Performer", "Low Performer")</f>
        <v>Low Performer</v>
      </c>
    </row>
    <row r="304" spans="2:24" x14ac:dyDescent="0.3">
      <c r="B304" t="s">
        <v>19</v>
      </c>
      <c r="C304" t="s">
        <v>25</v>
      </c>
      <c r="D304">
        <v>1</v>
      </c>
      <c r="E304" t="s">
        <v>28</v>
      </c>
      <c r="F304">
        <v>1</v>
      </c>
      <c r="G304" t="s">
        <v>26</v>
      </c>
      <c r="H304">
        <v>3</v>
      </c>
      <c r="I304">
        <v>3544</v>
      </c>
      <c r="J304">
        <v>16</v>
      </c>
      <c r="K304">
        <v>3</v>
      </c>
      <c r="L304">
        <v>1</v>
      </c>
      <c r="M304">
        <v>6</v>
      </c>
      <c r="N304">
        <v>0</v>
      </c>
      <c r="O304">
        <v>3</v>
      </c>
      <c r="P304">
        <v>4</v>
      </c>
      <c r="Q304">
        <v>2</v>
      </c>
      <c r="R304">
        <v>0</v>
      </c>
      <c r="S304" t="s">
        <v>34</v>
      </c>
      <c r="T304" t="s">
        <v>38</v>
      </c>
      <c r="U304" t="str">
        <f>IF(Table1[[#This Row],[YearsSince
LastPromotion]]&gt; 4, "Delayed", "Normal")</f>
        <v>Normal</v>
      </c>
      <c r="V304" t="str">
        <f>IF(Table1[[#This Row],[Years
InCurrentRole]]&gt;4, "Role Stagnent", "Normal")</f>
        <v>Normal</v>
      </c>
      <c r="W304" t="str">
        <f>IF(AND(Table1[[#This Row],[Years
InCurrentRole]]&gt; 4, Table1[[#This Row],[Performance
Rating]]&gt;=3), "High Risk", "Normal")</f>
        <v>Normal</v>
      </c>
      <c r="X304" t="str">
        <f>IF(Table1[[#This Row],[Performance
Rating]]&gt;=4, "High Performer", "Low Performer")</f>
        <v>Low Performer</v>
      </c>
    </row>
    <row r="305" spans="2:24" x14ac:dyDescent="0.3">
      <c r="B305" t="s">
        <v>19</v>
      </c>
      <c r="C305" t="s">
        <v>25</v>
      </c>
      <c r="D305">
        <v>1</v>
      </c>
      <c r="E305" t="s">
        <v>21</v>
      </c>
      <c r="F305">
        <v>1</v>
      </c>
      <c r="G305" t="s">
        <v>26</v>
      </c>
      <c r="H305">
        <v>4</v>
      </c>
      <c r="I305">
        <v>3929</v>
      </c>
      <c r="J305">
        <v>23</v>
      </c>
      <c r="K305">
        <v>4</v>
      </c>
      <c r="L305">
        <v>1</v>
      </c>
      <c r="M305">
        <v>7</v>
      </c>
      <c r="N305">
        <v>0</v>
      </c>
      <c r="O305">
        <v>3</v>
      </c>
      <c r="P305">
        <v>4</v>
      </c>
      <c r="Q305">
        <v>2</v>
      </c>
      <c r="R305">
        <v>0</v>
      </c>
      <c r="S305" t="s">
        <v>34</v>
      </c>
      <c r="T305" t="s">
        <v>38</v>
      </c>
      <c r="U305" t="str">
        <f>IF(Table1[[#This Row],[YearsSince
LastPromotion]]&gt; 4, "Delayed", "Normal")</f>
        <v>Normal</v>
      </c>
      <c r="V305" t="str">
        <f>IF(Table1[[#This Row],[Years
InCurrentRole]]&gt;4, "Role Stagnent", "Normal")</f>
        <v>Normal</v>
      </c>
      <c r="W305" t="str">
        <f>IF(AND(Table1[[#This Row],[Years
InCurrentRole]]&gt; 4, Table1[[#This Row],[Performance
Rating]]&gt;=3), "High Risk", "Normal")</f>
        <v>Normal</v>
      </c>
      <c r="X305" t="str">
        <f>IF(Table1[[#This Row],[Performance
Rating]]&gt;=4, "High Performer", "Low Performer")</f>
        <v>High Performer</v>
      </c>
    </row>
    <row r="306" spans="2:24" x14ac:dyDescent="0.3">
      <c r="B306" t="s">
        <v>19</v>
      </c>
      <c r="C306" t="s">
        <v>25</v>
      </c>
      <c r="D306">
        <v>1</v>
      </c>
      <c r="E306" t="s">
        <v>28</v>
      </c>
      <c r="F306">
        <v>1</v>
      </c>
      <c r="G306" t="s">
        <v>26</v>
      </c>
      <c r="H306">
        <v>3</v>
      </c>
      <c r="I306">
        <v>2610</v>
      </c>
      <c r="J306">
        <v>11</v>
      </c>
      <c r="K306">
        <v>3</v>
      </c>
      <c r="L306">
        <v>3</v>
      </c>
      <c r="M306">
        <v>4</v>
      </c>
      <c r="N306">
        <v>2</v>
      </c>
      <c r="O306">
        <v>3</v>
      </c>
      <c r="P306">
        <v>4</v>
      </c>
      <c r="Q306">
        <v>2</v>
      </c>
      <c r="R306">
        <v>0</v>
      </c>
      <c r="S306" t="s">
        <v>34</v>
      </c>
      <c r="T306" t="s">
        <v>38</v>
      </c>
      <c r="U306" t="str">
        <f>IF(Table1[[#This Row],[YearsSince
LastPromotion]]&gt; 4, "Delayed", "Normal")</f>
        <v>Normal</v>
      </c>
      <c r="V306" t="str">
        <f>IF(Table1[[#This Row],[Years
InCurrentRole]]&gt;4, "Role Stagnent", "Normal")</f>
        <v>Normal</v>
      </c>
      <c r="W306" t="str">
        <f>IF(AND(Table1[[#This Row],[Years
InCurrentRole]]&gt; 4, Table1[[#This Row],[Performance
Rating]]&gt;=3), "High Risk", "Normal")</f>
        <v>Normal</v>
      </c>
      <c r="X306" t="str">
        <f>IF(Table1[[#This Row],[Performance
Rating]]&gt;=4, "High Performer", "Low Performer")</f>
        <v>Low Performer</v>
      </c>
    </row>
    <row r="307" spans="2:24" x14ac:dyDescent="0.3">
      <c r="B307" t="s">
        <v>19</v>
      </c>
      <c r="C307" t="s">
        <v>20</v>
      </c>
      <c r="D307">
        <v>1</v>
      </c>
      <c r="E307" t="s">
        <v>21</v>
      </c>
      <c r="F307">
        <v>1</v>
      </c>
      <c r="G307" t="s">
        <v>30</v>
      </c>
      <c r="H307">
        <v>3</v>
      </c>
      <c r="I307">
        <v>2966</v>
      </c>
      <c r="J307">
        <v>18</v>
      </c>
      <c r="K307">
        <v>3</v>
      </c>
      <c r="L307">
        <v>0</v>
      </c>
      <c r="M307">
        <v>5</v>
      </c>
      <c r="N307">
        <v>2</v>
      </c>
      <c r="O307">
        <v>3</v>
      </c>
      <c r="P307">
        <v>4</v>
      </c>
      <c r="Q307">
        <v>2</v>
      </c>
      <c r="R307">
        <v>0</v>
      </c>
      <c r="S307" t="s">
        <v>34</v>
      </c>
      <c r="T307" t="s">
        <v>38</v>
      </c>
      <c r="U307" t="str">
        <f>IF(Table1[[#This Row],[YearsSince
LastPromotion]]&gt; 4, "Delayed", "Normal")</f>
        <v>Normal</v>
      </c>
      <c r="V307" t="str">
        <f>IF(Table1[[#This Row],[Years
InCurrentRole]]&gt;4, "Role Stagnent", "Normal")</f>
        <v>Normal</v>
      </c>
      <c r="W307" t="str">
        <f>IF(AND(Table1[[#This Row],[Years
InCurrentRole]]&gt; 4, Table1[[#This Row],[Performance
Rating]]&gt;=3), "High Risk", "Normal")</f>
        <v>Normal</v>
      </c>
      <c r="X307" t="str">
        <f>IF(Table1[[#This Row],[Performance
Rating]]&gt;=4, "High Performer", "Low Performer")</f>
        <v>Low Performer</v>
      </c>
    </row>
    <row r="308" spans="2:24" x14ac:dyDescent="0.3">
      <c r="B308" t="s">
        <v>19</v>
      </c>
      <c r="C308" t="s">
        <v>25</v>
      </c>
      <c r="D308">
        <v>1</v>
      </c>
      <c r="E308" t="s">
        <v>21</v>
      </c>
      <c r="F308">
        <v>1</v>
      </c>
      <c r="G308" t="s">
        <v>26</v>
      </c>
      <c r="H308">
        <v>1</v>
      </c>
      <c r="I308">
        <v>3580</v>
      </c>
      <c r="J308">
        <v>16</v>
      </c>
      <c r="K308">
        <v>3</v>
      </c>
      <c r="L308">
        <v>1</v>
      </c>
      <c r="M308">
        <v>7</v>
      </c>
      <c r="N308">
        <v>2</v>
      </c>
      <c r="O308">
        <v>3</v>
      </c>
      <c r="P308">
        <v>4</v>
      </c>
      <c r="Q308">
        <v>2</v>
      </c>
      <c r="R308">
        <v>0</v>
      </c>
      <c r="S308" t="s">
        <v>34</v>
      </c>
      <c r="T308" t="s">
        <v>38</v>
      </c>
      <c r="U308" t="str">
        <f>IF(Table1[[#This Row],[YearsSince
LastPromotion]]&gt; 4, "Delayed", "Normal")</f>
        <v>Normal</v>
      </c>
      <c r="V308" t="str">
        <f>IF(Table1[[#This Row],[Years
InCurrentRole]]&gt;4, "Role Stagnent", "Normal")</f>
        <v>Normal</v>
      </c>
      <c r="W308" t="str">
        <f>IF(AND(Table1[[#This Row],[Years
InCurrentRole]]&gt; 4, Table1[[#This Row],[Performance
Rating]]&gt;=3), "High Risk", "Normal")</f>
        <v>Normal</v>
      </c>
      <c r="X308" t="str">
        <f>IF(Table1[[#This Row],[Performance
Rating]]&gt;=4, "High Performer", "Low Performer")</f>
        <v>Low Performer</v>
      </c>
    </row>
    <row r="309" spans="2:24" x14ac:dyDescent="0.3">
      <c r="B309" t="s">
        <v>19</v>
      </c>
      <c r="C309" t="s">
        <v>36</v>
      </c>
      <c r="D309">
        <v>1</v>
      </c>
      <c r="E309" t="s">
        <v>28</v>
      </c>
      <c r="F309">
        <v>2</v>
      </c>
      <c r="G309" t="s">
        <v>36</v>
      </c>
      <c r="H309">
        <v>2</v>
      </c>
      <c r="I309">
        <v>5021</v>
      </c>
      <c r="J309">
        <v>22</v>
      </c>
      <c r="K309">
        <v>4</v>
      </c>
      <c r="L309">
        <v>1</v>
      </c>
      <c r="M309">
        <v>16</v>
      </c>
      <c r="N309">
        <v>2</v>
      </c>
      <c r="O309">
        <v>3</v>
      </c>
      <c r="P309">
        <v>4</v>
      </c>
      <c r="Q309">
        <v>2</v>
      </c>
      <c r="R309">
        <v>0</v>
      </c>
      <c r="S309" t="s">
        <v>34</v>
      </c>
      <c r="T309" t="s">
        <v>38</v>
      </c>
      <c r="U309" t="str">
        <f>IF(Table1[[#This Row],[YearsSince
LastPromotion]]&gt; 4, "Delayed", "Normal")</f>
        <v>Normal</v>
      </c>
      <c r="V309" t="str">
        <f>IF(Table1[[#This Row],[Years
InCurrentRole]]&gt;4, "Role Stagnent", "Normal")</f>
        <v>Normal</v>
      </c>
      <c r="W309" t="str">
        <f>IF(AND(Table1[[#This Row],[Years
InCurrentRole]]&gt; 4, Table1[[#This Row],[Performance
Rating]]&gt;=3), "High Risk", "Normal")</f>
        <v>Normal</v>
      </c>
      <c r="X309" t="str">
        <f>IF(Table1[[#This Row],[Performance
Rating]]&gt;=4, "High Performer", "Low Performer")</f>
        <v>High Performer</v>
      </c>
    </row>
    <row r="310" spans="2:24" x14ac:dyDescent="0.3">
      <c r="B310" t="s">
        <v>27</v>
      </c>
      <c r="C310" t="s">
        <v>25</v>
      </c>
      <c r="D310">
        <v>1</v>
      </c>
      <c r="E310" t="s">
        <v>28</v>
      </c>
      <c r="F310">
        <v>3</v>
      </c>
      <c r="G310" t="s">
        <v>33</v>
      </c>
      <c r="H310">
        <v>4</v>
      </c>
      <c r="I310">
        <v>10650</v>
      </c>
      <c r="J310">
        <v>15</v>
      </c>
      <c r="K310">
        <v>3</v>
      </c>
      <c r="L310">
        <v>0</v>
      </c>
      <c r="M310">
        <v>18</v>
      </c>
      <c r="N310">
        <v>2</v>
      </c>
      <c r="O310">
        <v>3</v>
      </c>
      <c r="P310">
        <v>4</v>
      </c>
      <c r="Q310">
        <v>2</v>
      </c>
      <c r="R310">
        <v>0</v>
      </c>
      <c r="S310" t="s">
        <v>34</v>
      </c>
      <c r="T310" t="s">
        <v>38</v>
      </c>
      <c r="U310" t="str">
        <f>IF(Table1[[#This Row],[YearsSince
LastPromotion]]&gt; 4, "Delayed", "Normal")</f>
        <v>Normal</v>
      </c>
      <c r="V310" t="str">
        <f>IF(Table1[[#This Row],[Years
InCurrentRole]]&gt;4, "Role Stagnent", "Normal")</f>
        <v>Normal</v>
      </c>
      <c r="W310" t="str">
        <f>IF(AND(Table1[[#This Row],[Years
InCurrentRole]]&gt; 4, Table1[[#This Row],[Performance
Rating]]&gt;=3), "High Risk", "Normal")</f>
        <v>Normal</v>
      </c>
      <c r="X310" t="str">
        <f>IF(Table1[[#This Row],[Performance
Rating]]&gt;=4, "High Performer", "Low Performer")</f>
        <v>Low Performer</v>
      </c>
    </row>
    <row r="311" spans="2:24" x14ac:dyDescent="0.3">
      <c r="B311" t="s">
        <v>19</v>
      </c>
      <c r="C311" t="s">
        <v>25</v>
      </c>
      <c r="D311">
        <v>1</v>
      </c>
      <c r="E311" t="s">
        <v>28</v>
      </c>
      <c r="F311">
        <v>5</v>
      </c>
      <c r="G311" t="s">
        <v>35</v>
      </c>
      <c r="H311">
        <v>2</v>
      </c>
      <c r="I311">
        <v>19081</v>
      </c>
      <c r="J311">
        <v>11</v>
      </c>
      <c r="K311">
        <v>3</v>
      </c>
      <c r="L311">
        <v>1</v>
      </c>
      <c r="M311">
        <v>25</v>
      </c>
      <c r="N311">
        <v>2</v>
      </c>
      <c r="O311">
        <v>3</v>
      </c>
      <c r="P311">
        <v>4</v>
      </c>
      <c r="Q311">
        <v>2</v>
      </c>
      <c r="R311">
        <v>0</v>
      </c>
      <c r="S311" t="s">
        <v>34</v>
      </c>
      <c r="T311" t="s">
        <v>38</v>
      </c>
      <c r="U311" t="str">
        <f>IF(Table1[[#This Row],[YearsSince
LastPromotion]]&gt; 4, "Delayed", "Normal")</f>
        <v>Normal</v>
      </c>
      <c r="V311" t="str">
        <f>IF(Table1[[#This Row],[Years
InCurrentRole]]&gt;4, "Role Stagnent", "Normal")</f>
        <v>Normal</v>
      </c>
      <c r="W311" t="str">
        <f>IF(AND(Table1[[#This Row],[Years
InCurrentRole]]&gt; 4, Table1[[#This Row],[Performance
Rating]]&gt;=3), "High Risk", "Normal")</f>
        <v>Normal</v>
      </c>
      <c r="X311" t="str">
        <f>IF(Table1[[#This Row],[Performance
Rating]]&gt;=4, "High Performer", "Low Performer")</f>
        <v>Low Performer</v>
      </c>
    </row>
    <row r="312" spans="2:24" x14ac:dyDescent="0.3">
      <c r="B312" t="s">
        <v>19</v>
      </c>
      <c r="C312" t="s">
        <v>20</v>
      </c>
      <c r="D312">
        <v>1</v>
      </c>
      <c r="E312" t="s">
        <v>28</v>
      </c>
      <c r="F312">
        <v>2</v>
      </c>
      <c r="G312" t="s">
        <v>32</v>
      </c>
      <c r="H312">
        <v>4</v>
      </c>
      <c r="I312">
        <v>4908</v>
      </c>
      <c r="J312">
        <v>14</v>
      </c>
      <c r="K312">
        <v>3</v>
      </c>
      <c r="L312">
        <v>0</v>
      </c>
      <c r="M312">
        <v>4</v>
      </c>
      <c r="N312">
        <v>3</v>
      </c>
      <c r="O312">
        <v>3</v>
      </c>
      <c r="P312">
        <v>4</v>
      </c>
      <c r="Q312">
        <v>2</v>
      </c>
      <c r="R312">
        <v>0</v>
      </c>
      <c r="S312" t="s">
        <v>34</v>
      </c>
      <c r="T312" t="s">
        <v>38</v>
      </c>
      <c r="U312" t="str">
        <f>IF(Table1[[#This Row],[YearsSince
LastPromotion]]&gt; 4, "Delayed", "Normal")</f>
        <v>Normal</v>
      </c>
      <c r="V312" t="str">
        <f>IF(Table1[[#This Row],[Years
InCurrentRole]]&gt;4, "Role Stagnent", "Normal")</f>
        <v>Normal</v>
      </c>
      <c r="W312" t="str">
        <f>IF(AND(Table1[[#This Row],[Years
InCurrentRole]]&gt; 4, Table1[[#This Row],[Performance
Rating]]&gt;=3), "High Risk", "Normal")</f>
        <v>Normal</v>
      </c>
      <c r="X312" t="str">
        <f>IF(Table1[[#This Row],[Performance
Rating]]&gt;=4, "High Performer", "Low Performer")</f>
        <v>Low Performer</v>
      </c>
    </row>
    <row r="313" spans="2:24" x14ac:dyDescent="0.3">
      <c r="B313" t="s">
        <v>19</v>
      </c>
      <c r="C313" t="s">
        <v>25</v>
      </c>
      <c r="D313">
        <v>1</v>
      </c>
      <c r="E313" t="s">
        <v>28</v>
      </c>
      <c r="F313">
        <v>1</v>
      </c>
      <c r="G313" t="s">
        <v>29</v>
      </c>
      <c r="H313">
        <v>2</v>
      </c>
      <c r="I313">
        <v>2387</v>
      </c>
      <c r="J313">
        <v>22</v>
      </c>
      <c r="K313">
        <v>4</v>
      </c>
      <c r="L313">
        <v>1</v>
      </c>
      <c r="M313">
        <v>7</v>
      </c>
      <c r="N313">
        <v>3</v>
      </c>
      <c r="O313">
        <v>3</v>
      </c>
      <c r="P313">
        <v>4</v>
      </c>
      <c r="Q313">
        <v>2</v>
      </c>
      <c r="R313">
        <v>0</v>
      </c>
      <c r="S313" t="s">
        <v>34</v>
      </c>
      <c r="T313" t="s">
        <v>38</v>
      </c>
      <c r="U313" t="str">
        <f>IF(Table1[[#This Row],[YearsSince
LastPromotion]]&gt; 4, "Delayed", "Normal")</f>
        <v>Normal</v>
      </c>
      <c r="V313" t="str">
        <f>IF(Table1[[#This Row],[Years
InCurrentRole]]&gt;4, "Role Stagnent", "Normal")</f>
        <v>Normal</v>
      </c>
      <c r="W313" t="str">
        <f>IF(AND(Table1[[#This Row],[Years
InCurrentRole]]&gt; 4, Table1[[#This Row],[Performance
Rating]]&gt;=3), "High Risk", "Normal")</f>
        <v>Normal</v>
      </c>
      <c r="X313" t="str">
        <f>IF(Table1[[#This Row],[Performance
Rating]]&gt;=4, "High Performer", "Low Performer")</f>
        <v>High Performer</v>
      </c>
    </row>
    <row r="314" spans="2:24" x14ac:dyDescent="0.3">
      <c r="B314" t="s">
        <v>19</v>
      </c>
      <c r="C314" t="s">
        <v>25</v>
      </c>
      <c r="D314">
        <v>1</v>
      </c>
      <c r="E314" t="s">
        <v>28</v>
      </c>
      <c r="F314">
        <v>2</v>
      </c>
      <c r="G314" t="s">
        <v>31</v>
      </c>
      <c r="H314">
        <v>3</v>
      </c>
      <c r="I314">
        <v>5399</v>
      </c>
      <c r="J314">
        <v>12</v>
      </c>
      <c r="K314">
        <v>3</v>
      </c>
      <c r="L314">
        <v>0</v>
      </c>
      <c r="M314">
        <v>12</v>
      </c>
      <c r="N314">
        <v>3</v>
      </c>
      <c r="O314">
        <v>3</v>
      </c>
      <c r="P314">
        <v>4</v>
      </c>
      <c r="Q314">
        <v>2</v>
      </c>
      <c r="R314">
        <v>0</v>
      </c>
      <c r="S314" t="s">
        <v>34</v>
      </c>
      <c r="T314" t="s">
        <v>38</v>
      </c>
      <c r="U314" t="str">
        <f>IF(Table1[[#This Row],[YearsSince
LastPromotion]]&gt; 4, "Delayed", "Normal")</f>
        <v>Normal</v>
      </c>
      <c r="V314" t="str">
        <f>IF(Table1[[#This Row],[Years
InCurrentRole]]&gt;4, "Role Stagnent", "Normal")</f>
        <v>Normal</v>
      </c>
      <c r="W314" t="str">
        <f>IF(AND(Table1[[#This Row],[Years
InCurrentRole]]&gt; 4, Table1[[#This Row],[Performance
Rating]]&gt;=3), "High Risk", "Normal")</f>
        <v>Normal</v>
      </c>
      <c r="X314" t="str">
        <f>IF(Table1[[#This Row],[Performance
Rating]]&gt;=4, "High Performer", "Low Performer")</f>
        <v>Low Performer</v>
      </c>
    </row>
    <row r="315" spans="2:24" x14ac:dyDescent="0.3">
      <c r="B315" t="s">
        <v>19</v>
      </c>
      <c r="C315" t="s">
        <v>25</v>
      </c>
      <c r="D315">
        <v>1</v>
      </c>
      <c r="E315" t="s">
        <v>28</v>
      </c>
      <c r="F315">
        <v>3</v>
      </c>
      <c r="G315" t="s">
        <v>31</v>
      </c>
      <c r="H315">
        <v>1</v>
      </c>
      <c r="I315">
        <v>9396</v>
      </c>
      <c r="J315">
        <v>16</v>
      </c>
      <c r="K315">
        <v>3</v>
      </c>
      <c r="L315">
        <v>1</v>
      </c>
      <c r="M315">
        <v>17</v>
      </c>
      <c r="N315">
        <v>3</v>
      </c>
      <c r="O315">
        <v>3</v>
      </c>
      <c r="P315">
        <v>4</v>
      </c>
      <c r="Q315">
        <v>2</v>
      </c>
      <c r="R315">
        <v>0</v>
      </c>
      <c r="S315" t="s">
        <v>34</v>
      </c>
      <c r="T315" t="s">
        <v>38</v>
      </c>
      <c r="U315" t="str">
        <f>IF(Table1[[#This Row],[YearsSince
LastPromotion]]&gt; 4, "Delayed", "Normal")</f>
        <v>Normal</v>
      </c>
      <c r="V315" t="str">
        <f>IF(Table1[[#This Row],[Years
InCurrentRole]]&gt;4, "Role Stagnent", "Normal")</f>
        <v>Normal</v>
      </c>
      <c r="W315" t="str">
        <f>IF(AND(Table1[[#This Row],[Years
InCurrentRole]]&gt; 4, Table1[[#This Row],[Performance
Rating]]&gt;=3), "High Risk", "Normal")</f>
        <v>Normal</v>
      </c>
      <c r="X315" t="str">
        <f>IF(Table1[[#This Row],[Performance
Rating]]&gt;=4, "High Performer", "Low Performer")</f>
        <v>Low Performer</v>
      </c>
    </row>
    <row r="316" spans="2:24" x14ac:dyDescent="0.3">
      <c r="B316" t="s">
        <v>19</v>
      </c>
      <c r="C316" t="s">
        <v>25</v>
      </c>
      <c r="D316">
        <v>1</v>
      </c>
      <c r="E316" t="s">
        <v>21</v>
      </c>
      <c r="F316">
        <v>2</v>
      </c>
      <c r="G316" t="s">
        <v>33</v>
      </c>
      <c r="H316">
        <v>2</v>
      </c>
      <c r="I316">
        <v>5131</v>
      </c>
      <c r="J316">
        <v>13</v>
      </c>
      <c r="K316">
        <v>3</v>
      </c>
      <c r="L316">
        <v>3</v>
      </c>
      <c r="M316">
        <v>18</v>
      </c>
      <c r="N316">
        <v>3</v>
      </c>
      <c r="O316">
        <v>3</v>
      </c>
      <c r="P316">
        <v>4</v>
      </c>
      <c r="Q316">
        <v>2</v>
      </c>
      <c r="R316">
        <v>0</v>
      </c>
      <c r="S316" t="s">
        <v>34</v>
      </c>
      <c r="T316" t="s">
        <v>38</v>
      </c>
      <c r="U316" t="str">
        <f>IF(Table1[[#This Row],[YearsSince
LastPromotion]]&gt; 4, "Delayed", "Normal")</f>
        <v>Normal</v>
      </c>
      <c r="V316" t="str">
        <f>IF(Table1[[#This Row],[Years
InCurrentRole]]&gt;4, "Role Stagnent", "Normal")</f>
        <v>Normal</v>
      </c>
      <c r="W316" t="str">
        <f>IF(AND(Table1[[#This Row],[Years
InCurrentRole]]&gt; 4, Table1[[#This Row],[Performance
Rating]]&gt;=3), "High Risk", "Normal")</f>
        <v>Normal</v>
      </c>
      <c r="X316" t="str">
        <f>IF(Table1[[#This Row],[Performance
Rating]]&gt;=4, "High Performer", "Low Performer")</f>
        <v>Low Performer</v>
      </c>
    </row>
    <row r="317" spans="2:24" x14ac:dyDescent="0.3">
      <c r="B317" t="s">
        <v>27</v>
      </c>
      <c r="C317" t="s">
        <v>25</v>
      </c>
      <c r="D317">
        <v>1</v>
      </c>
      <c r="E317" t="s">
        <v>28</v>
      </c>
      <c r="F317">
        <v>1</v>
      </c>
      <c r="G317" t="s">
        <v>29</v>
      </c>
      <c r="H317">
        <v>3</v>
      </c>
      <c r="I317">
        <v>2028</v>
      </c>
      <c r="J317">
        <v>14</v>
      </c>
      <c r="K317">
        <v>3</v>
      </c>
      <c r="L317">
        <v>0</v>
      </c>
      <c r="M317">
        <v>6</v>
      </c>
      <c r="N317">
        <v>4</v>
      </c>
      <c r="O317">
        <v>3</v>
      </c>
      <c r="P317">
        <v>4</v>
      </c>
      <c r="Q317">
        <v>2</v>
      </c>
      <c r="R317">
        <v>0</v>
      </c>
      <c r="S317" t="s">
        <v>34</v>
      </c>
      <c r="T317" t="s">
        <v>38</v>
      </c>
      <c r="U317" t="str">
        <f>IF(Table1[[#This Row],[YearsSince
LastPromotion]]&gt; 4, "Delayed", "Normal")</f>
        <v>Normal</v>
      </c>
      <c r="V317" t="str">
        <f>IF(Table1[[#This Row],[Years
InCurrentRole]]&gt;4, "Role Stagnent", "Normal")</f>
        <v>Normal</v>
      </c>
      <c r="W317" t="str">
        <f>IF(AND(Table1[[#This Row],[Years
InCurrentRole]]&gt; 4, Table1[[#This Row],[Performance
Rating]]&gt;=3), "High Risk", "Normal")</f>
        <v>Normal</v>
      </c>
      <c r="X317" t="str">
        <f>IF(Table1[[#This Row],[Performance
Rating]]&gt;=4, "High Performer", "Low Performer")</f>
        <v>Low Performer</v>
      </c>
    </row>
    <row r="318" spans="2:24" x14ac:dyDescent="0.3">
      <c r="B318" t="s">
        <v>19</v>
      </c>
      <c r="C318" t="s">
        <v>25</v>
      </c>
      <c r="D318">
        <v>1</v>
      </c>
      <c r="E318" t="s">
        <v>28</v>
      </c>
      <c r="F318">
        <v>1</v>
      </c>
      <c r="G318" t="s">
        <v>29</v>
      </c>
      <c r="H318">
        <v>4</v>
      </c>
      <c r="I318">
        <v>2075</v>
      </c>
      <c r="J318">
        <v>23</v>
      </c>
      <c r="K318">
        <v>4</v>
      </c>
      <c r="L318">
        <v>2</v>
      </c>
      <c r="M318">
        <v>10</v>
      </c>
      <c r="N318">
        <v>4</v>
      </c>
      <c r="O318">
        <v>3</v>
      </c>
      <c r="P318">
        <v>4</v>
      </c>
      <c r="Q318">
        <v>2</v>
      </c>
      <c r="R318">
        <v>0</v>
      </c>
      <c r="S318" t="s">
        <v>34</v>
      </c>
      <c r="T318" t="s">
        <v>38</v>
      </c>
      <c r="U318" t="str">
        <f>IF(Table1[[#This Row],[YearsSince
LastPromotion]]&gt; 4, "Delayed", "Normal")</f>
        <v>Normal</v>
      </c>
      <c r="V318" t="str">
        <f>IF(Table1[[#This Row],[Years
InCurrentRole]]&gt;4, "Role Stagnent", "Normal")</f>
        <v>Normal</v>
      </c>
      <c r="W318" t="str">
        <f>IF(AND(Table1[[#This Row],[Years
InCurrentRole]]&gt; 4, Table1[[#This Row],[Performance
Rating]]&gt;=3), "High Risk", "Normal")</f>
        <v>Normal</v>
      </c>
      <c r="X318" t="str">
        <f>IF(Table1[[#This Row],[Performance
Rating]]&gt;=4, "High Performer", "Low Performer")</f>
        <v>High Performer</v>
      </c>
    </row>
    <row r="319" spans="2:24" x14ac:dyDescent="0.3">
      <c r="B319" t="s">
        <v>19</v>
      </c>
      <c r="C319" t="s">
        <v>25</v>
      </c>
      <c r="D319">
        <v>1</v>
      </c>
      <c r="E319" t="s">
        <v>28</v>
      </c>
      <c r="F319">
        <v>1</v>
      </c>
      <c r="G319" t="s">
        <v>26</v>
      </c>
      <c r="H319">
        <v>4</v>
      </c>
      <c r="I319">
        <v>2713</v>
      </c>
      <c r="J319">
        <v>11</v>
      </c>
      <c r="K319">
        <v>3</v>
      </c>
      <c r="L319">
        <v>1</v>
      </c>
      <c r="M319">
        <v>5</v>
      </c>
      <c r="N319">
        <v>2</v>
      </c>
      <c r="O319">
        <v>1</v>
      </c>
      <c r="P319">
        <v>5</v>
      </c>
      <c r="Q319">
        <v>2</v>
      </c>
      <c r="R319">
        <v>0</v>
      </c>
      <c r="S319" t="s">
        <v>23</v>
      </c>
      <c r="T319" t="s">
        <v>37</v>
      </c>
      <c r="U319" t="str">
        <f>IF(Table1[[#This Row],[YearsSince
LastPromotion]]&gt; 4, "Delayed", "Normal")</f>
        <v>Normal</v>
      </c>
      <c r="V319" t="str">
        <f>IF(Table1[[#This Row],[Years
InCurrentRole]]&gt;4, "Role Stagnent", "Normal")</f>
        <v>Normal</v>
      </c>
      <c r="W319" t="str">
        <f>IF(AND(Table1[[#This Row],[Years
InCurrentRole]]&gt; 4, Table1[[#This Row],[Performance
Rating]]&gt;=3), "High Risk", "Normal")</f>
        <v>Normal</v>
      </c>
      <c r="X319" t="str">
        <f>IF(Table1[[#This Row],[Performance
Rating]]&gt;=4, "High Performer", "Low Performer")</f>
        <v>Low Performer</v>
      </c>
    </row>
    <row r="320" spans="2:24" x14ac:dyDescent="0.3">
      <c r="B320" t="s">
        <v>19</v>
      </c>
      <c r="C320" t="s">
        <v>25</v>
      </c>
      <c r="D320">
        <v>1</v>
      </c>
      <c r="E320" t="s">
        <v>21</v>
      </c>
      <c r="F320">
        <v>4</v>
      </c>
      <c r="G320" t="s">
        <v>33</v>
      </c>
      <c r="H320">
        <v>2</v>
      </c>
      <c r="I320">
        <v>13142</v>
      </c>
      <c r="J320">
        <v>16</v>
      </c>
      <c r="K320">
        <v>3</v>
      </c>
      <c r="L320">
        <v>0</v>
      </c>
      <c r="M320">
        <v>29</v>
      </c>
      <c r="N320">
        <v>1</v>
      </c>
      <c r="O320">
        <v>2</v>
      </c>
      <c r="P320">
        <v>5</v>
      </c>
      <c r="Q320">
        <v>2</v>
      </c>
      <c r="R320">
        <v>0</v>
      </c>
      <c r="S320" t="s">
        <v>23</v>
      </c>
      <c r="T320" t="s">
        <v>37</v>
      </c>
      <c r="U320" t="str">
        <f>IF(Table1[[#This Row],[YearsSince
LastPromotion]]&gt; 4, "Delayed", "Normal")</f>
        <v>Normal</v>
      </c>
      <c r="V320" t="str">
        <f>IF(Table1[[#This Row],[Years
InCurrentRole]]&gt;4, "Role Stagnent", "Normal")</f>
        <v>Normal</v>
      </c>
      <c r="W320" t="str">
        <f>IF(AND(Table1[[#This Row],[Years
InCurrentRole]]&gt; 4, Table1[[#This Row],[Performance
Rating]]&gt;=3), "High Risk", "Normal")</f>
        <v>Normal</v>
      </c>
      <c r="X320" t="str">
        <f>IF(Table1[[#This Row],[Performance
Rating]]&gt;=4, "High Performer", "Low Performer")</f>
        <v>Low Performer</v>
      </c>
    </row>
    <row r="321" spans="2:24" x14ac:dyDescent="0.3">
      <c r="B321" t="s">
        <v>19</v>
      </c>
      <c r="C321" t="s">
        <v>25</v>
      </c>
      <c r="D321">
        <v>1</v>
      </c>
      <c r="E321" t="s">
        <v>28</v>
      </c>
      <c r="F321">
        <v>1</v>
      </c>
      <c r="G321" t="s">
        <v>26</v>
      </c>
      <c r="H321">
        <v>4</v>
      </c>
      <c r="I321">
        <v>2070</v>
      </c>
      <c r="J321">
        <v>23</v>
      </c>
      <c r="K321">
        <v>4</v>
      </c>
      <c r="L321">
        <v>1</v>
      </c>
      <c r="M321">
        <v>5</v>
      </c>
      <c r="N321">
        <v>3</v>
      </c>
      <c r="O321">
        <v>2</v>
      </c>
      <c r="P321">
        <v>5</v>
      </c>
      <c r="Q321">
        <v>2</v>
      </c>
      <c r="R321">
        <v>0</v>
      </c>
      <c r="S321" t="s">
        <v>23</v>
      </c>
      <c r="T321" t="s">
        <v>37</v>
      </c>
      <c r="U321" t="str">
        <f>IF(Table1[[#This Row],[YearsSince
LastPromotion]]&gt; 4, "Delayed", "Normal")</f>
        <v>Normal</v>
      </c>
      <c r="V321" t="str">
        <f>IF(Table1[[#This Row],[Years
InCurrentRole]]&gt;4, "Role Stagnent", "Normal")</f>
        <v>Normal</v>
      </c>
      <c r="W321" t="str">
        <f>IF(AND(Table1[[#This Row],[Years
InCurrentRole]]&gt; 4, Table1[[#This Row],[Performance
Rating]]&gt;=3), "High Risk", "Normal")</f>
        <v>Normal</v>
      </c>
      <c r="X321" t="str">
        <f>IF(Table1[[#This Row],[Performance
Rating]]&gt;=4, "High Performer", "Low Performer")</f>
        <v>High Performer</v>
      </c>
    </row>
    <row r="322" spans="2:24" x14ac:dyDescent="0.3">
      <c r="B322" t="s">
        <v>19</v>
      </c>
      <c r="C322" t="s">
        <v>20</v>
      </c>
      <c r="D322">
        <v>1</v>
      </c>
      <c r="E322" t="s">
        <v>28</v>
      </c>
      <c r="F322">
        <v>2</v>
      </c>
      <c r="G322" t="s">
        <v>32</v>
      </c>
      <c r="H322">
        <v>4</v>
      </c>
      <c r="I322">
        <v>4403</v>
      </c>
      <c r="J322">
        <v>11</v>
      </c>
      <c r="K322">
        <v>3</v>
      </c>
      <c r="L322">
        <v>1</v>
      </c>
      <c r="M322">
        <v>8</v>
      </c>
      <c r="N322">
        <v>3</v>
      </c>
      <c r="O322">
        <v>2</v>
      </c>
      <c r="P322">
        <v>5</v>
      </c>
      <c r="Q322">
        <v>2</v>
      </c>
      <c r="R322">
        <v>0</v>
      </c>
      <c r="S322" t="s">
        <v>23</v>
      </c>
      <c r="T322" t="s">
        <v>37</v>
      </c>
      <c r="U322" t="str">
        <f>IF(Table1[[#This Row],[YearsSince
LastPromotion]]&gt; 4, "Delayed", "Normal")</f>
        <v>Normal</v>
      </c>
      <c r="V322" t="str">
        <f>IF(Table1[[#This Row],[Years
InCurrentRole]]&gt;4, "Role Stagnent", "Normal")</f>
        <v>Normal</v>
      </c>
      <c r="W322" t="str">
        <f>IF(AND(Table1[[#This Row],[Years
InCurrentRole]]&gt; 4, Table1[[#This Row],[Performance
Rating]]&gt;=3), "High Risk", "Normal")</f>
        <v>Normal</v>
      </c>
      <c r="X322" t="str">
        <f>IF(Table1[[#This Row],[Performance
Rating]]&gt;=4, "High Performer", "Low Performer")</f>
        <v>Low Performer</v>
      </c>
    </row>
    <row r="323" spans="2:24" x14ac:dyDescent="0.3">
      <c r="B323" t="s">
        <v>27</v>
      </c>
      <c r="C323" t="s">
        <v>20</v>
      </c>
      <c r="D323">
        <v>1</v>
      </c>
      <c r="E323" t="s">
        <v>28</v>
      </c>
      <c r="F323">
        <v>2</v>
      </c>
      <c r="G323" t="s">
        <v>32</v>
      </c>
      <c r="H323">
        <v>4</v>
      </c>
      <c r="I323">
        <v>5304</v>
      </c>
      <c r="J323">
        <v>13</v>
      </c>
      <c r="K323">
        <v>3</v>
      </c>
      <c r="L323">
        <v>0</v>
      </c>
      <c r="M323">
        <v>9</v>
      </c>
      <c r="N323">
        <v>3</v>
      </c>
      <c r="O323">
        <v>2</v>
      </c>
      <c r="P323">
        <v>5</v>
      </c>
      <c r="Q323">
        <v>2</v>
      </c>
      <c r="R323">
        <v>0</v>
      </c>
      <c r="S323" t="s">
        <v>23</v>
      </c>
      <c r="T323" t="s">
        <v>37</v>
      </c>
      <c r="U323" t="str">
        <f>IF(Table1[[#This Row],[YearsSince
LastPromotion]]&gt; 4, "Delayed", "Normal")</f>
        <v>Normal</v>
      </c>
      <c r="V323" t="str">
        <f>IF(Table1[[#This Row],[Years
InCurrentRole]]&gt;4, "Role Stagnent", "Normal")</f>
        <v>Normal</v>
      </c>
      <c r="W323" t="str">
        <f>IF(AND(Table1[[#This Row],[Years
InCurrentRole]]&gt; 4, Table1[[#This Row],[Performance
Rating]]&gt;=3), "High Risk", "Normal")</f>
        <v>Normal</v>
      </c>
      <c r="X323" t="str">
        <f>IF(Table1[[#This Row],[Performance
Rating]]&gt;=4, "High Performer", "Low Performer")</f>
        <v>Low Performer</v>
      </c>
    </row>
    <row r="324" spans="2:24" x14ac:dyDescent="0.3">
      <c r="B324" t="s">
        <v>19</v>
      </c>
      <c r="C324" t="s">
        <v>25</v>
      </c>
      <c r="D324">
        <v>1</v>
      </c>
      <c r="E324" t="s">
        <v>28</v>
      </c>
      <c r="F324">
        <v>1</v>
      </c>
      <c r="G324" t="s">
        <v>29</v>
      </c>
      <c r="H324">
        <v>2</v>
      </c>
      <c r="I324">
        <v>3816</v>
      </c>
      <c r="J324">
        <v>11</v>
      </c>
      <c r="K324">
        <v>3</v>
      </c>
      <c r="L324">
        <v>1</v>
      </c>
      <c r="M324">
        <v>5</v>
      </c>
      <c r="N324">
        <v>2</v>
      </c>
      <c r="O324">
        <v>3</v>
      </c>
      <c r="P324">
        <v>5</v>
      </c>
      <c r="Q324">
        <v>2</v>
      </c>
      <c r="R324">
        <v>0</v>
      </c>
      <c r="S324" t="s">
        <v>34</v>
      </c>
      <c r="T324" t="s">
        <v>37</v>
      </c>
      <c r="U324" t="str">
        <f>IF(Table1[[#This Row],[YearsSince
LastPromotion]]&gt; 4, "Delayed", "Normal")</f>
        <v>Normal</v>
      </c>
      <c r="V324" t="str">
        <f>IF(Table1[[#This Row],[Years
InCurrentRole]]&gt;4, "Role Stagnent", "Normal")</f>
        <v>Normal</v>
      </c>
      <c r="W324" t="str">
        <f>IF(AND(Table1[[#This Row],[Years
InCurrentRole]]&gt; 4, Table1[[#This Row],[Performance
Rating]]&gt;=3), "High Risk", "Normal")</f>
        <v>Normal</v>
      </c>
      <c r="X324" t="str">
        <f>IF(Table1[[#This Row],[Performance
Rating]]&gt;=4, "High Performer", "Low Performer")</f>
        <v>Low Performer</v>
      </c>
    </row>
    <row r="325" spans="2:24" x14ac:dyDescent="0.3">
      <c r="B325" t="s">
        <v>19</v>
      </c>
      <c r="C325" t="s">
        <v>20</v>
      </c>
      <c r="D325">
        <v>1</v>
      </c>
      <c r="E325" t="s">
        <v>28</v>
      </c>
      <c r="F325">
        <v>2</v>
      </c>
      <c r="G325" t="s">
        <v>32</v>
      </c>
      <c r="H325">
        <v>2</v>
      </c>
      <c r="I325">
        <v>4189</v>
      </c>
      <c r="J325">
        <v>14</v>
      </c>
      <c r="K325">
        <v>3</v>
      </c>
      <c r="L325">
        <v>2</v>
      </c>
      <c r="M325">
        <v>5</v>
      </c>
      <c r="N325">
        <v>2</v>
      </c>
      <c r="O325">
        <v>3</v>
      </c>
      <c r="P325">
        <v>5</v>
      </c>
      <c r="Q325">
        <v>2</v>
      </c>
      <c r="R325">
        <v>0</v>
      </c>
      <c r="S325" t="s">
        <v>34</v>
      </c>
      <c r="T325" t="s">
        <v>37</v>
      </c>
      <c r="U325" t="str">
        <f>IF(Table1[[#This Row],[YearsSince
LastPromotion]]&gt; 4, "Delayed", "Normal")</f>
        <v>Normal</v>
      </c>
      <c r="V325" t="str">
        <f>IF(Table1[[#This Row],[Years
InCurrentRole]]&gt;4, "Role Stagnent", "Normal")</f>
        <v>Normal</v>
      </c>
      <c r="W325" t="str">
        <f>IF(AND(Table1[[#This Row],[Years
InCurrentRole]]&gt; 4, Table1[[#This Row],[Performance
Rating]]&gt;=3), "High Risk", "Normal")</f>
        <v>Normal</v>
      </c>
      <c r="X325" t="str">
        <f>IF(Table1[[#This Row],[Performance
Rating]]&gt;=4, "High Performer", "Low Performer")</f>
        <v>Low Performer</v>
      </c>
    </row>
    <row r="326" spans="2:24" x14ac:dyDescent="0.3">
      <c r="B326" t="s">
        <v>27</v>
      </c>
      <c r="C326" t="s">
        <v>25</v>
      </c>
      <c r="D326">
        <v>1</v>
      </c>
      <c r="E326" t="s">
        <v>28</v>
      </c>
      <c r="F326">
        <v>1</v>
      </c>
      <c r="G326" t="s">
        <v>26</v>
      </c>
      <c r="H326">
        <v>1</v>
      </c>
      <c r="I326">
        <v>3904</v>
      </c>
      <c r="J326">
        <v>13</v>
      </c>
      <c r="K326">
        <v>3</v>
      </c>
      <c r="L326">
        <v>0</v>
      </c>
      <c r="M326">
        <v>6</v>
      </c>
      <c r="N326">
        <v>2</v>
      </c>
      <c r="O326">
        <v>3</v>
      </c>
      <c r="P326">
        <v>5</v>
      </c>
      <c r="Q326">
        <v>2</v>
      </c>
      <c r="R326">
        <v>0</v>
      </c>
      <c r="S326" t="s">
        <v>34</v>
      </c>
      <c r="T326" t="s">
        <v>37</v>
      </c>
      <c r="U326" t="str">
        <f>IF(Table1[[#This Row],[YearsSince
LastPromotion]]&gt; 4, "Delayed", "Normal")</f>
        <v>Normal</v>
      </c>
      <c r="V326" t="str">
        <f>IF(Table1[[#This Row],[Years
InCurrentRole]]&gt;4, "Role Stagnent", "Normal")</f>
        <v>Normal</v>
      </c>
      <c r="W326" t="str">
        <f>IF(AND(Table1[[#This Row],[Years
InCurrentRole]]&gt; 4, Table1[[#This Row],[Performance
Rating]]&gt;=3), "High Risk", "Normal")</f>
        <v>Normal</v>
      </c>
      <c r="X326" t="str">
        <f>IF(Table1[[#This Row],[Performance
Rating]]&gt;=4, "High Performer", "Low Performer")</f>
        <v>Low Performer</v>
      </c>
    </row>
    <row r="327" spans="2:24" x14ac:dyDescent="0.3">
      <c r="B327" t="s">
        <v>27</v>
      </c>
      <c r="C327" t="s">
        <v>25</v>
      </c>
      <c r="D327">
        <v>1</v>
      </c>
      <c r="E327" t="s">
        <v>21</v>
      </c>
      <c r="F327">
        <v>1</v>
      </c>
      <c r="G327" t="s">
        <v>26</v>
      </c>
      <c r="H327">
        <v>3</v>
      </c>
      <c r="I327">
        <v>2132</v>
      </c>
      <c r="J327">
        <v>11</v>
      </c>
      <c r="K327">
        <v>3</v>
      </c>
      <c r="L327">
        <v>0</v>
      </c>
      <c r="M327">
        <v>7</v>
      </c>
      <c r="N327">
        <v>2</v>
      </c>
      <c r="O327">
        <v>3</v>
      </c>
      <c r="P327">
        <v>5</v>
      </c>
      <c r="Q327">
        <v>2</v>
      </c>
      <c r="R327">
        <v>0</v>
      </c>
      <c r="S327" t="s">
        <v>34</v>
      </c>
      <c r="T327" t="s">
        <v>37</v>
      </c>
      <c r="U327" t="str">
        <f>IF(Table1[[#This Row],[YearsSince
LastPromotion]]&gt; 4, "Delayed", "Normal")</f>
        <v>Normal</v>
      </c>
      <c r="V327" t="str">
        <f>IF(Table1[[#This Row],[Years
InCurrentRole]]&gt;4, "Role Stagnent", "Normal")</f>
        <v>Normal</v>
      </c>
      <c r="W327" t="str">
        <f>IF(AND(Table1[[#This Row],[Years
InCurrentRole]]&gt; 4, Table1[[#This Row],[Performance
Rating]]&gt;=3), "High Risk", "Normal")</f>
        <v>Normal</v>
      </c>
      <c r="X327" t="str">
        <f>IF(Table1[[#This Row],[Performance
Rating]]&gt;=4, "High Performer", "Low Performer")</f>
        <v>Low Performer</v>
      </c>
    </row>
    <row r="328" spans="2:24" x14ac:dyDescent="0.3">
      <c r="B328" t="s">
        <v>19</v>
      </c>
      <c r="C328" t="s">
        <v>36</v>
      </c>
      <c r="D328">
        <v>1</v>
      </c>
      <c r="E328" t="s">
        <v>28</v>
      </c>
      <c r="F328">
        <v>1</v>
      </c>
      <c r="G328" t="s">
        <v>36</v>
      </c>
      <c r="H328">
        <v>2</v>
      </c>
      <c r="I328">
        <v>2143</v>
      </c>
      <c r="J328">
        <v>13</v>
      </c>
      <c r="K328">
        <v>3</v>
      </c>
      <c r="L328">
        <v>1</v>
      </c>
      <c r="M328">
        <v>8</v>
      </c>
      <c r="N328">
        <v>2</v>
      </c>
      <c r="O328">
        <v>3</v>
      </c>
      <c r="P328">
        <v>5</v>
      </c>
      <c r="Q328">
        <v>2</v>
      </c>
      <c r="R328">
        <v>0</v>
      </c>
      <c r="S328" t="s">
        <v>34</v>
      </c>
      <c r="T328" t="s">
        <v>37</v>
      </c>
      <c r="U328" t="str">
        <f>IF(Table1[[#This Row],[YearsSince
LastPromotion]]&gt; 4, "Delayed", "Normal")</f>
        <v>Normal</v>
      </c>
      <c r="V328" t="str">
        <f>IF(Table1[[#This Row],[Years
InCurrentRole]]&gt;4, "Role Stagnent", "Normal")</f>
        <v>Normal</v>
      </c>
      <c r="W328" t="str">
        <f>IF(AND(Table1[[#This Row],[Years
InCurrentRole]]&gt; 4, Table1[[#This Row],[Performance
Rating]]&gt;=3), "High Risk", "Normal")</f>
        <v>Normal</v>
      </c>
      <c r="X328" t="str">
        <f>IF(Table1[[#This Row],[Performance
Rating]]&gt;=4, "High Performer", "Low Performer")</f>
        <v>Low Performer</v>
      </c>
    </row>
    <row r="329" spans="2:24" x14ac:dyDescent="0.3">
      <c r="B329" t="s">
        <v>19</v>
      </c>
      <c r="C329" t="s">
        <v>25</v>
      </c>
      <c r="D329">
        <v>1</v>
      </c>
      <c r="E329" t="s">
        <v>21</v>
      </c>
      <c r="F329">
        <v>3</v>
      </c>
      <c r="G329" t="s">
        <v>35</v>
      </c>
      <c r="H329">
        <v>4</v>
      </c>
      <c r="I329">
        <v>13603</v>
      </c>
      <c r="J329">
        <v>18</v>
      </c>
      <c r="K329">
        <v>3</v>
      </c>
      <c r="L329">
        <v>2</v>
      </c>
      <c r="M329">
        <v>15</v>
      </c>
      <c r="N329">
        <v>2</v>
      </c>
      <c r="O329">
        <v>3</v>
      </c>
      <c r="P329">
        <v>5</v>
      </c>
      <c r="Q329">
        <v>2</v>
      </c>
      <c r="R329">
        <v>0</v>
      </c>
      <c r="S329" t="s">
        <v>34</v>
      </c>
      <c r="T329" t="s">
        <v>37</v>
      </c>
      <c r="U329" t="str">
        <f>IF(Table1[[#This Row],[YearsSince
LastPromotion]]&gt; 4, "Delayed", "Normal")</f>
        <v>Normal</v>
      </c>
      <c r="V329" t="str">
        <f>IF(Table1[[#This Row],[Years
InCurrentRole]]&gt;4, "Role Stagnent", "Normal")</f>
        <v>Normal</v>
      </c>
      <c r="W329" t="str">
        <f>IF(AND(Table1[[#This Row],[Years
InCurrentRole]]&gt; 4, Table1[[#This Row],[Performance
Rating]]&gt;=3), "High Risk", "Normal")</f>
        <v>Normal</v>
      </c>
      <c r="X329" t="str">
        <f>IF(Table1[[#This Row],[Performance
Rating]]&gt;=4, "High Performer", "Low Performer")</f>
        <v>Low Performer</v>
      </c>
    </row>
    <row r="330" spans="2:24" x14ac:dyDescent="0.3">
      <c r="B330" t="s">
        <v>19</v>
      </c>
      <c r="C330" t="s">
        <v>25</v>
      </c>
      <c r="D330">
        <v>1</v>
      </c>
      <c r="E330" t="s">
        <v>28</v>
      </c>
      <c r="F330">
        <v>3</v>
      </c>
      <c r="G330" t="s">
        <v>31</v>
      </c>
      <c r="H330">
        <v>3</v>
      </c>
      <c r="I330">
        <v>10965</v>
      </c>
      <c r="J330">
        <v>24</v>
      </c>
      <c r="K330">
        <v>4</v>
      </c>
      <c r="L330">
        <v>0</v>
      </c>
      <c r="M330">
        <v>26</v>
      </c>
      <c r="N330">
        <v>2</v>
      </c>
      <c r="O330">
        <v>3</v>
      </c>
      <c r="P330">
        <v>5</v>
      </c>
      <c r="Q330">
        <v>2</v>
      </c>
      <c r="R330">
        <v>0</v>
      </c>
      <c r="S330" t="s">
        <v>34</v>
      </c>
      <c r="T330" t="s">
        <v>37</v>
      </c>
      <c r="U330" t="str">
        <f>IF(Table1[[#This Row],[YearsSince
LastPromotion]]&gt; 4, "Delayed", "Normal")</f>
        <v>Normal</v>
      </c>
      <c r="V330" t="str">
        <f>IF(Table1[[#This Row],[Years
InCurrentRole]]&gt;4, "Role Stagnent", "Normal")</f>
        <v>Normal</v>
      </c>
      <c r="W330" t="str">
        <f>IF(AND(Table1[[#This Row],[Years
InCurrentRole]]&gt; 4, Table1[[#This Row],[Performance
Rating]]&gt;=3), "High Risk", "Normal")</f>
        <v>Normal</v>
      </c>
      <c r="X330" t="str">
        <f>IF(Table1[[#This Row],[Performance
Rating]]&gt;=4, "High Performer", "Low Performer")</f>
        <v>High Performer</v>
      </c>
    </row>
    <row r="331" spans="2:24" x14ac:dyDescent="0.3">
      <c r="B331" t="s">
        <v>19</v>
      </c>
      <c r="C331" t="s">
        <v>20</v>
      </c>
      <c r="D331">
        <v>1</v>
      </c>
      <c r="E331" t="s">
        <v>28</v>
      </c>
      <c r="F331">
        <v>2</v>
      </c>
      <c r="G331" t="s">
        <v>32</v>
      </c>
      <c r="H331">
        <v>4</v>
      </c>
      <c r="I331">
        <v>4968</v>
      </c>
      <c r="J331">
        <v>11</v>
      </c>
      <c r="K331">
        <v>3</v>
      </c>
      <c r="L331">
        <v>1</v>
      </c>
      <c r="M331">
        <v>5</v>
      </c>
      <c r="N331">
        <v>3</v>
      </c>
      <c r="O331">
        <v>3</v>
      </c>
      <c r="P331">
        <v>5</v>
      </c>
      <c r="Q331">
        <v>2</v>
      </c>
      <c r="R331">
        <v>0</v>
      </c>
      <c r="S331" t="s">
        <v>34</v>
      </c>
      <c r="T331" t="s">
        <v>37</v>
      </c>
      <c r="U331" t="str">
        <f>IF(Table1[[#This Row],[YearsSince
LastPromotion]]&gt; 4, "Delayed", "Normal")</f>
        <v>Normal</v>
      </c>
      <c r="V331" t="str">
        <f>IF(Table1[[#This Row],[Years
InCurrentRole]]&gt;4, "Role Stagnent", "Normal")</f>
        <v>Normal</v>
      </c>
      <c r="W331" t="str">
        <f>IF(AND(Table1[[#This Row],[Years
InCurrentRole]]&gt; 4, Table1[[#This Row],[Performance
Rating]]&gt;=3), "High Risk", "Normal")</f>
        <v>Normal</v>
      </c>
      <c r="X331" t="str">
        <f>IF(Table1[[#This Row],[Performance
Rating]]&gt;=4, "High Performer", "Low Performer")</f>
        <v>Low Performer</v>
      </c>
    </row>
    <row r="332" spans="2:24" x14ac:dyDescent="0.3">
      <c r="B332" t="s">
        <v>27</v>
      </c>
      <c r="C332" t="s">
        <v>20</v>
      </c>
      <c r="D332">
        <v>1</v>
      </c>
      <c r="E332" t="s">
        <v>21</v>
      </c>
      <c r="F332">
        <v>2</v>
      </c>
      <c r="G332" t="s">
        <v>32</v>
      </c>
      <c r="H332">
        <v>1</v>
      </c>
      <c r="I332">
        <v>8224</v>
      </c>
      <c r="J332">
        <v>17</v>
      </c>
      <c r="K332">
        <v>3</v>
      </c>
      <c r="L332">
        <v>0</v>
      </c>
      <c r="M332">
        <v>6</v>
      </c>
      <c r="N332">
        <v>3</v>
      </c>
      <c r="O332">
        <v>3</v>
      </c>
      <c r="P332">
        <v>5</v>
      </c>
      <c r="Q332">
        <v>2</v>
      </c>
      <c r="R332">
        <v>0</v>
      </c>
      <c r="S332" t="s">
        <v>34</v>
      </c>
      <c r="T332" t="s">
        <v>37</v>
      </c>
      <c r="U332" t="str">
        <f>IF(Table1[[#This Row],[YearsSince
LastPromotion]]&gt; 4, "Delayed", "Normal")</f>
        <v>Normal</v>
      </c>
      <c r="V332" t="str">
        <f>IF(Table1[[#This Row],[Years
InCurrentRole]]&gt;4, "Role Stagnent", "Normal")</f>
        <v>Normal</v>
      </c>
      <c r="W332" t="str">
        <f>IF(AND(Table1[[#This Row],[Years
InCurrentRole]]&gt; 4, Table1[[#This Row],[Performance
Rating]]&gt;=3), "High Risk", "Normal")</f>
        <v>Normal</v>
      </c>
      <c r="X332" t="str">
        <f>IF(Table1[[#This Row],[Performance
Rating]]&gt;=4, "High Performer", "Low Performer")</f>
        <v>Low Performer</v>
      </c>
    </row>
    <row r="333" spans="2:24" x14ac:dyDescent="0.3">
      <c r="B333" t="s">
        <v>19</v>
      </c>
      <c r="C333" t="s">
        <v>20</v>
      </c>
      <c r="D333">
        <v>1</v>
      </c>
      <c r="E333" t="s">
        <v>28</v>
      </c>
      <c r="F333">
        <v>2</v>
      </c>
      <c r="G333" t="s">
        <v>32</v>
      </c>
      <c r="H333">
        <v>3</v>
      </c>
      <c r="I333">
        <v>8346</v>
      </c>
      <c r="J333">
        <v>19</v>
      </c>
      <c r="K333">
        <v>3</v>
      </c>
      <c r="L333">
        <v>1</v>
      </c>
      <c r="M333">
        <v>6</v>
      </c>
      <c r="N333">
        <v>3</v>
      </c>
      <c r="O333">
        <v>3</v>
      </c>
      <c r="P333">
        <v>5</v>
      </c>
      <c r="Q333">
        <v>2</v>
      </c>
      <c r="R333">
        <v>0</v>
      </c>
      <c r="S333" t="s">
        <v>34</v>
      </c>
      <c r="T333" t="s">
        <v>37</v>
      </c>
      <c r="U333" t="str">
        <f>IF(Table1[[#This Row],[YearsSince
LastPromotion]]&gt; 4, "Delayed", "Normal")</f>
        <v>Normal</v>
      </c>
      <c r="V333" t="str">
        <f>IF(Table1[[#This Row],[Years
InCurrentRole]]&gt;4, "Role Stagnent", "Normal")</f>
        <v>Normal</v>
      </c>
      <c r="W333" t="str">
        <f>IF(AND(Table1[[#This Row],[Years
InCurrentRole]]&gt; 4, Table1[[#This Row],[Performance
Rating]]&gt;=3), "High Risk", "Normal")</f>
        <v>Normal</v>
      </c>
      <c r="X333" t="str">
        <f>IF(Table1[[#This Row],[Performance
Rating]]&gt;=4, "High Performer", "Low Performer")</f>
        <v>Low Performer</v>
      </c>
    </row>
    <row r="334" spans="2:24" x14ac:dyDescent="0.3">
      <c r="B334" t="s">
        <v>19</v>
      </c>
      <c r="C334" t="s">
        <v>25</v>
      </c>
      <c r="D334">
        <v>1</v>
      </c>
      <c r="E334" t="s">
        <v>21</v>
      </c>
      <c r="F334">
        <v>2</v>
      </c>
      <c r="G334" t="s">
        <v>31</v>
      </c>
      <c r="H334">
        <v>3</v>
      </c>
      <c r="I334">
        <v>4522</v>
      </c>
      <c r="J334">
        <v>14</v>
      </c>
      <c r="K334">
        <v>3</v>
      </c>
      <c r="L334">
        <v>0</v>
      </c>
      <c r="M334">
        <v>8</v>
      </c>
      <c r="N334">
        <v>3</v>
      </c>
      <c r="O334">
        <v>3</v>
      </c>
      <c r="P334">
        <v>5</v>
      </c>
      <c r="Q334">
        <v>2</v>
      </c>
      <c r="R334">
        <v>0</v>
      </c>
      <c r="S334" t="s">
        <v>34</v>
      </c>
      <c r="T334" t="s">
        <v>37</v>
      </c>
      <c r="U334" t="str">
        <f>IF(Table1[[#This Row],[YearsSince
LastPromotion]]&gt; 4, "Delayed", "Normal")</f>
        <v>Normal</v>
      </c>
      <c r="V334" t="str">
        <f>IF(Table1[[#This Row],[Years
InCurrentRole]]&gt;4, "Role Stagnent", "Normal")</f>
        <v>Normal</v>
      </c>
      <c r="W334" t="str">
        <f>IF(AND(Table1[[#This Row],[Years
InCurrentRole]]&gt; 4, Table1[[#This Row],[Performance
Rating]]&gt;=3), "High Risk", "Normal")</f>
        <v>Normal</v>
      </c>
      <c r="X334" t="str">
        <f>IF(Table1[[#This Row],[Performance
Rating]]&gt;=4, "High Performer", "Low Performer")</f>
        <v>Low Performer</v>
      </c>
    </row>
    <row r="335" spans="2:24" x14ac:dyDescent="0.3">
      <c r="B335" t="s">
        <v>19</v>
      </c>
      <c r="C335" t="s">
        <v>20</v>
      </c>
      <c r="D335">
        <v>1</v>
      </c>
      <c r="E335" t="s">
        <v>28</v>
      </c>
      <c r="F335">
        <v>2</v>
      </c>
      <c r="G335" t="s">
        <v>32</v>
      </c>
      <c r="H335">
        <v>1</v>
      </c>
      <c r="I335">
        <v>5332</v>
      </c>
      <c r="J335">
        <v>13</v>
      </c>
      <c r="K335">
        <v>3</v>
      </c>
      <c r="L335">
        <v>0</v>
      </c>
      <c r="M335">
        <v>10</v>
      </c>
      <c r="N335">
        <v>3</v>
      </c>
      <c r="O335">
        <v>3</v>
      </c>
      <c r="P335">
        <v>5</v>
      </c>
      <c r="Q335">
        <v>2</v>
      </c>
      <c r="R335">
        <v>0</v>
      </c>
      <c r="S335" t="s">
        <v>34</v>
      </c>
      <c r="T335" t="s">
        <v>37</v>
      </c>
      <c r="U335" t="str">
        <f>IF(Table1[[#This Row],[YearsSince
LastPromotion]]&gt; 4, "Delayed", "Normal")</f>
        <v>Normal</v>
      </c>
      <c r="V335" t="str">
        <f>IF(Table1[[#This Row],[Years
InCurrentRole]]&gt;4, "Role Stagnent", "Normal")</f>
        <v>Normal</v>
      </c>
      <c r="W335" t="str">
        <f>IF(AND(Table1[[#This Row],[Years
InCurrentRole]]&gt; 4, Table1[[#This Row],[Performance
Rating]]&gt;=3), "High Risk", "Normal")</f>
        <v>Normal</v>
      </c>
      <c r="X335" t="str">
        <f>IF(Table1[[#This Row],[Performance
Rating]]&gt;=4, "High Performer", "Low Performer")</f>
        <v>Low Performer</v>
      </c>
    </row>
    <row r="336" spans="2:24" x14ac:dyDescent="0.3">
      <c r="B336" t="s">
        <v>19</v>
      </c>
      <c r="C336" t="s">
        <v>25</v>
      </c>
      <c r="D336">
        <v>1</v>
      </c>
      <c r="E336" t="s">
        <v>28</v>
      </c>
      <c r="F336">
        <v>2</v>
      </c>
      <c r="G336" t="s">
        <v>29</v>
      </c>
      <c r="H336">
        <v>4</v>
      </c>
      <c r="I336">
        <v>2571</v>
      </c>
      <c r="J336">
        <v>17</v>
      </c>
      <c r="K336">
        <v>3</v>
      </c>
      <c r="L336">
        <v>1</v>
      </c>
      <c r="M336">
        <v>17</v>
      </c>
      <c r="N336">
        <v>3</v>
      </c>
      <c r="O336">
        <v>3</v>
      </c>
      <c r="P336">
        <v>5</v>
      </c>
      <c r="Q336">
        <v>2</v>
      </c>
      <c r="R336">
        <v>0</v>
      </c>
      <c r="S336" t="s">
        <v>34</v>
      </c>
      <c r="T336" t="s">
        <v>37</v>
      </c>
      <c r="U336" t="str">
        <f>IF(Table1[[#This Row],[YearsSince
LastPromotion]]&gt; 4, "Delayed", "Normal")</f>
        <v>Normal</v>
      </c>
      <c r="V336" t="str">
        <f>IF(Table1[[#This Row],[Years
InCurrentRole]]&gt;4, "Role Stagnent", "Normal")</f>
        <v>Normal</v>
      </c>
      <c r="W336" t="str">
        <f>IF(AND(Table1[[#This Row],[Years
InCurrentRole]]&gt; 4, Table1[[#This Row],[Performance
Rating]]&gt;=3), "High Risk", "Normal")</f>
        <v>Normal</v>
      </c>
      <c r="X336" t="str">
        <f>IF(Table1[[#This Row],[Performance
Rating]]&gt;=4, "High Performer", "Low Performer")</f>
        <v>Low Performer</v>
      </c>
    </row>
    <row r="337" spans="2:24" x14ac:dyDescent="0.3">
      <c r="B337" t="s">
        <v>19</v>
      </c>
      <c r="C337" t="s">
        <v>20</v>
      </c>
      <c r="D337">
        <v>1</v>
      </c>
      <c r="E337" t="s">
        <v>21</v>
      </c>
      <c r="F337">
        <v>3</v>
      </c>
      <c r="G337" t="s">
        <v>32</v>
      </c>
      <c r="H337">
        <v>4</v>
      </c>
      <c r="I337">
        <v>10934</v>
      </c>
      <c r="J337">
        <v>18</v>
      </c>
      <c r="K337">
        <v>3</v>
      </c>
      <c r="L337">
        <v>1</v>
      </c>
      <c r="M337">
        <v>35</v>
      </c>
      <c r="N337">
        <v>3</v>
      </c>
      <c r="O337">
        <v>3</v>
      </c>
      <c r="P337">
        <v>5</v>
      </c>
      <c r="Q337">
        <v>2</v>
      </c>
      <c r="R337">
        <v>0</v>
      </c>
      <c r="S337" t="s">
        <v>34</v>
      </c>
      <c r="T337" t="s">
        <v>37</v>
      </c>
      <c r="U337" t="str">
        <f>IF(Table1[[#This Row],[YearsSince
LastPromotion]]&gt; 4, "Delayed", "Normal")</f>
        <v>Normal</v>
      </c>
      <c r="V337" t="str">
        <f>IF(Table1[[#This Row],[Years
InCurrentRole]]&gt;4, "Role Stagnent", "Normal")</f>
        <v>Normal</v>
      </c>
      <c r="W337" t="str">
        <f>IF(AND(Table1[[#This Row],[Years
InCurrentRole]]&gt; 4, Table1[[#This Row],[Performance
Rating]]&gt;=3), "High Risk", "Normal")</f>
        <v>Normal</v>
      </c>
      <c r="X337" t="str">
        <f>IF(Table1[[#This Row],[Performance
Rating]]&gt;=4, "High Performer", "Low Performer")</f>
        <v>Low Performer</v>
      </c>
    </row>
    <row r="338" spans="2:24" x14ac:dyDescent="0.3">
      <c r="B338" t="s">
        <v>19</v>
      </c>
      <c r="C338" t="s">
        <v>25</v>
      </c>
      <c r="D338">
        <v>1</v>
      </c>
      <c r="E338" t="s">
        <v>28</v>
      </c>
      <c r="F338">
        <v>1</v>
      </c>
      <c r="G338" t="s">
        <v>26</v>
      </c>
      <c r="H338">
        <v>4</v>
      </c>
      <c r="I338">
        <v>4821</v>
      </c>
      <c r="J338">
        <v>12</v>
      </c>
      <c r="K338">
        <v>3</v>
      </c>
      <c r="L338">
        <v>1</v>
      </c>
      <c r="M338">
        <v>6</v>
      </c>
      <c r="N338">
        <v>4</v>
      </c>
      <c r="O338">
        <v>3</v>
      </c>
      <c r="P338">
        <v>5</v>
      </c>
      <c r="Q338">
        <v>2</v>
      </c>
      <c r="R338">
        <v>0</v>
      </c>
      <c r="S338" t="s">
        <v>34</v>
      </c>
      <c r="T338" t="s">
        <v>37</v>
      </c>
      <c r="U338" t="str">
        <f>IF(Table1[[#This Row],[YearsSince
LastPromotion]]&gt; 4, "Delayed", "Normal")</f>
        <v>Normal</v>
      </c>
      <c r="V338" t="str">
        <f>IF(Table1[[#This Row],[Years
InCurrentRole]]&gt;4, "Role Stagnent", "Normal")</f>
        <v>Normal</v>
      </c>
      <c r="W338" t="str">
        <f>IF(AND(Table1[[#This Row],[Years
InCurrentRole]]&gt; 4, Table1[[#This Row],[Performance
Rating]]&gt;=3), "High Risk", "Normal")</f>
        <v>Normal</v>
      </c>
      <c r="X338" t="str">
        <f>IF(Table1[[#This Row],[Performance
Rating]]&gt;=4, "High Performer", "Low Performer")</f>
        <v>Low Performer</v>
      </c>
    </row>
    <row r="339" spans="2:24" x14ac:dyDescent="0.3">
      <c r="B339" t="s">
        <v>19</v>
      </c>
      <c r="C339" t="s">
        <v>25</v>
      </c>
      <c r="D339">
        <v>1</v>
      </c>
      <c r="E339" t="s">
        <v>21</v>
      </c>
      <c r="F339">
        <v>2</v>
      </c>
      <c r="G339" t="s">
        <v>31</v>
      </c>
      <c r="H339">
        <v>3</v>
      </c>
      <c r="I339">
        <v>6142</v>
      </c>
      <c r="J339">
        <v>16</v>
      </c>
      <c r="K339">
        <v>3</v>
      </c>
      <c r="L339">
        <v>0</v>
      </c>
      <c r="M339">
        <v>10</v>
      </c>
      <c r="N339">
        <v>4</v>
      </c>
      <c r="O339">
        <v>3</v>
      </c>
      <c r="P339">
        <v>5</v>
      </c>
      <c r="Q339">
        <v>2</v>
      </c>
      <c r="R339">
        <v>0</v>
      </c>
      <c r="S339" t="s">
        <v>34</v>
      </c>
      <c r="T339" t="s">
        <v>37</v>
      </c>
      <c r="U339" t="str">
        <f>IF(Table1[[#This Row],[YearsSince
LastPromotion]]&gt; 4, "Delayed", "Normal")</f>
        <v>Normal</v>
      </c>
      <c r="V339" t="str">
        <f>IF(Table1[[#This Row],[Years
InCurrentRole]]&gt;4, "Role Stagnent", "Normal")</f>
        <v>Normal</v>
      </c>
      <c r="W339" t="str">
        <f>IF(AND(Table1[[#This Row],[Years
InCurrentRole]]&gt; 4, Table1[[#This Row],[Performance
Rating]]&gt;=3), "High Risk", "Normal")</f>
        <v>Normal</v>
      </c>
      <c r="X339" t="str">
        <f>IF(Table1[[#This Row],[Performance
Rating]]&gt;=4, "High Performer", "Low Performer")</f>
        <v>Low Performer</v>
      </c>
    </row>
    <row r="340" spans="2:24" x14ac:dyDescent="0.3">
      <c r="B340" t="s">
        <v>19</v>
      </c>
      <c r="C340" t="s">
        <v>25</v>
      </c>
      <c r="D340">
        <v>1</v>
      </c>
      <c r="E340" t="s">
        <v>28</v>
      </c>
      <c r="F340">
        <v>1</v>
      </c>
      <c r="G340" t="s">
        <v>29</v>
      </c>
      <c r="H340">
        <v>3</v>
      </c>
      <c r="I340">
        <v>3162</v>
      </c>
      <c r="J340">
        <v>14</v>
      </c>
      <c r="K340">
        <v>3</v>
      </c>
      <c r="L340">
        <v>0</v>
      </c>
      <c r="M340">
        <v>7</v>
      </c>
      <c r="N340">
        <v>5</v>
      </c>
      <c r="O340">
        <v>3</v>
      </c>
      <c r="P340">
        <v>5</v>
      </c>
      <c r="Q340">
        <v>2</v>
      </c>
      <c r="R340">
        <v>0</v>
      </c>
      <c r="S340" t="s">
        <v>34</v>
      </c>
      <c r="T340" t="s">
        <v>37</v>
      </c>
      <c r="U340" t="str">
        <f>IF(Table1[[#This Row],[YearsSince
LastPromotion]]&gt; 4, "Delayed", "Normal")</f>
        <v>Normal</v>
      </c>
      <c r="V340" t="str">
        <f>IF(Table1[[#This Row],[Years
InCurrentRole]]&gt;4, "Role Stagnent", "Normal")</f>
        <v>Normal</v>
      </c>
      <c r="W340" t="str">
        <f>IF(AND(Table1[[#This Row],[Years
InCurrentRole]]&gt; 4, Table1[[#This Row],[Performance
Rating]]&gt;=3), "High Risk", "Normal")</f>
        <v>Normal</v>
      </c>
      <c r="X340" t="str">
        <f>IF(Table1[[#This Row],[Performance
Rating]]&gt;=4, "High Performer", "Low Performer")</f>
        <v>Low Performer</v>
      </c>
    </row>
    <row r="341" spans="2:24" x14ac:dyDescent="0.3">
      <c r="B341" t="s">
        <v>27</v>
      </c>
      <c r="C341" t="s">
        <v>25</v>
      </c>
      <c r="D341">
        <v>1</v>
      </c>
      <c r="E341" t="s">
        <v>21</v>
      </c>
      <c r="F341">
        <v>1</v>
      </c>
      <c r="G341" t="s">
        <v>26</v>
      </c>
      <c r="H341">
        <v>1</v>
      </c>
      <c r="I341">
        <v>2657</v>
      </c>
      <c r="J341">
        <v>11</v>
      </c>
      <c r="K341">
        <v>3</v>
      </c>
      <c r="L341">
        <v>0</v>
      </c>
      <c r="M341">
        <v>8</v>
      </c>
      <c r="N341">
        <v>5</v>
      </c>
      <c r="O341">
        <v>3</v>
      </c>
      <c r="P341">
        <v>5</v>
      </c>
      <c r="Q341">
        <v>2</v>
      </c>
      <c r="R341">
        <v>0</v>
      </c>
      <c r="S341" t="s">
        <v>34</v>
      </c>
      <c r="T341" t="s">
        <v>37</v>
      </c>
      <c r="U341" t="str">
        <f>IF(Table1[[#This Row],[YearsSince
LastPromotion]]&gt; 4, "Delayed", "Normal")</f>
        <v>Normal</v>
      </c>
      <c r="V341" t="str">
        <f>IF(Table1[[#This Row],[Years
InCurrentRole]]&gt;4, "Role Stagnent", "Normal")</f>
        <v>Normal</v>
      </c>
      <c r="W341" t="str">
        <f>IF(AND(Table1[[#This Row],[Years
InCurrentRole]]&gt; 4, Table1[[#This Row],[Performance
Rating]]&gt;=3), "High Risk", "Normal")</f>
        <v>Normal</v>
      </c>
      <c r="X341" t="str">
        <f>IF(Table1[[#This Row],[Performance
Rating]]&gt;=4, "High Performer", "Low Performer")</f>
        <v>Low Performer</v>
      </c>
    </row>
    <row r="342" spans="2:24" x14ac:dyDescent="0.3">
      <c r="B342" t="s">
        <v>19</v>
      </c>
      <c r="C342" t="s">
        <v>25</v>
      </c>
      <c r="D342">
        <v>1</v>
      </c>
      <c r="E342" t="s">
        <v>28</v>
      </c>
      <c r="F342">
        <v>1</v>
      </c>
      <c r="G342" t="s">
        <v>26</v>
      </c>
      <c r="H342">
        <v>4</v>
      </c>
      <c r="I342">
        <v>4771</v>
      </c>
      <c r="J342">
        <v>19</v>
      </c>
      <c r="K342">
        <v>3</v>
      </c>
      <c r="L342">
        <v>2</v>
      </c>
      <c r="M342">
        <v>10</v>
      </c>
      <c r="N342">
        <v>0</v>
      </c>
      <c r="O342">
        <v>4</v>
      </c>
      <c r="P342">
        <v>5</v>
      </c>
      <c r="Q342">
        <v>2</v>
      </c>
      <c r="R342">
        <v>0</v>
      </c>
      <c r="S342" t="s">
        <v>34</v>
      </c>
      <c r="T342" t="s">
        <v>37</v>
      </c>
      <c r="U342" t="str">
        <f>IF(Table1[[#This Row],[YearsSince
LastPromotion]]&gt; 4, "Delayed", "Normal")</f>
        <v>Normal</v>
      </c>
      <c r="V342" t="str">
        <f>IF(Table1[[#This Row],[Years
InCurrentRole]]&gt;4, "Role Stagnent", "Normal")</f>
        <v>Normal</v>
      </c>
      <c r="W342" t="str">
        <f>IF(AND(Table1[[#This Row],[Years
InCurrentRole]]&gt; 4, Table1[[#This Row],[Performance
Rating]]&gt;=3), "High Risk", "Normal")</f>
        <v>Normal</v>
      </c>
      <c r="X342" t="str">
        <f>IF(Table1[[#This Row],[Performance
Rating]]&gt;=4, "High Performer", "Low Performer")</f>
        <v>Low Performer</v>
      </c>
    </row>
    <row r="343" spans="2:24" x14ac:dyDescent="0.3">
      <c r="B343" t="s">
        <v>19</v>
      </c>
      <c r="C343" t="s">
        <v>20</v>
      </c>
      <c r="D343">
        <v>1</v>
      </c>
      <c r="E343" t="s">
        <v>28</v>
      </c>
      <c r="F343">
        <v>2</v>
      </c>
      <c r="G343" t="s">
        <v>32</v>
      </c>
      <c r="H343">
        <v>1</v>
      </c>
      <c r="I343">
        <v>4256</v>
      </c>
      <c r="J343">
        <v>12</v>
      </c>
      <c r="K343">
        <v>3</v>
      </c>
      <c r="L343">
        <v>0</v>
      </c>
      <c r="M343">
        <v>5</v>
      </c>
      <c r="N343">
        <v>1</v>
      </c>
      <c r="O343">
        <v>4</v>
      </c>
      <c r="P343">
        <v>5</v>
      </c>
      <c r="Q343">
        <v>2</v>
      </c>
      <c r="R343">
        <v>0</v>
      </c>
      <c r="S343" t="s">
        <v>34</v>
      </c>
      <c r="T343" t="s">
        <v>37</v>
      </c>
      <c r="U343" t="str">
        <f>IF(Table1[[#This Row],[YearsSince
LastPromotion]]&gt; 4, "Delayed", "Normal")</f>
        <v>Normal</v>
      </c>
      <c r="V343" t="str">
        <f>IF(Table1[[#This Row],[Years
InCurrentRole]]&gt;4, "Role Stagnent", "Normal")</f>
        <v>Normal</v>
      </c>
      <c r="W343" t="str">
        <f>IF(AND(Table1[[#This Row],[Years
InCurrentRole]]&gt; 4, Table1[[#This Row],[Performance
Rating]]&gt;=3), "High Risk", "Normal")</f>
        <v>Normal</v>
      </c>
      <c r="X343" t="str">
        <f>IF(Table1[[#This Row],[Performance
Rating]]&gt;=4, "High Performer", "Low Performer")</f>
        <v>Low Performer</v>
      </c>
    </row>
    <row r="344" spans="2:24" x14ac:dyDescent="0.3">
      <c r="B344" t="s">
        <v>19</v>
      </c>
      <c r="C344" t="s">
        <v>20</v>
      </c>
      <c r="D344">
        <v>1</v>
      </c>
      <c r="E344" t="s">
        <v>21</v>
      </c>
      <c r="F344">
        <v>2</v>
      </c>
      <c r="G344" t="s">
        <v>32</v>
      </c>
      <c r="H344">
        <v>3</v>
      </c>
      <c r="I344">
        <v>4260</v>
      </c>
      <c r="J344">
        <v>12</v>
      </c>
      <c r="K344">
        <v>3</v>
      </c>
      <c r="L344">
        <v>1</v>
      </c>
      <c r="M344">
        <v>5</v>
      </c>
      <c r="N344">
        <v>2</v>
      </c>
      <c r="O344">
        <v>4</v>
      </c>
      <c r="P344">
        <v>5</v>
      </c>
      <c r="Q344">
        <v>2</v>
      </c>
      <c r="R344">
        <v>0</v>
      </c>
      <c r="S344" t="s">
        <v>34</v>
      </c>
      <c r="T344" t="s">
        <v>37</v>
      </c>
      <c r="U344" t="str">
        <f>IF(Table1[[#This Row],[YearsSince
LastPromotion]]&gt; 4, "Delayed", "Normal")</f>
        <v>Normal</v>
      </c>
      <c r="V344" t="str">
        <f>IF(Table1[[#This Row],[Years
InCurrentRole]]&gt;4, "Role Stagnent", "Normal")</f>
        <v>Normal</v>
      </c>
      <c r="W344" t="str">
        <f>IF(AND(Table1[[#This Row],[Years
InCurrentRole]]&gt; 4, Table1[[#This Row],[Performance
Rating]]&gt;=3), "High Risk", "Normal")</f>
        <v>Normal</v>
      </c>
      <c r="X344" t="str">
        <f>IF(Table1[[#This Row],[Performance
Rating]]&gt;=4, "High Performer", "Low Performer")</f>
        <v>Low Performer</v>
      </c>
    </row>
    <row r="345" spans="2:24" x14ac:dyDescent="0.3">
      <c r="B345" t="s">
        <v>19</v>
      </c>
      <c r="C345" t="s">
        <v>25</v>
      </c>
      <c r="D345">
        <v>1</v>
      </c>
      <c r="E345" t="s">
        <v>28</v>
      </c>
      <c r="F345">
        <v>1</v>
      </c>
      <c r="G345" t="s">
        <v>29</v>
      </c>
      <c r="H345">
        <v>3</v>
      </c>
      <c r="I345">
        <v>3477</v>
      </c>
      <c r="J345">
        <v>14</v>
      </c>
      <c r="K345">
        <v>3</v>
      </c>
      <c r="L345">
        <v>1</v>
      </c>
      <c r="M345">
        <v>6</v>
      </c>
      <c r="N345">
        <v>2</v>
      </c>
      <c r="O345">
        <v>4</v>
      </c>
      <c r="P345">
        <v>5</v>
      </c>
      <c r="Q345">
        <v>2</v>
      </c>
      <c r="R345">
        <v>0</v>
      </c>
      <c r="S345" t="s">
        <v>34</v>
      </c>
      <c r="T345" t="s">
        <v>37</v>
      </c>
      <c r="U345" t="str">
        <f>IF(Table1[[#This Row],[YearsSince
LastPromotion]]&gt; 4, "Delayed", "Normal")</f>
        <v>Normal</v>
      </c>
      <c r="V345" t="str">
        <f>IF(Table1[[#This Row],[Years
InCurrentRole]]&gt;4, "Role Stagnent", "Normal")</f>
        <v>Normal</v>
      </c>
      <c r="W345" t="str">
        <f>IF(AND(Table1[[#This Row],[Years
InCurrentRole]]&gt; 4, Table1[[#This Row],[Performance
Rating]]&gt;=3), "High Risk", "Normal")</f>
        <v>Normal</v>
      </c>
      <c r="X345" t="str">
        <f>IF(Table1[[#This Row],[Performance
Rating]]&gt;=4, "High Performer", "Low Performer")</f>
        <v>Low Performer</v>
      </c>
    </row>
    <row r="346" spans="2:24" x14ac:dyDescent="0.3">
      <c r="B346" t="s">
        <v>19</v>
      </c>
      <c r="C346" t="s">
        <v>25</v>
      </c>
      <c r="D346">
        <v>1</v>
      </c>
      <c r="E346" t="s">
        <v>28</v>
      </c>
      <c r="F346">
        <v>1</v>
      </c>
      <c r="G346" t="s">
        <v>26</v>
      </c>
      <c r="H346">
        <v>4</v>
      </c>
      <c r="I346">
        <v>2662</v>
      </c>
      <c r="J346">
        <v>20</v>
      </c>
      <c r="K346">
        <v>4</v>
      </c>
      <c r="L346">
        <v>1</v>
      </c>
      <c r="M346">
        <v>19</v>
      </c>
      <c r="N346">
        <v>2</v>
      </c>
      <c r="O346">
        <v>4</v>
      </c>
      <c r="P346">
        <v>5</v>
      </c>
      <c r="Q346">
        <v>2</v>
      </c>
      <c r="R346">
        <v>0</v>
      </c>
      <c r="S346" t="s">
        <v>34</v>
      </c>
      <c r="T346" t="s">
        <v>37</v>
      </c>
      <c r="U346" t="str">
        <f>IF(Table1[[#This Row],[YearsSince
LastPromotion]]&gt; 4, "Delayed", "Normal")</f>
        <v>Normal</v>
      </c>
      <c r="V346" t="str">
        <f>IF(Table1[[#This Row],[Years
InCurrentRole]]&gt;4, "Role Stagnent", "Normal")</f>
        <v>Normal</v>
      </c>
      <c r="W346" t="str">
        <f>IF(AND(Table1[[#This Row],[Years
InCurrentRole]]&gt; 4, Table1[[#This Row],[Performance
Rating]]&gt;=3), "High Risk", "Normal")</f>
        <v>Normal</v>
      </c>
      <c r="X346" t="str">
        <f>IF(Table1[[#This Row],[Performance
Rating]]&gt;=4, "High Performer", "Low Performer")</f>
        <v>High Performer</v>
      </c>
    </row>
    <row r="347" spans="2:24" x14ac:dyDescent="0.3">
      <c r="B347" t="s">
        <v>19</v>
      </c>
      <c r="C347" t="s">
        <v>25</v>
      </c>
      <c r="D347">
        <v>1</v>
      </c>
      <c r="E347" t="s">
        <v>28</v>
      </c>
      <c r="F347">
        <v>3</v>
      </c>
      <c r="G347" t="s">
        <v>35</v>
      </c>
      <c r="H347">
        <v>3</v>
      </c>
      <c r="I347">
        <v>13664</v>
      </c>
      <c r="J347">
        <v>13</v>
      </c>
      <c r="K347">
        <v>3</v>
      </c>
      <c r="L347">
        <v>0</v>
      </c>
      <c r="M347">
        <v>16</v>
      </c>
      <c r="N347">
        <v>3</v>
      </c>
      <c r="O347">
        <v>4</v>
      </c>
      <c r="P347">
        <v>5</v>
      </c>
      <c r="Q347">
        <v>2</v>
      </c>
      <c r="R347">
        <v>0</v>
      </c>
      <c r="S347" t="s">
        <v>34</v>
      </c>
      <c r="T347" t="s">
        <v>37</v>
      </c>
      <c r="U347" t="str">
        <f>IF(Table1[[#This Row],[YearsSince
LastPromotion]]&gt; 4, "Delayed", "Normal")</f>
        <v>Normal</v>
      </c>
      <c r="V347" t="str">
        <f>IF(Table1[[#This Row],[Years
InCurrentRole]]&gt;4, "Role Stagnent", "Normal")</f>
        <v>Normal</v>
      </c>
      <c r="W347" t="str">
        <f>IF(AND(Table1[[#This Row],[Years
InCurrentRole]]&gt; 4, Table1[[#This Row],[Performance
Rating]]&gt;=3), "High Risk", "Normal")</f>
        <v>Normal</v>
      </c>
      <c r="X347" t="str">
        <f>IF(Table1[[#This Row],[Performance
Rating]]&gt;=4, "High Performer", "Low Performer")</f>
        <v>Low Performer</v>
      </c>
    </row>
    <row r="348" spans="2:24" x14ac:dyDescent="0.3">
      <c r="B348" t="s">
        <v>19</v>
      </c>
      <c r="C348" t="s">
        <v>25</v>
      </c>
      <c r="D348">
        <v>1</v>
      </c>
      <c r="E348" t="s">
        <v>28</v>
      </c>
      <c r="F348">
        <v>3</v>
      </c>
      <c r="G348" t="s">
        <v>22</v>
      </c>
      <c r="H348">
        <v>4</v>
      </c>
      <c r="I348">
        <v>11244</v>
      </c>
      <c r="J348">
        <v>25</v>
      </c>
      <c r="K348">
        <v>4</v>
      </c>
      <c r="L348">
        <v>0</v>
      </c>
      <c r="M348">
        <v>10</v>
      </c>
      <c r="N348">
        <v>5</v>
      </c>
      <c r="O348">
        <v>4</v>
      </c>
      <c r="P348">
        <v>5</v>
      </c>
      <c r="Q348">
        <v>2</v>
      </c>
      <c r="R348">
        <v>0</v>
      </c>
      <c r="S348" t="s">
        <v>34</v>
      </c>
      <c r="T348" t="s">
        <v>37</v>
      </c>
      <c r="U348" t="str">
        <f>IF(Table1[[#This Row],[YearsSince
LastPromotion]]&gt; 4, "Delayed", "Normal")</f>
        <v>Normal</v>
      </c>
      <c r="V348" t="str">
        <f>IF(Table1[[#This Row],[Years
InCurrentRole]]&gt;4, "Role Stagnent", "Normal")</f>
        <v>Normal</v>
      </c>
      <c r="W348" t="str">
        <f>IF(AND(Table1[[#This Row],[Years
InCurrentRole]]&gt; 4, Table1[[#This Row],[Performance
Rating]]&gt;=3), "High Risk", "Normal")</f>
        <v>Normal</v>
      </c>
      <c r="X348" t="str">
        <f>IF(Table1[[#This Row],[Performance
Rating]]&gt;=4, "High Performer", "Low Performer")</f>
        <v>High Performer</v>
      </c>
    </row>
    <row r="349" spans="2:24" x14ac:dyDescent="0.3">
      <c r="B349" t="s">
        <v>19</v>
      </c>
      <c r="C349" t="s">
        <v>25</v>
      </c>
      <c r="D349">
        <v>1</v>
      </c>
      <c r="E349" t="s">
        <v>28</v>
      </c>
      <c r="F349">
        <v>2</v>
      </c>
      <c r="G349" t="s">
        <v>31</v>
      </c>
      <c r="H349">
        <v>4</v>
      </c>
      <c r="I349">
        <v>7756</v>
      </c>
      <c r="J349">
        <v>17</v>
      </c>
      <c r="K349">
        <v>3</v>
      </c>
      <c r="L349">
        <v>0</v>
      </c>
      <c r="M349">
        <v>7</v>
      </c>
      <c r="N349">
        <v>1</v>
      </c>
      <c r="O349">
        <v>2</v>
      </c>
      <c r="P349">
        <v>6</v>
      </c>
      <c r="Q349">
        <v>2</v>
      </c>
      <c r="R349">
        <v>0</v>
      </c>
      <c r="S349" t="s">
        <v>23</v>
      </c>
      <c r="T349" t="s">
        <v>37</v>
      </c>
      <c r="U349" t="str">
        <f>IF(Table1[[#This Row],[YearsSince
LastPromotion]]&gt; 4, "Delayed", "Normal")</f>
        <v>Normal</v>
      </c>
      <c r="V349" t="str">
        <f>IF(Table1[[#This Row],[Years
InCurrentRole]]&gt;4, "Role Stagnent", "Normal")</f>
        <v>Normal</v>
      </c>
      <c r="W349" t="str">
        <f>IF(AND(Table1[[#This Row],[Years
InCurrentRole]]&gt; 4, Table1[[#This Row],[Performance
Rating]]&gt;=3), "High Risk", "Normal")</f>
        <v>Normal</v>
      </c>
      <c r="X349" t="str">
        <f>IF(Table1[[#This Row],[Performance
Rating]]&gt;=4, "High Performer", "Low Performer")</f>
        <v>Low Performer</v>
      </c>
    </row>
    <row r="350" spans="2:24" x14ac:dyDescent="0.3">
      <c r="B350" t="s">
        <v>19</v>
      </c>
      <c r="C350" t="s">
        <v>25</v>
      </c>
      <c r="D350">
        <v>1</v>
      </c>
      <c r="E350" t="s">
        <v>28</v>
      </c>
      <c r="F350">
        <v>2</v>
      </c>
      <c r="G350" t="s">
        <v>33</v>
      </c>
      <c r="H350">
        <v>1</v>
      </c>
      <c r="I350">
        <v>9957</v>
      </c>
      <c r="J350">
        <v>15</v>
      </c>
      <c r="K350">
        <v>3</v>
      </c>
      <c r="L350">
        <v>1</v>
      </c>
      <c r="M350">
        <v>7</v>
      </c>
      <c r="N350">
        <v>1</v>
      </c>
      <c r="O350">
        <v>2</v>
      </c>
      <c r="P350">
        <v>6</v>
      </c>
      <c r="Q350">
        <v>2</v>
      </c>
      <c r="R350">
        <v>0</v>
      </c>
      <c r="S350" t="s">
        <v>23</v>
      </c>
      <c r="T350" t="s">
        <v>37</v>
      </c>
      <c r="U350" t="str">
        <f>IF(Table1[[#This Row],[YearsSince
LastPromotion]]&gt; 4, "Delayed", "Normal")</f>
        <v>Normal</v>
      </c>
      <c r="V350" t="str">
        <f>IF(Table1[[#This Row],[Years
InCurrentRole]]&gt;4, "Role Stagnent", "Normal")</f>
        <v>Normal</v>
      </c>
      <c r="W350" t="str">
        <f>IF(AND(Table1[[#This Row],[Years
InCurrentRole]]&gt; 4, Table1[[#This Row],[Performance
Rating]]&gt;=3), "High Risk", "Normal")</f>
        <v>Normal</v>
      </c>
      <c r="X350" t="str">
        <f>IF(Table1[[#This Row],[Performance
Rating]]&gt;=4, "High Performer", "Low Performer")</f>
        <v>Low Performer</v>
      </c>
    </row>
    <row r="351" spans="2:24" x14ac:dyDescent="0.3">
      <c r="B351" t="s">
        <v>19</v>
      </c>
      <c r="C351" t="s">
        <v>25</v>
      </c>
      <c r="D351">
        <v>1</v>
      </c>
      <c r="E351" t="s">
        <v>28</v>
      </c>
      <c r="F351">
        <v>2</v>
      </c>
      <c r="G351" t="s">
        <v>33</v>
      </c>
      <c r="H351">
        <v>4</v>
      </c>
      <c r="I351">
        <v>6347</v>
      </c>
      <c r="J351">
        <v>16</v>
      </c>
      <c r="K351">
        <v>3</v>
      </c>
      <c r="L351">
        <v>2</v>
      </c>
      <c r="M351">
        <v>8</v>
      </c>
      <c r="N351">
        <v>2</v>
      </c>
      <c r="O351">
        <v>2</v>
      </c>
      <c r="P351">
        <v>6</v>
      </c>
      <c r="Q351">
        <v>2</v>
      </c>
      <c r="R351">
        <v>0</v>
      </c>
      <c r="S351" t="s">
        <v>23</v>
      </c>
      <c r="T351" t="s">
        <v>37</v>
      </c>
      <c r="U351" t="str">
        <f>IF(Table1[[#This Row],[YearsSince
LastPromotion]]&gt; 4, "Delayed", "Normal")</f>
        <v>Normal</v>
      </c>
      <c r="V351" t="str">
        <f>IF(Table1[[#This Row],[Years
InCurrentRole]]&gt;4, "Role Stagnent", "Normal")</f>
        <v>Normal</v>
      </c>
      <c r="W351" t="str">
        <f>IF(AND(Table1[[#This Row],[Years
InCurrentRole]]&gt; 4, Table1[[#This Row],[Performance
Rating]]&gt;=3), "High Risk", "Normal")</f>
        <v>Normal</v>
      </c>
      <c r="X351" t="str">
        <f>IF(Table1[[#This Row],[Performance
Rating]]&gt;=4, "High Performer", "Low Performer")</f>
        <v>Low Performer</v>
      </c>
    </row>
    <row r="352" spans="2:24" x14ac:dyDescent="0.3">
      <c r="B352" t="s">
        <v>19</v>
      </c>
      <c r="C352" t="s">
        <v>25</v>
      </c>
      <c r="D352">
        <v>1</v>
      </c>
      <c r="E352" t="s">
        <v>28</v>
      </c>
      <c r="F352">
        <v>1</v>
      </c>
      <c r="G352" t="s">
        <v>26</v>
      </c>
      <c r="H352">
        <v>2</v>
      </c>
      <c r="I352">
        <v>3298</v>
      </c>
      <c r="J352">
        <v>12</v>
      </c>
      <c r="K352">
        <v>3</v>
      </c>
      <c r="L352">
        <v>2</v>
      </c>
      <c r="M352">
        <v>7</v>
      </c>
      <c r="N352">
        <v>5</v>
      </c>
      <c r="O352">
        <v>2</v>
      </c>
      <c r="P352">
        <v>6</v>
      </c>
      <c r="Q352">
        <v>2</v>
      </c>
      <c r="R352">
        <v>0</v>
      </c>
      <c r="S352" t="s">
        <v>23</v>
      </c>
      <c r="T352" t="s">
        <v>37</v>
      </c>
      <c r="U352" t="str">
        <f>IF(Table1[[#This Row],[YearsSince
LastPromotion]]&gt; 4, "Delayed", "Normal")</f>
        <v>Normal</v>
      </c>
      <c r="V352" t="str">
        <f>IF(Table1[[#This Row],[Years
InCurrentRole]]&gt;4, "Role Stagnent", "Normal")</f>
        <v>Normal</v>
      </c>
      <c r="W352" t="str">
        <f>IF(AND(Table1[[#This Row],[Years
InCurrentRole]]&gt; 4, Table1[[#This Row],[Performance
Rating]]&gt;=3), "High Risk", "Normal")</f>
        <v>Normal</v>
      </c>
      <c r="X352" t="str">
        <f>IF(Table1[[#This Row],[Performance
Rating]]&gt;=4, "High Performer", "Low Performer")</f>
        <v>Low Performer</v>
      </c>
    </row>
    <row r="353" spans="2:24" x14ac:dyDescent="0.3">
      <c r="B353" t="s">
        <v>19</v>
      </c>
      <c r="C353" t="s">
        <v>25</v>
      </c>
      <c r="D353">
        <v>1</v>
      </c>
      <c r="E353" t="s">
        <v>28</v>
      </c>
      <c r="F353">
        <v>2</v>
      </c>
      <c r="G353" t="s">
        <v>33</v>
      </c>
      <c r="H353">
        <v>2</v>
      </c>
      <c r="I353">
        <v>6142</v>
      </c>
      <c r="J353">
        <v>20</v>
      </c>
      <c r="K353">
        <v>4</v>
      </c>
      <c r="L353">
        <v>1</v>
      </c>
      <c r="M353">
        <v>6</v>
      </c>
      <c r="N353">
        <v>0</v>
      </c>
      <c r="O353">
        <v>3</v>
      </c>
      <c r="P353">
        <v>6</v>
      </c>
      <c r="Q353">
        <v>2</v>
      </c>
      <c r="R353">
        <v>0</v>
      </c>
      <c r="S353" t="s">
        <v>34</v>
      </c>
      <c r="T353" t="s">
        <v>37</v>
      </c>
      <c r="U353" t="str">
        <f>IF(Table1[[#This Row],[YearsSince
LastPromotion]]&gt; 4, "Delayed", "Normal")</f>
        <v>Normal</v>
      </c>
      <c r="V353" t="str">
        <f>IF(Table1[[#This Row],[Years
InCurrentRole]]&gt;4, "Role Stagnent", "Normal")</f>
        <v>Normal</v>
      </c>
      <c r="W353" t="str">
        <f>IF(AND(Table1[[#This Row],[Years
InCurrentRole]]&gt; 4, Table1[[#This Row],[Performance
Rating]]&gt;=3), "High Risk", "Normal")</f>
        <v>Normal</v>
      </c>
      <c r="X353" t="str">
        <f>IF(Table1[[#This Row],[Performance
Rating]]&gt;=4, "High Performer", "Low Performer")</f>
        <v>High Performer</v>
      </c>
    </row>
    <row r="354" spans="2:24" x14ac:dyDescent="0.3">
      <c r="B354" t="s">
        <v>19</v>
      </c>
      <c r="C354" t="s">
        <v>20</v>
      </c>
      <c r="D354">
        <v>1</v>
      </c>
      <c r="E354" t="s">
        <v>28</v>
      </c>
      <c r="F354">
        <v>2</v>
      </c>
      <c r="G354" t="s">
        <v>32</v>
      </c>
      <c r="H354">
        <v>4</v>
      </c>
      <c r="I354">
        <v>5071</v>
      </c>
      <c r="J354">
        <v>20</v>
      </c>
      <c r="K354">
        <v>4</v>
      </c>
      <c r="L354">
        <v>0</v>
      </c>
      <c r="M354">
        <v>8</v>
      </c>
      <c r="N354">
        <v>3</v>
      </c>
      <c r="O354">
        <v>3</v>
      </c>
      <c r="P354">
        <v>6</v>
      </c>
      <c r="Q354">
        <v>2</v>
      </c>
      <c r="R354">
        <v>0</v>
      </c>
      <c r="S354" t="s">
        <v>34</v>
      </c>
      <c r="T354" t="s">
        <v>37</v>
      </c>
      <c r="U354" t="str">
        <f>IF(Table1[[#This Row],[YearsSince
LastPromotion]]&gt; 4, "Delayed", "Normal")</f>
        <v>Normal</v>
      </c>
      <c r="V354" t="str">
        <f>IF(Table1[[#This Row],[Years
InCurrentRole]]&gt;4, "Role Stagnent", "Normal")</f>
        <v>Normal</v>
      </c>
      <c r="W354" t="str">
        <f>IF(AND(Table1[[#This Row],[Years
InCurrentRole]]&gt; 4, Table1[[#This Row],[Performance
Rating]]&gt;=3), "High Risk", "Normal")</f>
        <v>Normal</v>
      </c>
      <c r="X354" t="str">
        <f>IF(Table1[[#This Row],[Performance
Rating]]&gt;=4, "High Performer", "Low Performer")</f>
        <v>High Performer</v>
      </c>
    </row>
    <row r="355" spans="2:24" x14ac:dyDescent="0.3">
      <c r="B355" t="s">
        <v>19</v>
      </c>
      <c r="C355" t="s">
        <v>20</v>
      </c>
      <c r="D355">
        <v>1</v>
      </c>
      <c r="E355" t="s">
        <v>21</v>
      </c>
      <c r="F355">
        <v>2</v>
      </c>
      <c r="G355" t="s">
        <v>32</v>
      </c>
      <c r="H355">
        <v>1</v>
      </c>
      <c r="I355">
        <v>5940</v>
      </c>
      <c r="J355">
        <v>14</v>
      </c>
      <c r="K355">
        <v>3</v>
      </c>
      <c r="L355">
        <v>1</v>
      </c>
      <c r="M355">
        <v>16</v>
      </c>
      <c r="N355">
        <v>4</v>
      </c>
      <c r="O355">
        <v>3</v>
      </c>
      <c r="P355">
        <v>6</v>
      </c>
      <c r="Q355">
        <v>2</v>
      </c>
      <c r="R355">
        <v>0</v>
      </c>
      <c r="S355" t="s">
        <v>34</v>
      </c>
      <c r="T355" t="s">
        <v>37</v>
      </c>
      <c r="U355" t="str">
        <f>IF(Table1[[#This Row],[YearsSince
LastPromotion]]&gt; 4, "Delayed", "Normal")</f>
        <v>Normal</v>
      </c>
      <c r="V355" t="str">
        <f>IF(Table1[[#This Row],[Years
InCurrentRole]]&gt;4, "Role Stagnent", "Normal")</f>
        <v>Normal</v>
      </c>
      <c r="W355" t="str">
        <f>IF(AND(Table1[[#This Row],[Years
InCurrentRole]]&gt; 4, Table1[[#This Row],[Performance
Rating]]&gt;=3), "High Risk", "Normal")</f>
        <v>Normal</v>
      </c>
      <c r="X355" t="str">
        <f>IF(Table1[[#This Row],[Performance
Rating]]&gt;=4, "High Performer", "Low Performer")</f>
        <v>Low Performer</v>
      </c>
    </row>
    <row r="356" spans="2:24" x14ac:dyDescent="0.3">
      <c r="B356" t="s">
        <v>19</v>
      </c>
      <c r="C356" t="s">
        <v>20</v>
      </c>
      <c r="D356">
        <v>1</v>
      </c>
      <c r="E356" t="s">
        <v>28</v>
      </c>
      <c r="F356">
        <v>2</v>
      </c>
      <c r="G356" t="s">
        <v>32</v>
      </c>
      <c r="H356">
        <v>4</v>
      </c>
      <c r="I356">
        <v>5505</v>
      </c>
      <c r="J356">
        <v>14</v>
      </c>
      <c r="K356">
        <v>3</v>
      </c>
      <c r="L356">
        <v>2</v>
      </c>
      <c r="M356">
        <v>6</v>
      </c>
      <c r="N356">
        <v>5</v>
      </c>
      <c r="O356">
        <v>3</v>
      </c>
      <c r="P356">
        <v>6</v>
      </c>
      <c r="Q356">
        <v>2</v>
      </c>
      <c r="R356">
        <v>0</v>
      </c>
      <c r="S356" t="s">
        <v>34</v>
      </c>
      <c r="T356" t="s">
        <v>37</v>
      </c>
      <c r="U356" t="str">
        <f>IF(Table1[[#This Row],[YearsSince
LastPromotion]]&gt; 4, "Delayed", "Normal")</f>
        <v>Normal</v>
      </c>
      <c r="V356" t="str">
        <f>IF(Table1[[#This Row],[Years
InCurrentRole]]&gt;4, "Role Stagnent", "Normal")</f>
        <v>Normal</v>
      </c>
      <c r="W356" t="str">
        <f>IF(AND(Table1[[#This Row],[Years
InCurrentRole]]&gt; 4, Table1[[#This Row],[Performance
Rating]]&gt;=3), "High Risk", "Normal")</f>
        <v>Normal</v>
      </c>
      <c r="X356" t="str">
        <f>IF(Table1[[#This Row],[Performance
Rating]]&gt;=4, "High Performer", "Low Performer")</f>
        <v>Low Performer</v>
      </c>
    </row>
    <row r="357" spans="2:24" x14ac:dyDescent="0.3">
      <c r="B357" t="s">
        <v>19</v>
      </c>
      <c r="C357" t="s">
        <v>25</v>
      </c>
      <c r="D357">
        <v>1</v>
      </c>
      <c r="E357" t="s">
        <v>28</v>
      </c>
      <c r="F357">
        <v>2</v>
      </c>
      <c r="G357" t="s">
        <v>29</v>
      </c>
      <c r="H357">
        <v>1</v>
      </c>
      <c r="I357">
        <v>2176</v>
      </c>
      <c r="J357">
        <v>13</v>
      </c>
      <c r="K357">
        <v>3</v>
      </c>
      <c r="L357">
        <v>0</v>
      </c>
      <c r="M357">
        <v>9</v>
      </c>
      <c r="N357">
        <v>5</v>
      </c>
      <c r="O357">
        <v>3</v>
      </c>
      <c r="P357">
        <v>6</v>
      </c>
      <c r="Q357">
        <v>2</v>
      </c>
      <c r="R357">
        <v>0</v>
      </c>
      <c r="S357" t="s">
        <v>34</v>
      </c>
      <c r="T357" t="s">
        <v>37</v>
      </c>
      <c r="U357" t="str">
        <f>IF(Table1[[#This Row],[YearsSince
LastPromotion]]&gt; 4, "Delayed", "Normal")</f>
        <v>Normal</v>
      </c>
      <c r="V357" t="str">
        <f>IF(Table1[[#This Row],[Years
InCurrentRole]]&gt;4, "Role Stagnent", "Normal")</f>
        <v>Normal</v>
      </c>
      <c r="W357" t="str">
        <f>IF(AND(Table1[[#This Row],[Years
InCurrentRole]]&gt; 4, Table1[[#This Row],[Performance
Rating]]&gt;=3), "High Risk", "Normal")</f>
        <v>Normal</v>
      </c>
      <c r="X357" t="str">
        <f>IF(Table1[[#This Row],[Performance
Rating]]&gt;=4, "High Performer", "Low Performer")</f>
        <v>Low Performer</v>
      </c>
    </row>
    <row r="358" spans="2:24" x14ac:dyDescent="0.3">
      <c r="B358" t="s">
        <v>19</v>
      </c>
      <c r="C358" t="s">
        <v>25</v>
      </c>
      <c r="D358">
        <v>1</v>
      </c>
      <c r="E358" t="s">
        <v>28</v>
      </c>
      <c r="F358">
        <v>1</v>
      </c>
      <c r="G358" t="s">
        <v>26</v>
      </c>
      <c r="H358">
        <v>4</v>
      </c>
      <c r="I358">
        <v>4678</v>
      </c>
      <c r="J358">
        <v>18</v>
      </c>
      <c r="K358">
        <v>3</v>
      </c>
      <c r="L358">
        <v>0</v>
      </c>
      <c r="M358">
        <v>8</v>
      </c>
      <c r="N358">
        <v>6</v>
      </c>
      <c r="O358">
        <v>3</v>
      </c>
      <c r="P358">
        <v>6</v>
      </c>
      <c r="Q358">
        <v>2</v>
      </c>
      <c r="R358">
        <v>0</v>
      </c>
      <c r="S358" t="s">
        <v>34</v>
      </c>
      <c r="T358" t="s">
        <v>37</v>
      </c>
      <c r="U358" t="str">
        <f>IF(Table1[[#This Row],[YearsSince
LastPromotion]]&gt; 4, "Delayed", "Normal")</f>
        <v>Normal</v>
      </c>
      <c r="V358" t="str">
        <f>IF(Table1[[#This Row],[Years
InCurrentRole]]&gt;4, "Role Stagnent", "Normal")</f>
        <v>Normal</v>
      </c>
      <c r="W358" t="str">
        <f>IF(AND(Table1[[#This Row],[Years
InCurrentRole]]&gt; 4, Table1[[#This Row],[Performance
Rating]]&gt;=3), "High Risk", "Normal")</f>
        <v>Normal</v>
      </c>
      <c r="X358" t="str">
        <f>IF(Table1[[#This Row],[Performance
Rating]]&gt;=4, "High Performer", "Low Performer")</f>
        <v>Low Performer</v>
      </c>
    </row>
    <row r="359" spans="2:24" x14ac:dyDescent="0.3">
      <c r="B359" t="s">
        <v>19</v>
      </c>
      <c r="C359" t="s">
        <v>20</v>
      </c>
      <c r="D359">
        <v>1</v>
      </c>
      <c r="E359" t="s">
        <v>21</v>
      </c>
      <c r="F359">
        <v>1</v>
      </c>
      <c r="G359" t="s">
        <v>30</v>
      </c>
      <c r="H359">
        <v>3</v>
      </c>
      <c r="I359">
        <v>2579</v>
      </c>
      <c r="J359">
        <v>18</v>
      </c>
      <c r="K359">
        <v>3</v>
      </c>
      <c r="L359">
        <v>2</v>
      </c>
      <c r="M359">
        <v>8</v>
      </c>
      <c r="N359">
        <v>3</v>
      </c>
      <c r="O359">
        <v>3</v>
      </c>
      <c r="P359">
        <v>8</v>
      </c>
      <c r="Q359">
        <v>2</v>
      </c>
      <c r="R359">
        <v>0</v>
      </c>
      <c r="S359" t="s">
        <v>34</v>
      </c>
      <c r="T359" t="s">
        <v>37</v>
      </c>
      <c r="U359" t="str">
        <f>IF(Table1[[#This Row],[YearsSince
LastPromotion]]&gt; 4, "Delayed", "Normal")</f>
        <v>Normal</v>
      </c>
      <c r="V359" t="str">
        <f>IF(Table1[[#This Row],[Years
InCurrentRole]]&gt;4, "Role Stagnent", "Normal")</f>
        <v>Normal</v>
      </c>
      <c r="W359" t="str">
        <f>IF(AND(Table1[[#This Row],[Years
InCurrentRole]]&gt; 4, Table1[[#This Row],[Performance
Rating]]&gt;=3), "High Risk", "Normal")</f>
        <v>Normal</v>
      </c>
      <c r="X359" t="str">
        <f>IF(Table1[[#This Row],[Performance
Rating]]&gt;=4, "High Performer", "Low Performer")</f>
        <v>Low Performer</v>
      </c>
    </row>
    <row r="360" spans="2:24" x14ac:dyDescent="0.3">
      <c r="B360" t="s">
        <v>19</v>
      </c>
      <c r="C360" t="s">
        <v>25</v>
      </c>
      <c r="D360">
        <v>1</v>
      </c>
      <c r="E360" t="s">
        <v>28</v>
      </c>
      <c r="F360">
        <v>3</v>
      </c>
      <c r="G360" t="s">
        <v>35</v>
      </c>
      <c r="H360">
        <v>3</v>
      </c>
      <c r="I360">
        <v>11935</v>
      </c>
      <c r="J360">
        <v>18</v>
      </c>
      <c r="K360">
        <v>3</v>
      </c>
      <c r="L360">
        <v>0</v>
      </c>
      <c r="M360">
        <v>10</v>
      </c>
      <c r="N360">
        <v>2</v>
      </c>
      <c r="O360">
        <v>3</v>
      </c>
      <c r="P360">
        <v>10</v>
      </c>
      <c r="Q360">
        <v>2</v>
      </c>
      <c r="R360">
        <v>0</v>
      </c>
      <c r="S360" t="s">
        <v>34</v>
      </c>
      <c r="T360" t="s">
        <v>37</v>
      </c>
      <c r="U360" t="str">
        <f>IF(Table1[[#This Row],[YearsSince
LastPromotion]]&gt; 4, "Delayed", "Normal")</f>
        <v>Normal</v>
      </c>
      <c r="V360" t="str">
        <f>IF(Table1[[#This Row],[Years
InCurrentRole]]&gt;4, "Role Stagnent", "Normal")</f>
        <v>Normal</v>
      </c>
      <c r="W360" t="str">
        <f>IF(AND(Table1[[#This Row],[Years
InCurrentRole]]&gt; 4, Table1[[#This Row],[Performance
Rating]]&gt;=3), "High Risk", "Normal")</f>
        <v>Normal</v>
      </c>
      <c r="X360" t="str">
        <f>IF(Table1[[#This Row],[Performance
Rating]]&gt;=4, "High Performer", "Low Performer")</f>
        <v>Low Performer</v>
      </c>
    </row>
    <row r="361" spans="2:24" x14ac:dyDescent="0.3">
      <c r="B361" t="s">
        <v>19</v>
      </c>
      <c r="C361" t="s">
        <v>25</v>
      </c>
      <c r="D361">
        <v>1</v>
      </c>
      <c r="E361" t="s">
        <v>28</v>
      </c>
      <c r="F361">
        <v>2</v>
      </c>
      <c r="G361" t="s">
        <v>31</v>
      </c>
      <c r="H361">
        <v>3</v>
      </c>
      <c r="I361">
        <v>5689</v>
      </c>
      <c r="J361">
        <v>14</v>
      </c>
      <c r="K361">
        <v>3</v>
      </c>
      <c r="L361">
        <v>2</v>
      </c>
      <c r="M361">
        <v>10</v>
      </c>
      <c r="N361">
        <v>2</v>
      </c>
      <c r="O361">
        <v>4</v>
      </c>
      <c r="P361">
        <v>10</v>
      </c>
      <c r="Q361">
        <v>2</v>
      </c>
      <c r="R361">
        <v>0</v>
      </c>
      <c r="S361" t="s">
        <v>34</v>
      </c>
      <c r="T361" t="s">
        <v>37</v>
      </c>
      <c r="U361" t="str">
        <f>IF(Table1[[#This Row],[YearsSince
LastPromotion]]&gt; 4, "Delayed", "Normal")</f>
        <v>Normal</v>
      </c>
      <c r="V361" t="str">
        <f>IF(Table1[[#This Row],[Years
InCurrentRole]]&gt;4, "Role Stagnent", "Normal")</f>
        <v>Normal</v>
      </c>
      <c r="W361" t="str">
        <f>IF(AND(Table1[[#This Row],[Years
InCurrentRole]]&gt; 4, Table1[[#This Row],[Performance
Rating]]&gt;=3), "High Risk", "Normal")</f>
        <v>Normal</v>
      </c>
      <c r="X361" t="str">
        <f>IF(Table1[[#This Row],[Performance
Rating]]&gt;=4, "High Performer", "Low Performer")</f>
        <v>Low Performer</v>
      </c>
    </row>
    <row r="362" spans="2:24" x14ac:dyDescent="0.3">
      <c r="B362" t="s">
        <v>19</v>
      </c>
      <c r="C362" t="s">
        <v>20</v>
      </c>
      <c r="D362">
        <v>1</v>
      </c>
      <c r="E362" t="s">
        <v>28</v>
      </c>
      <c r="F362">
        <v>3</v>
      </c>
      <c r="G362" t="s">
        <v>32</v>
      </c>
      <c r="H362">
        <v>3</v>
      </c>
      <c r="I362">
        <v>9610</v>
      </c>
      <c r="J362">
        <v>13</v>
      </c>
      <c r="K362">
        <v>3</v>
      </c>
      <c r="L362">
        <v>1</v>
      </c>
      <c r="M362">
        <v>10</v>
      </c>
      <c r="N362">
        <v>2</v>
      </c>
      <c r="O362">
        <v>1</v>
      </c>
      <c r="P362">
        <v>4</v>
      </c>
      <c r="Q362">
        <v>3</v>
      </c>
      <c r="R362">
        <v>0</v>
      </c>
      <c r="S362" t="s">
        <v>23</v>
      </c>
      <c r="T362" t="s">
        <v>38</v>
      </c>
      <c r="U362" t="str">
        <f>IF(Table1[[#This Row],[YearsSince
LastPromotion]]&gt; 4, "Delayed", "Normal")</f>
        <v>Normal</v>
      </c>
      <c r="V362" t="str">
        <f>IF(Table1[[#This Row],[Years
InCurrentRole]]&gt;4, "Role Stagnent", "Normal")</f>
        <v>Normal</v>
      </c>
      <c r="W362" t="str">
        <f>IF(AND(Table1[[#This Row],[Years
InCurrentRole]]&gt; 4, Table1[[#This Row],[Performance
Rating]]&gt;=3), "High Risk", "Normal")</f>
        <v>Normal</v>
      </c>
      <c r="X362" t="str">
        <f>IF(Table1[[#This Row],[Performance
Rating]]&gt;=4, "High Performer", "Low Performer")</f>
        <v>Low Performer</v>
      </c>
    </row>
    <row r="363" spans="2:24" x14ac:dyDescent="0.3">
      <c r="B363" t="s">
        <v>19</v>
      </c>
      <c r="C363" t="s">
        <v>25</v>
      </c>
      <c r="D363">
        <v>1</v>
      </c>
      <c r="E363" t="s">
        <v>21</v>
      </c>
      <c r="F363">
        <v>3</v>
      </c>
      <c r="G363" t="s">
        <v>35</v>
      </c>
      <c r="H363">
        <v>3</v>
      </c>
      <c r="I363">
        <v>13549</v>
      </c>
      <c r="J363">
        <v>12</v>
      </c>
      <c r="K363">
        <v>3</v>
      </c>
      <c r="L363">
        <v>1</v>
      </c>
      <c r="M363">
        <v>16</v>
      </c>
      <c r="N363">
        <v>5</v>
      </c>
      <c r="O363">
        <v>1</v>
      </c>
      <c r="P363">
        <v>4</v>
      </c>
      <c r="Q363">
        <v>3</v>
      </c>
      <c r="R363">
        <v>0</v>
      </c>
      <c r="S363" t="s">
        <v>23</v>
      </c>
      <c r="T363" t="s">
        <v>38</v>
      </c>
      <c r="U363" t="str">
        <f>IF(Table1[[#This Row],[YearsSince
LastPromotion]]&gt; 4, "Delayed", "Normal")</f>
        <v>Normal</v>
      </c>
      <c r="V363" t="str">
        <f>IF(Table1[[#This Row],[Years
InCurrentRole]]&gt;4, "Role Stagnent", "Normal")</f>
        <v>Normal</v>
      </c>
      <c r="W363" t="str">
        <f>IF(AND(Table1[[#This Row],[Years
InCurrentRole]]&gt; 4, Table1[[#This Row],[Performance
Rating]]&gt;=3), "High Risk", "Normal")</f>
        <v>Normal</v>
      </c>
      <c r="X363" t="str">
        <f>IF(Table1[[#This Row],[Performance
Rating]]&gt;=4, "High Performer", "Low Performer")</f>
        <v>Low Performer</v>
      </c>
    </row>
    <row r="364" spans="2:24" x14ac:dyDescent="0.3">
      <c r="B364" t="s">
        <v>19</v>
      </c>
      <c r="C364" t="s">
        <v>20</v>
      </c>
      <c r="D364">
        <v>1</v>
      </c>
      <c r="E364" t="s">
        <v>28</v>
      </c>
      <c r="F364">
        <v>2</v>
      </c>
      <c r="G364" t="s">
        <v>32</v>
      </c>
      <c r="H364">
        <v>4</v>
      </c>
      <c r="I364">
        <v>7457</v>
      </c>
      <c r="J364">
        <v>22</v>
      </c>
      <c r="K364">
        <v>4</v>
      </c>
      <c r="L364">
        <v>3</v>
      </c>
      <c r="M364">
        <v>6</v>
      </c>
      <c r="N364">
        <v>2</v>
      </c>
      <c r="O364">
        <v>2</v>
      </c>
      <c r="P364">
        <v>4</v>
      </c>
      <c r="Q364">
        <v>3</v>
      </c>
      <c r="R364">
        <v>0</v>
      </c>
      <c r="S364" t="s">
        <v>23</v>
      </c>
      <c r="T364" t="s">
        <v>38</v>
      </c>
      <c r="U364" t="str">
        <f>IF(Table1[[#This Row],[YearsSince
LastPromotion]]&gt; 4, "Delayed", "Normal")</f>
        <v>Normal</v>
      </c>
      <c r="V364" t="str">
        <f>IF(Table1[[#This Row],[Years
InCurrentRole]]&gt;4, "Role Stagnent", "Normal")</f>
        <v>Normal</v>
      </c>
      <c r="W364" t="str">
        <f>IF(AND(Table1[[#This Row],[Years
InCurrentRole]]&gt; 4, Table1[[#This Row],[Performance
Rating]]&gt;=3), "High Risk", "Normal")</f>
        <v>Normal</v>
      </c>
      <c r="X364" t="str">
        <f>IF(Table1[[#This Row],[Performance
Rating]]&gt;=4, "High Performer", "Low Performer")</f>
        <v>High Performer</v>
      </c>
    </row>
    <row r="365" spans="2:24" x14ac:dyDescent="0.3">
      <c r="B365" t="s">
        <v>19</v>
      </c>
      <c r="C365" t="s">
        <v>25</v>
      </c>
      <c r="D365">
        <v>1</v>
      </c>
      <c r="E365" t="s">
        <v>28</v>
      </c>
      <c r="F365">
        <v>2</v>
      </c>
      <c r="G365" t="s">
        <v>33</v>
      </c>
      <c r="H365">
        <v>3</v>
      </c>
      <c r="I365">
        <v>5768</v>
      </c>
      <c r="J365">
        <v>17</v>
      </c>
      <c r="K365">
        <v>3</v>
      </c>
      <c r="L365">
        <v>3</v>
      </c>
      <c r="M365">
        <v>9</v>
      </c>
      <c r="N365">
        <v>2</v>
      </c>
      <c r="O365">
        <v>2</v>
      </c>
      <c r="P365">
        <v>4</v>
      </c>
      <c r="Q365">
        <v>3</v>
      </c>
      <c r="R365">
        <v>0</v>
      </c>
      <c r="S365" t="s">
        <v>23</v>
      </c>
      <c r="T365" t="s">
        <v>38</v>
      </c>
      <c r="U365" t="str">
        <f>IF(Table1[[#This Row],[YearsSince
LastPromotion]]&gt; 4, "Delayed", "Normal")</f>
        <v>Normal</v>
      </c>
      <c r="V365" t="str">
        <f>IF(Table1[[#This Row],[Years
InCurrentRole]]&gt;4, "Role Stagnent", "Normal")</f>
        <v>Normal</v>
      </c>
      <c r="W365" t="str">
        <f>IF(AND(Table1[[#This Row],[Years
InCurrentRole]]&gt; 4, Table1[[#This Row],[Performance
Rating]]&gt;=3), "High Risk", "Normal")</f>
        <v>Normal</v>
      </c>
      <c r="X365" t="str">
        <f>IF(Table1[[#This Row],[Performance
Rating]]&gt;=4, "High Performer", "Low Performer")</f>
        <v>Low Performer</v>
      </c>
    </row>
    <row r="366" spans="2:24" x14ac:dyDescent="0.3">
      <c r="B366" t="s">
        <v>27</v>
      </c>
      <c r="C366" t="s">
        <v>25</v>
      </c>
      <c r="D366">
        <v>1</v>
      </c>
      <c r="E366" t="s">
        <v>28</v>
      </c>
      <c r="F366">
        <v>1</v>
      </c>
      <c r="G366" t="s">
        <v>26</v>
      </c>
      <c r="H366">
        <v>4</v>
      </c>
      <c r="I366">
        <v>2389</v>
      </c>
      <c r="J366">
        <v>13</v>
      </c>
      <c r="K366">
        <v>3</v>
      </c>
      <c r="L366">
        <v>0</v>
      </c>
      <c r="M366">
        <v>4</v>
      </c>
      <c r="N366">
        <v>3</v>
      </c>
      <c r="O366">
        <v>2</v>
      </c>
      <c r="P366">
        <v>4</v>
      </c>
      <c r="Q366">
        <v>3</v>
      </c>
      <c r="R366">
        <v>0</v>
      </c>
      <c r="S366" t="s">
        <v>23</v>
      </c>
      <c r="T366" t="s">
        <v>38</v>
      </c>
      <c r="U366" t="str">
        <f>IF(Table1[[#This Row],[YearsSince
LastPromotion]]&gt; 4, "Delayed", "Normal")</f>
        <v>Normal</v>
      </c>
      <c r="V366" t="str">
        <f>IF(Table1[[#This Row],[Years
InCurrentRole]]&gt;4, "Role Stagnent", "Normal")</f>
        <v>Normal</v>
      </c>
      <c r="W366" t="str">
        <f>IF(AND(Table1[[#This Row],[Years
InCurrentRole]]&gt; 4, Table1[[#This Row],[Performance
Rating]]&gt;=3), "High Risk", "Normal")</f>
        <v>Normal</v>
      </c>
      <c r="X366" t="str">
        <f>IF(Table1[[#This Row],[Performance
Rating]]&gt;=4, "High Performer", "Low Performer")</f>
        <v>Low Performer</v>
      </c>
    </row>
    <row r="367" spans="2:24" x14ac:dyDescent="0.3">
      <c r="B367" t="s">
        <v>19</v>
      </c>
      <c r="C367" t="s">
        <v>20</v>
      </c>
      <c r="D367">
        <v>1</v>
      </c>
      <c r="E367" t="s">
        <v>28</v>
      </c>
      <c r="F367">
        <v>2</v>
      </c>
      <c r="G367" t="s">
        <v>32</v>
      </c>
      <c r="H367">
        <v>3</v>
      </c>
      <c r="I367">
        <v>4649</v>
      </c>
      <c r="J367">
        <v>14</v>
      </c>
      <c r="K367">
        <v>3</v>
      </c>
      <c r="L367">
        <v>1</v>
      </c>
      <c r="M367">
        <v>4</v>
      </c>
      <c r="N367">
        <v>3</v>
      </c>
      <c r="O367">
        <v>2</v>
      </c>
      <c r="P367">
        <v>4</v>
      </c>
      <c r="Q367">
        <v>3</v>
      </c>
      <c r="R367">
        <v>0</v>
      </c>
      <c r="S367" t="s">
        <v>23</v>
      </c>
      <c r="T367" t="s">
        <v>38</v>
      </c>
      <c r="U367" t="str">
        <f>IF(Table1[[#This Row],[YearsSince
LastPromotion]]&gt; 4, "Delayed", "Normal")</f>
        <v>Normal</v>
      </c>
      <c r="V367" t="str">
        <f>IF(Table1[[#This Row],[Years
InCurrentRole]]&gt;4, "Role Stagnent", "Normal")</f>
        <v>Normal</v>
      </c>
      <c r="W367" t="str">
        <f>IF(AND(Table1[[#This Row],[Years
InCurrentRole]]&gt; 4, Table1[[#This Row],[Performance
Rating]]&gt;=3), "High Risk", "Normal")</f>
        <v>Normal</v>
      </c>
      <c r="X367" t="str">
        <f>IF(Table1[[#This Row],[Performance
Rating]]&gt;=4, "High Performer", "Low Performer")</f>
        <v>Low Performer</v>
      </c>
    </row>
    <row r="368" spans="2:24" x14ac:dyDescent="0.3">
      <c r="B368" t="s">
        <v>19</v>
      </c>
      <c r="C368" t="s">
        <v>25</v>
      </c>
      <c r="D368">
        <v>1</v>
      </c>
      <c r="E368" t="s">
        <v>28</v>
      </c>
      <c r="F368">
        <v>1</v>
      </c>
      <c r="G368" t="s">
        <v>26</v>
      </c>
      <c r="H368">
        <v>1</v>
      </c>
      <c r="I368">
        <v>3424</v>
      </c>
      <c r="J368">
        <v>13</v>
      </c>
      <c r="K368">
        <v>3</v>
      </c>
      <c r="L368">
        <v>0</v>
      </c>
      <c r="M368">
        <v>6</v>
      </c>
      <c r="N368">
        <v>3</v>
      </c>
      <c r="O368">
        <v>2</v>
      </c>
      <c r="P368">
        <v>4</v>
      </c>
      <c r="Q368">
        <v>3</v>
      </c>
      <c r="R368">
        <v>0</v>
      </c>
      <c r="S368" t="s">
        <v>23</v>
      </c>
      <c r="T368" t="s">
        <v>38</v>
      </c>
      <c r="U368" t="str">
        <f>IF(Table1[[#This Row],[YearsSince
LastPromotion]]&gt; 4, "Delayed", "Normal")</f>
        <v>Normal</v>
      </c>
      <c r="V368" t="str">
        <f>IF(Table1[[#This Row],[Years
InCurrentRole]]&gt;4, "Role Stagnent", "Normal")</f>
        <v>Normal</v>
      </c>
      <c r="W368" t="str">
        <f>IF(AND(Table1[[#This Row],[Years
InCurrentRole]]&gt; 4, Table1[[#This Row],[Performance
Rating]]&gt;=3), "High Risk", "Normal")</f>
        <v>Normal</v>
      </c>
      <c r="X368" t="str">
        <f>IF(Table1[[#This Row],[Performance
Rating]]&gt;=4, "High Performer", "Low Performer")</f>
        <v>Low Performer</v>
      </c>
    </row>
    <row r="369" spans="2:24" x14ac:dyDescent="0.3">
      <c r="B369" t="s">
        <v>19</v>
      </c>
      <c r="C369" t="s">
        <v>20</v>
      </c>
      <c r="D369">
        <v>1</v>
      </c>
      <c r="E369" t="s">
        <v>28</v>
      </c>
      <c r="F369">
        <v>2</v>
      </c>
      <c r="G369" t="s">
        <v>32</v>
      </c>
      <c r="H369">
        <v>4</v>
      </c>
      <c r="I369">
        <v>9204</v>
      </c>
      <c r="J369">
        <v>12</v>
      </c>
      <c r="K369">
        <v>3</v>
      </c>
      <c r="L369">
        <v>1</v>
      </c>
      <c r="M369">
        <v>7</v>
      </c>
      <c r="N369">
        <v>3</v>
      </c>
      <c r="O369">
        <v>2</v>
      </c>
      <c r="P369">
        <v>4</v>
      </c>
      <c r="Q369">
        <v>3</v>
      </c>
      <c r="R369">
        <v>0</v>
      </c>
      <c r="S369" t="s">
        <v>23</v>
      </c>
      <c r="T369" t="s">
        <v>38</v>
      </c>
      <c r="U369" t="str">
        <f>IF(Table1[[#This Row],[YearsSince
LastPromotion]]&gt; 4, "Delayed", "Normal")</f>
        <v>Normal</v>
      </c>
      <c r="V369" t="str">
        <f>IF(Table1[[#This Row],[Years
InCurrentRole]]&gt;4, "Role Stagnent", "Normal")</f>
        <v>Normal</v>
      </c>
      <c r="W369" t="str">
        <f>IF(AND(Table1[[#This Row],[Years
InCurrentRole]]&gt; 4, Table1[[#This Row],[Performance
Rating]]&gt;=3), "High Risk", "Normal")</f>
        <v>Normal</v>
      </c>
      <c r="X369" t="str">
        <f>IF(Table1[[#This Row],[Performance
Rating]]&gt;=4, "High Performer", "Low Performer")</f>
        <v>Low Performer</v>
      </c>
    </row>
    <row r="370" spans="2:24" x14ac:dyDescent="0.3">
      <c r="B370" t="s">
        <v>19</v>
      </c>
      <c r="C370" t="s">
        <v>25</v>
      </c>
      <c r="D370">
        <v>1</v>
      </c>
      <c r="E370" t="s">
        <v>21</v>
      </c>
      <c r="F370">
        <v>2</v>
      </c>
      <c r="G370" t="s">
        <v>31</v>
      </c>
      <c r="H370">
        <v>2</v>
      </c>
      <c r="I370">
        <v>4107</v>
      </c>
      <c r="J370">
        <v>15</v>
      </c>
      <c r="K370">
        <v>3</v>
      </c>
      <c r="L370">
        <v>0</v>
      </c>
      <c r="M370">
        <v>8</v>
      </c>
      <c r="N370">
        <v>3</v>
      </c>
      <c r="O370">
        <v>2</v>
      </c>
      <c r="P370">
        <v>4</v>
      </c>
      <c r="Q370">
        <v>3</v>
      </c>
      <c r="R370">
        <v>0</v>
      </c>
      <c r="S370" t="s">
        <v>23</v>
      </c>
      <c r="T370" t="s">
        <v>38</v>
      </c>
      <c r="U370" t="str">
        <f>IF(Table1[[#This Row],[YearsSince
LastPromotion]]&gt; 4, "Delayed", "Normal")</f>
        <v>Normal</v>
      </c>
      <c r="V370" t="str">
        <f>IF(Table1[[#This Row],[Years
InCurrentRole]]&gt;4, "Role Stagnent", "Normal")</f>
        <v>Normal</v>
      </c>
      <c r="W370" t="str">
        <f>IF(AND(Table1[[#This Row],[Years
InCurrentRole]]&gt; 4, Table1[[#This Row],[Performance
Rating]]&gt;=3), "High Risk", "Normal")</f>
        <v>Normal</v>
      </c>
      <c r="X370" t="str">
        <f>IF(Table1[[#This Row],[Performance
Rating]]&gt;=4, "High Performer", "Low Performer")</f>
        <v>Low Performer</v>
      </c>
    </row>
    <row r="371" spans="2:24" x14ac:dyDescent="0.3">
      <c r="B371" t="s">
        <v>19</v>
      </c>
      <c r="C371" t="s">
        <v>25</v>
      </c>
      <c r="D371">
        <v>1</v>
      </c>
      <c r="E371" t="s">
        <v>21</v>
      </c>
      <c r="F371">
        <v>2</v>
      </c>
      <c r="G371" t="s">
        <v>26</v>
      </c>
      <c r="H371">
        <v>3</v>
      </c>
      <c r="I371">
        <v>4869</v>
      </c>
      <c r="J371">
        <v>12</v>
      </c>
      <c r="K371">
        <v>3</v>
      </c>
      <c r="L371">
        <v>0</v>
      </c>
      <c r="M371">
        <v>20</v>
      </c>
      <c r="N371">
        <v>4</v>
      </c>
      <c r="O371">
        <v>2</v>
      </c>
      <c r="P371">
        <v>4</v>
      </c>
      <c r="Q371">
        <v>3</v>
      </c>
      <c r="R371">
        <v>0</v>
      </c>
      <c r="S371" t="s">
        <v>23</v>
      </c>
      <c r="T371" t="s">
        <v>38</v>
      </c>
      <c r="U371" t="str">
        <f>IF(Table1[[#This Row],[YearsSince
LastPromotion]]&gt; 4, "Delayed", "Normal")</f>
        <v>Normal</v>
      </c>
      <c r="V371" t="str">
        <f>IF(Table1[[#This Row],[Years
InCurrentRole]]&gt;4, "Role Stagnent", "Normal")</f>
        <v>Normal</v>
      </c>
      <c r="W371" t="str">
        <f>IF(AND(Table1[[#This Row],[Years
InCurrentRole]]&gt; 4, Table1[[#This Row],[Performance
Rating]]&gt;=3), "High Risk", "Normal")</f>
        <v>Normal</v>
      </c>
      <c r="X371" t="str">
        <f>IF(Table1[[#This Row],[Performance
Rating]]&gt;=4, "High Performer", "Low Performer")</f>
        <v>Low Performer</v>
      </c>
    </row>
    <row r="372" spans="2:24" x14ac:dyDescent="0.3">
      <c r="B372" t="s">
        <v>27</v>
      </c>
      <c r="C372" t="s">
        <v>20</v>
      </c>
      <c r="D372">
        <v>1</v>
      </c>
      <c r="E372" t="s">
        <v>21</v>
      </c>
      <c r="F372">
        <v>1</v>
      </c>
      <c r="G372" t="s">
        <v>30</v>
      </c>
      <c r="H372">
        <v>2</v>
      </c>
      <c r="I372">
        <v>3140</v>
      </c>
      <c r="J372">
        <v>22</v>
      </c>
      <c r="K372">
        <v>4</v>
      </c>
      <c r="L372">
        <v>0</v>
      </c>
      <c r="M372">
        <v>4</v>
      </c>
      <c r="N372">
        <v>5</v>
      </c>
      <c r="O372">
        <v>2</v>
      </c>
      <c r="P372">
        <v>4</v>
      </c>
      <c r="Q372">
        <v>3</v>
      </c>
      <c r="R372">
        <v>0</v>
      </c>
      <c r="S372" t="s">
        <v>23</v>
      </c>
      <c r="T372" t="s">
        <v>38</v>
      </c>
      <c r="U372" t="str">
        <f>IF(Table1[[#This Row],[YearsSince
LastPromotion]]&gt; 4, "Delayed", "Normal")</f>
        <v>Normal</v>
      </c>
      <c r="V372" t="str">
        <f>IF(Table1[[#This Row],[Years
InCurrentRole]]&gt;4, "Role Stagnent", "Normal")</f>
        <v>Normal</v>
      </c>
      <c r="W372" t="str">
        <f>IF(AND(Table1[[#This Row],[Years
InCurrentRole]]&gt; 4, Table1[[#This Row],[Performance
Rating]]&gt;=3), "High Risk", "Normal")</f>
        <v>Normal</v>
      </c>
      <c r="X372" t="str">
        <f>IF(Table1[[#This Row],[Performance
Rating]]&gt;=4, "High Performer", "Low Performer")</f>
        <v>High Performer</v>
      </c>
    </row>
    <row r="373" spans="2:24" x14ac:dyDescent="0.3">
      <c r="B373" t="s">
        <v>19</v>
      </c>
      <c r="C373" t="s">
        <v>25</v>
      </c>
      <c r="D373">
        <v>1</v>
      </c>
      <c r="E373" t="s">
        <v>21</v>
      </c>
      <c r="F373">
        <v>1</v>
      </c>
      <c r="G373" t="s">
        <v>29</v>
      </c>
      <c r="H373">
        <v>1</v>
      </c>
      <c r="I373">
        <v>3377</v>
      </c>
      <c r="J373">
        <v>17</v>
      </c>
      <c r="K373">
        <v>3</v>
      </c>
      <c r="L373">
        <v>1</v>
      </c>
      <c r="M373">
        <v>7</v>
      </c>
      <c r="N373">
        <v>5</v>
      </c>
      <c r="O373">
        <v>2</v>
      </c>
      <c r="P373">
        <v>4</v>
      </c>
      <c r="Q373">
        <v>3</v>
      </c>
      <c r="R373">
        <v>0</v>
      </c>
      <c r="S373" t="s">
        <v>23</v>
      </c>
      <c r="T373" t="s">
        <v>38</v>
      </c>
      <c r="U373" t="str">
        <f>IF(Table1[[#This Row],[YearsSince
LastPromotion]]&gt; 4, "Delayed", "Normal")</f>
        <v>Normal</v>
      </c>
      <c r="V373" t="str">
        <f>IF(Table1[[#This Row],[Years
InCurrentRole]]&gt;4, "Role Stagnent", "Normal")</f>
        <v>Normal</v>
      </c>
      <c r="W373" t="str">
        <f>IF(AND(Table1[[#This Row],[Years
InCurrentRole]]&gt; 4, Table1[[#This Row],[Performance
Rating]]&gt;=3), "High Risk", "Normal")</f>
        <v>Normal</v>
      </c>
      <c r="X373" t="str">
        <f>IF(Table1[[#This Row],[Performance
Rating]]&gt;=4, "High Performer", "Low Performer")</f>
        <v>Low Performer</v>
      </c>
    </row>
    <row r="374" spans="2:24" x14ac:dyDescent="0.3">
      <c r="B374" t="s">
        <v>19</v>
      </c>
      <c r="C374" t="s">
        <v>25</v>
      </c>
      <c r="D374">
        <v>1</v>
      </c>
      <c r="E374" t="s">
        <v>21</v>
      </c>
      <c r="F374">
        <v>2</v>
      </c>
      <c r="G374" t="s">
        <v>33</v>
      </c>
      <c r="H374">
        <v>1</v>
      </c>
      <c r="I374">
        <v>4148</v>
      </c>
      <c r="J374">
        <v>12</v>
      </c>
      <c r="K374">
        <v>3</v>
      </c>
      <c r="L374">
        <v>1</v>
      </c>
      <c r="M374">
        <v>4</v>
      </c>
      <c r="N374">
        <v>1</v>
      </c>
      <c r="O374">
        <v>3</v>
      </c>
      <c r="P374">
        <v>4</v>
      </c>
      <c r="Q374">
        <v>3</v>
      </c>
      <c r="R374">
        <v>0</v>
      </c>
      <c r="S374" t="s">
        <v>34</v>
      </c>
      <c r="T374" t="s">
        <v>38</v>
      </c>
      <c r="U374" t="str">
        <f>IF(Table1[[#This Row],[YearsSince
LastPromotion]]&gt; 4, "Delayed", "Normal")</f>
        <v>Normal</v>
      </c>
      <c r="V374" t="str">
        <f>IF(Table1[[#This Row],[Years
InCurrentRole]]&gt;4, "Role Stagnent", "Normal")</f>
        <v>Normal</v>
      </c>
      <c r="W374" t="str">
        <f>IF(AND(Table1[[#This Row],[Years
InCurrentRole]]&gt; 4, Table1[[#This Row],[Performance
Rating]]&gt;=3), "High Risk", "Normal")</f>
        <v>Normal</v>
      </c>
      <c r="X374" t="str">
        <f>IF(Table1[[#This Row],[Performance
Rating]]&gt;=4, "High Performer", "Low Performer")</f>
        <v>Low Performer</v>
      </c>
    </row>
    <row r="375" spans="2:24" x14ac:dyDescent="0.3">
      <c r="B375" t="s">
        <v>19</v>
      </c>
      <c r="C375" t="s">
        <v>20</v>
      </c>
      <c r="D375">
        <v>1</v>
      </c>
      <c r="E375" t="s">
        <v>28</v>
      </c>
      <c r="F375">
        <v>2</v>
      </c>
      <c r="G375" t="s">
        <v>32</v>
      </c>
      <c r="H375">
        <v>1</v>
      </c>
      <c r="I375">
        <v>4373</v>
      </c>
      <c r="J375">
        <v>14</v>
      </c>
      <c r="K375">
        <v>3</v>
      </c>
      <c r="L375">
        <v>2</v>
      </c>
      <c r="M375">
        <v>5</v>
      </c>
      <c r="N375">
        <v>2</v>
      </c>
      <c r="O375">
        <v>3</v>
      </c>
      <c r="P375">
        <v>4</v>
      </c>
      <c r="Q375">
        <v>3</v>
      </c>
      <c r="R375">
        <v>0</v>
      </c>
      <c r="S375" t="s">
        <v>34</v>
      </c>
      <c r="T375" t="s">
        <v>38</v>
      </c>
      <c r="U375" t="str">
        <f>IF(Table1[[#This Row],[YearsSince
LastPromotion]]&gt; 4, "Delayed", "Normal")</f>
        <v>Normal</v>
      </c>
      <c r="V375" t="str">
        <f>IF(Table1[[#This Row],[Years
InCurrentRole]]&gt;4, "Role Stagnent", "Normal")</f>
        <v>Normal</v>
      </c>
      <c r="W375" t="str">
        <f>IF(AND(Table1[[#This Row],[Years
InCurrentRole]]&gt; 4, Table1[[#This Row],[Performance
Rating]]&gt;=3), "High Risk", "Normal")</f>
        <v>Normal</v>
      </c>
      <c r="X375" t="str">
        <f>IF(Table1[[#This Row],[Performance
Rating]]&gt;=4, "High Performer", "Low Performer")</f>
        <v>Low Performer</v>
      </c>
    </row>
    <row r="376" spans="2:24" x14ac:dyDescent="0.3">
      <c r="B376" t="s">
        <v>19</v>
      </c>
      <c r="C376" t="s">
        <v>25</v>
      </c>
      <c r="D376">
        <v>1</v>
      </c>
      <c r="E376" t="s">
        <v>28</v>
      </c>
      <c r="F376">
        <v>2</v>
      </c>
      <c r="G376" t="s">
        <v>29</v>
      </c>
      <c r="H376">
        <v>2</v>
      </c>
      <c r="I376">
        <v>4025</v>
      </c>
      <c r="J376">
        <v>13</v>
      </c>
      <c r="K376">
        <v>3</v>
      </c>
      <c r="L376">
        <v>1</v>
      </c>
      <c r="M376">
        <v>10</v>
      </c>
      <c r="N376">
        <v>2</v>
      </c>
      <c r="O376">
        <v>3</v>
      </c>
      <c r="P376">
        <v>4</v>
      </c>
      <c r="Q376">
        <v>3</v>
      </c>
      <c r="R376">
        <v>0</v>
      </c>
      <c r="S376" t="s">
        <v>34</v>
      </c>
      <c r="T376" t="s">
        <v>38</v>
      </c>
      <c r="U376" t="str">
        <f>IF(Table1[[#This Row],[YearsSince
LastPromotion]]&gt; 4, "Delayed", "Normal")</f>
        <v>Normal</v>
      </c>
      <c r="V376" t="str">
        <f>IF(Table1[[#This Row],[Years
InCurrentRole]]&gt;4, "Role Stagnent", "Normal")</f>
        <v>Normal</v>
      </c>
      <c r="W376" t="str">
        <f>IF(AND(Table1[[#This Row],[Years
InCurrentRole]]&gt; 4, Table1[[#This Row],[Performance
Rating]]&gt;=3), "High Risk", "Normal")</f>
        <v>Normal</v>
      </c>
      <c r="X376" t="str">
        <f>IF(Table1[[#This Row],[Performance
Rating]]&gt;=4, "High Performer", "Low Performer")</f>
        <v>Low Performer</v>
      </c>
    </row>
    <row r="377" spans="2:24" x14ac:dyDescent="0.3">
      <c r="B377" t="s">
        <v>27</v>
      </c>
      <c r="C377" t="s">
        <v>20</v>
      </c>
      <c r="D377">
        <v>1</v>
      </c>
      <c r="E377" t="s">
        <v>28</v>
      </c>
      <c r="F377">
        <v>1</v>
      </c>
      <c r="G377" t="s">
        <v>30</v>
      </c>
      <c r="H377">
        <v>1</v>
      </c>
      <c r="I377">
        <v>3041</v>
      </c>
      <c r="J377">
        <v>11</v>
      </c>
      <c r="K377">
        <v>3</v>
      </c>
      <c r="L377">
        <v>1</v>
      </c>
      <c r="M377">
        <v>5</v>
      </c>
      <c r="N377">
        <v>3</v>
      </c>
      <c r="O377">
        <v>3</v>
      </c>
      <c r="P377">
        <v>4</v>
      </c>
      <c r="Q377">
        <v>3</v>
      </c>
      <c r="R377">
        <v>0</v>
      </c>
      <c r="S377" t="s">
        <v>34</v>
      </c>
      <c r="T377" t="s">
        <v>38</v>
      </c>
      <c r="U377" t="str">
        <f>IF(Table1[[#This Row],[YearsSince
LastPromotion]]&gt; 4, "Delayed", "Normal")</f>
        <v>Normal</v>
      </c>
      <c r="V377" t="str">
        <f>IF(Table1[[#This Row],[Years
InCurrentRole]]&gt;4, "Role Stagnent", "Normal")</f>
        <v>Normal</v>
      </c>
      <c r="W377" t="str">
        <f>IF(AND(Table1[[#This Row],[Years
InCurrentRole]]&gt; 4, Table1[[#This Row],[Performance
Rating]]&gt;=3), "High Risk", "Normal")</f>
        <v>Normal</v>
      </c>
      <c r="X377" t="str">
        <f>IF(Table1[[#This Row],[Performance
Rating]]&gt;=4, "High Performer", "Low Performer")</f>
        <v>Low Performer</v>
      </c>
    </row>
    <row r="378" spans="2:24" x14ac:dyDescent="0.3">
      <c r="B378" t="s">
        <v>19</v>
      </c>
      <c r="C378" t="s">
        <v>20</v>
      </c>
      <c r="D378">
        <v>1</v>
      </c>
      <c r="E378" t="s">
        <v>28</v>
      </c>
      <c r="F378">
        <v>2</v>
      </c>
      <c r="G378" t="s">
        <v>32</v>
      </c>
      <c r="H378">
        <v>1</v>
      </c>
      <c r="I378">
        <v>4115</v>
      </c>
      <c r="J378">
        <v>19</v>
      </c>
      <c r="K378">
        <v>3</v>
      </c>
      <c r="L378">
        <v>3</v>
      </c>
      <c r="M378">
        <v>8</v>
      </c>
      <c r="N378">
        <v>3</v>
      </c>
      <c r="O378">
        <v>3</v>
      </c>
      <c r="P378">
        <v>4</v>
      </c>
      <c r="Q378">
        <v>3</v>
      </c>
      <c r="R378">
        <v>0</v>
      </c>
      <c r="S378" t="s">
        <v>34</v>
      </c>
      <c r="T378" t="s">
        <v>38</v>
      </c>
      <c r="U378" t="str">
        <f>IF(Table1[[#This Row],[YearsSince
LastPromotion]]&gt; 4, "Delayed", "Normal")</f>
        <v>Normal</v>
      </c>
      <c r="V378" t="str">
        <f>IF(Table1[[#This Row],[Years
InCurrentRole]]&gt;4, "Role Stagnent", "Normal")</f>
        <v>Normal</v>
      </c>
      <c r="W378" t="str">
        <f>IF(AND(Table1[[#This Row],[Years
InCurrentRole]]&gt; 4, Table1[[#This Row],[Performance
Rating]]&gt;=3), "High Risk", "Normal")</f>
        <v>Normal</v>
      </c>
      <c r="X378" t="str">
        <f>IF(Table1[[#This Row],[Performance
Rating]]&gt;=4, "High Performer", "Low Performer")</f>
        <v>Low Performer</v>
      </c>
    </row>
    <row r="379" spans="2:24" x14ac:dyDescent="0.3">
      <c r="B379" t="s">
        <v>19</v>
      </c>
      <c r="C379" t="s">
        <v>25</v>
      </c>
      <c r="D379">
        <v>1</v>
      </c>
      <c r="E379" t="s">
        <v>28</v>
      </c>
      <c r="F379">
        <v>4</v>
      </c>
      <c r="G379" t="s">
        <v>35</v>
      </c>
      <c r="H379">
        <v>3</v>
      </c>
      <c r="I379">
        <v>17639</v>
      </c>
      <c r="J379">
        <v>16</v>
      </c>
      <c r="K379">
        <v>3</v>
      </c>
      <c r="L379">
        <v>0</v>
      </c>
      <c r="M379">
        <v>30</v>
      </c>
      <c r="N379">
        <v>3</v>
      </c>
      <c r="O379">
        <v>3</v>
      </c>
      <c r="P379">
        <v>4</v>
      </c>
      <c r="Q379">
        <v>3</v>
      </c>
      <c r="R379">
        <v>0</v>
      </c>
      <c r="S379" t="s">
        <v>34</v>
      </c>
      <c r="T379" t="s">
        <v>38</v>
      </c>
      <c r="U379" t="str">
        <f>IF(Table1[[#This Row],[YearsSince
LastPromotion]]&gt; 4, "Delayed", "Normal")</f>
        <v>Normal</v>
      </c>
      <c r="V379" t="str">
        <f>IF(Table1[[#This Row],[Years
InCurrentRole]]&gt;4, "Role Stagnent", "Normal")</f>
        <v>Normal</v>
      </c>
      <c r="W379" t="str">
        <f>IF(AND(Table1[[#This Row],[Years
InCurrentRole]]&gt; 4, Table1[[#This Row],[Performance
Rating]]&gt;=3), "High Risk", "Normal")</f>
        <v>Normal</v>
      </c>
      <c r="X379" t="str">
        <f>IF(Table1[[#This Row],[Performance
Rating]]&gt;=4, "High Performer", "Low Performer")</f>
        <v>Low Performer</v>
      </c>
    </row>
    <row r="380" spans="2:24" x14ac:dyDescent="0.3">
      <c r="B380" t="s">
        <v>19</v>
      </c>
      <c r="C380" t="s">
        <v>25</v>
      </c>
      <c r="D380">
        <v>1</v>
      </c>
      <c r="E380" t="s">
        <v>21</v>
      </c>
      <c r="F380">
        <v>2</v>
      </c>
      <c r="G380" t="s">
        <v>33</v>
      </c>
      <c r="H380">
        <v>4</v>
      </c>
      <c r="I380">
        <v>6062</v>
      </c>
      <c r="J380">
        <v>13</v>
      </c>
      <c r="K380">
        <v>3</v>
      </c>
      <c r="L380">
        <v>1</v>
      </c>
      <c r="M380">
        <v>8</v>
      </c>
      <c r="N380">
        <v>4</v>
      </c>
      <c r="O380">
        <v>3</v>
      </c>
      <c r="P380">
        <v>4</v>
      </c>
      <c r="Q380">
        <v>3</v>
      </c>
      <c r="R380">
        <v>0</v>
      </c>
      <c r="S380" t="s">
        <v>34</v>
      </c>
      <c r="T380" t="s">
        <v>38</v>
      </c>
      <c r="U380" t="str">
        <f>IF(Table1[[#This Row],[YearsSince
LastPromotion]]&gt; 4, "Delayed", "Normal")</f>
        <v>Normal</v>
      </c>
      <c r="V380" t="str">
        <f>IF(Table1[[#This Row],[Years
InCurrentRole]]&gt;4, "Role Stagnent", "Normal")</f>
        <v>Normal</v>
      </c>
      <c r="W380" t="str">
        <f>IF(AND(Table1[[#This Row],[Years
InCurrentRole]]&gt; 4, Table1[[#This Row],[Performance
Rating]]&gt;=3), "High Risk", "Normal")</f>
        <v>Normal</v>
      </c>
      <c r="X380" t="str">
        <f>IF(Table1[[#This Row],[Performance
Rating]]&gt;=4, "High Performer", "Low Performer")</f>
        <v>Low Performer</v>
      </c>
    </row>
    <row r="381" spans="2:24" x14ac:dyDescent="0.3">
      <c r="B381" t="s">
        <v>19</v>
      </c>
      <c r="C381" t="s">
        <v>25</v>
      </c>
      <c r="D381">
        <v>1</v>
      </c>
      <c r="E381" t="s">
        <v>21</v>
      </c>
      <c r="F381">
        <v>1</v>
      </c>
      <c r="G381" t="s">
        <v>29</v>
      </c>
      <c r="H381">
        <v>4</v>
      </c>
      <c r="I381">
        <v>2532</v>
      </c>
      <c r="J381">
        <v>14</v>
      </c>
      <c r="K381">
        <v>3</v>
      </c>
      <c r="L381">
        <v>3</v>
      </c>
      <c r="M381">
        <v>8</v>
      </c>
      <c r="N381">
        <v>5</v>
      </c>
      <c r="O381">
        <v>3</v>
      </c>
      <c r="P381">
        <v>4</v>
      </c>
      <c r="Q381">
        <v>3</v>
      </c>
      <c r="R381">
        <v>0</v>
      </c>
      <c r="S381" t="s">
        <v>34</v>
      </c>
      <c r="T381" t="s">
        <v>38</v>
      </c>
      <c r="U381" t="str">
        <f>IF(Table1[[#This Row],[YearsSince
LastPromotion]]&gt; 4, "Delayed", "Normal")</f>
        <v>Normal</v>
      </c>
      <c r="V381" t="str">
        <f>IF(Table1[[#This Row],[Years
InCurrentRole]]&gt;4, "Role Stagnent", "Normal")</f>
        <v>Normal</v>
      </c>
      <c r="W381" t="str">
        <f>IF(AND(Table1[[#This Row],[Years
InCurrentRole]]&gt; 4, Table1[[#This Row],[Performance
Rating]]&gt;=3), "High Risk", "Normal")</f>
        <v>Normal</v>
      </c>
      <c r="X381" t="str">
        <f>IF(Table1[[#This Row],[Performance
Rating]]&gt;=4, "High Performer", "Low Performer")</f>
        <v>Low Performer</v>
      </c>
    </row>
    <row r="382" spans="2:24" x14ac:dyDescent="0.3">
      <c r="B382" t="s">
        <v>19</v>
      </c>
      <c r="C382" t="s">
        <v>25</v>
      </c>
      <c r="D382">
        <v>1</v>
      </c>
      <c r="E382" t="s">
        <v>28</v>
      </c>
      <c r="F382">
        <v>1</v>
      </c>
      <c r="G382" t="s">
        <v>29</v>
      </c>
      <c r="H382">
        <v>1</v>
      </c>
      <c r="I382">
        <v>2500</v>
      </c>
      <c r="J382">
        <v>14</v>
      </c>
      <c r="K382">
        <v>3</v>
      </c>
      <c r="L382">
        <v>1</v>
      </c>
      <c r="M382">
        <v>5</v>
      </c>
      <c r="N382">
        <v>2</v>
      </c>
      <c r="O382">
        <v>4</v>
      </c>
      <c r="P382">
        <v>4</v>
      </c>
      <c r="Q382">
        <v>3</v>
      </c>
      <c r="R382">
        <v>0</v>
      </c>
      <c r="S382" t="s">
        <v>34</v>
      </c>
      <c r="T382" t="s">
        <v>38</v>
      </c>
      <c r="U382" t="str">
        <f>IF(Table1[[#This Row],[YearsSince
LastPromotion]]&gt; 4, "Delayed", "Normal")</f>
        <v>Normal</v>
      </c>
      <c r="V382" t="str">
        <f>IF(Table1[[#This Row],[Years
InCurrentRole]]&gt;4, "Role Stagnent", "Normal")</f>
        <v>Normal</v>
      </c>
      <c r="W382" t="str">
        <f>IF(AND(Table1[[#This Row],[Years
InCurrentRole]]&gt; 4, Table1[[#This Row],[Performance
Rating]]&gt;=3), "High Risk", "Normal")</f>
        <v>Normal</v>
      </c>
      <c r="X382" t="str">
        <f>IF(Table1[[#This Row],[Performance
Rating]]&gt;=4, "High Performer", "Low Performer")</f>
        <v>Low Performer</v>
      </c>
    </row>
    <row r="383" spans="2:24" x14ac:dyDescent="0.3">
      <c r="B383" t="s">
        <v>19</v>
      </c>
      <c r="C383" t="s">
        <v>36</v>
      </c>
      <c r="D383">
        <v>1</v>
      </c>
      <c r="E383" t="s">
        <v>28</v>
      </c>
      <c r="F383">
        <v>2</v>
      </c>
      <c r="G383" t="s">
        <v>36</v>
      </c>
      <c r="H383">
        <v>1</v>
      </c>
      <c r="I383">
        <v>6272</v>
      </c>
      <c r="J383">
        <v>16</v>
      </c>
      <c r="K383">
        <v>3</v>
      </c>
      <c r="L383">
        <v>1</v>
      </c>
      <c r="M383">
        <v>10</v>
      </c>
      <c r="N383">
        <v>3</v>
      </c>
      <c r="O383">
        <v>4</v>
      </c>
      <c r="P383">
        <v>4</v>
      </c>
      <c r="Q383">
        <v>3</v>
      </c>
      <c r="R383">
        <v>0</v>
      </c>
      <c r="S383" t="s">
        <v>34</v>
      </c>
      <c r="T383" t="s">
        <v>38</v>
      </c>
      <c r="U383" t="str">
        <f>IF(Table1[[#This Row],[YearsSince
LastPromotion]]&gt; 4, "Delayed", "Normal")</f>
        <v>Normal</v>
      </c>
      <c r="V383" t="str">
        <f>IF(Table1[[#This Row],[Years
InCurrentRole]]&gt;4, "Role Stagnent", "Normal")</f>
        <v>Normal</v>
      </c>
      <c r="W383" t="str">
        <f>IF(AND(Table1[[#This Row],[Years
InCurrentRole]]&gt; 4, Table1[[#This Row],[Performance
Rating]]&gt;=3), "High Risk", "Normal")</f>
        <v>Normal</v>
      </c>
      <c r="X383" t="str">
        <f>IF(Table1[[#This Row],[Performance
Rating]]&gt;=4, "High Performer", "Low Performer")</f>
        <v>Low Performer</v>
      </c>
    </row>
    <row r="384" spans="2:24" x14ac:dyDescent="0.3">
      <c r="B384" t="s">
        <v>19</v>
      </c>
      <c r="C384" t="s">
        <v>36</v>
      </c>
      <c r="D384">
        <v>1</v>
      </c>
      <c r="E384" t="s">
        <v>28</v>
      </c>
      <c r="F384">
        <v>1</v>
      </c>
      <c r="G384" t="s">
        <v>36</v>
      </c>
      <c r="H384">
        <v>2</v>
      </c>
      <c r="I384">
        <v>2277</v>
      </c>
      <c r="J384">
        <v>11</v>
      </c>
      <c r="K384">
        <v>3</v>
      </c>
      <c r="L384">
        <v>1</v>
      </c>
      <c r="M384">
        <v>7</v>
      </c>
      <c r="N384">
        <v>4</v>
      </c>
      <c r="O384">
        <v>4</v>
      </c>
      <c r="P384">
        <v>4</v>
      </c>
      <c r="Q384">
        <v>3</v>
      </c>
      <c r="R384">
        <v>0</v>
      </c>
      <c r="S384" t="s">
        <v>34</v>
      </c>
      <c r="T384" t="s">
        <v>38</v>
      </c>
      <c r="U384" t="str">
        <f>IF(Table1[[#This Row],[YearsSince
LastPromotion]]&gt; 4, "Delayed", "Normal")</f>
        <v>Normal</v>
      </c>
      <c r="V384" t="str">
        <f>IF(Table1[[#This Row],[Years
InCurrentRole]]&gt;4, "Role Stagnent", "Normal")</f>
        <v>Normal</v>
      </c>
      <c r="W384" t="str">
        <f>IF(AND(Table1[[#This Row],[Years
InCurrentRole]]&gt; 4, Table1[[#This Row],[Performance
Rating]]&gt;=3), "High Risk", "Normal")</f>
        <v>Normal</v>
      </c>
      <c r="X384" t="str">
        <f>IF(Table1[[#This Row],[Performance
Rating]]&gt;=4, "High Performer", "Low Performer")</f>
        <v>Low Performer</v>
      </c>
    </row>
    <row r="385" spans="2:24" x14ac:dyDescent="0.3">
      <c r="B385" t="s">
        <v>19</v>
      </c>
      <c r="C385" t="s">
        <v>25</v>
      </c>
      <c r="D385">
        <v>1</v>
      </c>
      <c r="E385" t="s">
        <v>28</v>
      </c>
      <c r="F385">
        <v>1</v>
      </c>
      <c r="G385" t="s">
        <v>26</v>
      </c>
      <c r="H385">
        <v>2</v>
      </c>
      <c r="I385">
        <v>3201</v>
      </c>
      <c r="J385">
        <v>17</v>
      </c>
      <c r="K385">
        <v>3</v>
      </c>
      <c r="L385">
        <v>0</v>
      </c>
      <c r="M385">
        <v>6</v>
      </c>
      <c r="N385">
        <v>2</v>
      </c>
      <c r="O385">
        <v>1</v>
      </c>
      <c r="P385">
        <v>5</v>
      </c>
      <c r="Q385">
        <v>3</v>
      </c>
      <c r="R385">
        <v>0</v>
      </c>
      <c r="S385" t="s">
        <v>23</v>
      </c>
      <c r="T385" t="s">
        <v>37</v>
      </c>
      <c r="U385" t="str">
        <f>IF(Table1[[#This Row],[YearsSince
LastPromotion]]&gt; 4, "Delayed", "Normal")</f>
        <v>Normal</v>
      </c>
      <c r="V385" t="str">
        <f>IF(Table1[[#This Row],[Years
InCurrentRole]]&gt;4, "Role Stagnent", "Normal")</f>
        <v>Normal</v>
      </c>
      <c r="W385" t="str">
        <f>IF(AND(Table1[[#This Row],[Years
InCurrentRole]]&gt; 4, Table1[[#This Row],[Performance
Rating]]&gt;=3), "High Risk", "Normal")</f>
        <v>Normal</v>
      </c>
      <c r="X385" t="str">
        <f>IF(Table1[[#This Row],[Performance
Rating]]&gt;=4, "High Performer", "Low Performer")</f>
        <v>Low Performer</v>
      </c>
    </row>
    <row r="386" spans="2:24" x14ac:dyDescent="0.3">
      <c r="B386" t="s">
        <v>19</v>
      </c>
      <c r="C386" t="s">
        <v>20</v>
      </c>
      <c r="D386">
        <v>1</v>
      </c>
      <c r="E386" t="s">
        <v>28</v>
      </c>
      <c r="F386">
        <v>2</v>
      </c>
      <c r="G386" t="s">
        <v>32</v>
      </c>
      <c r="H386">
        <v>1</v>
      </c>
      <c r="I386">
        <v>5561</v>
      </c>
      <c r="J386">
        <v>16</v>
      </c>
      <c r="K386">
        <v>3</v>
      </c>
      <c r="L386">
        <v>1</v>
      </c>
      <c r="M386">
        <v>6</v>
      </c>
      <c r="N386">
        <v>2</v>
      </c>
      <c r="O386">
        <v>1</v>
      </c>
      <c r="P386">
        <v>5</v>
      </c>
      <c r="Q386">
        <v>3</v>
      </c>
      <c r="R386">
        <v>0</v>
      </c>
      <c r="S386" t="s">
        <v>23</v>
      </c>
      <c r="T386" t="s">
        <v>37</v>
      </c>
      <c r="U386" t="str">
        <f>IF(Table1[[#This Row],[YearsSince
LastPromotion]]&gt; 4, "Delayed", "Normal")</f>
        <v>Normal</v>
      </c>
      <c r="V386" t="str">
        <f>IF(Table1[[#This Row],[Years
InCurrentRole]]&gt;4, "Role Stagnent", "Normal")</f>
        <v>Normal</v>
      </c>
      <c r="W386" t="str">
        <f>IF(AND(Table1[[#This Row],[Years
InCurrentRole]]&gt; 4, Table1[[#This Row],[Performance
Rating]]&gt;=3), "High Risk", "Normal")</f>
        <v>Normal</v>
      </c>
      <c r="X386" t="str">
        <f>IF(Table1[[#This Row],[Performance
Rating]]&gt;=4, "High Performer", "Low Performer")</f>
        <v>Low Performer</v>
      </c>
    </row>
    <row r="387" spans="2:24" x14ac:dyDescent="0.3">
      <c r="B387" t="s">
        <v>27</v>
      </c>
      <c r="C387" t="s">
        <v>20</v>
      </c>
      <c r="D387">
        <v>1</v>
      </c>
      <c r="E387" t="s">
        <v>21</v>
      </c>
      <c r="F387">
        <v>2</v>
      </c>
      <c r="G387" t="s">
        <v>32</v>
      </c>
      <c r="H387">
        <v>2</v>
      </c>
      <c r="I387">
        <v>5765</v>
      </c>
      <c r="J387">
        <v>11</v>
      </c>
      <c r="K387">
        <v>3</v>
      </c>
      <c r="L387">
        <v>0</v>
      </c>
      <c r="M387">
        <v>7</v>
      </c>
      <c r="N387">
        <v>4</v>
      </c>
      <c r="O387">
        <v>1</v>
      </c>
      <c r="P387">
        <v>5</v>
      </c>
      <c r="Q387">
        <v>3</v>
      </c>
      <c r="R387">
        <v>0</v>
      </c>
      <c r="S387" t="s">
        <v>23</v>
      </c>
      <c r="T387" t="s">
        <v>37</v>
      </c>
      <c r="U387" t="str">
        <f>IF(Table1[[#This Row],[YearsSince
LastPromotion]]&gt; 4, "Delayed", "Normal")</f>
        <v>Normal</v>
      </c>
      <c r="V387" t="str">
        <f>IF(Table1[[#This Row],[Years
InCurrentRole]]&gt;4, "Role Stagnent", "Normal")</f>
        <v>Normal</v>
      </c>
      <c r="W387" t="str">
        <f>IF(AND(Table1[[#This Row],[Years
InCurrentRole]]&gt; 4, Table1[[#This Row],[Performance
Rating]]&gt;=3), "High Risk", "Normal")</f>
        <v>Normal</v>
      </c>
      <c r="X387" t="str">
        <f>IF(Table1[[#This Row],[Performance
Rating]]&gt;=4, "High Performer", "Low Performer")</f>
        <v>Low Performer</v>
      </c>
    </row>
    <row r="388" spans="2:24" x14ac:dyDescent="0.3">
      <c r="B388" t="s">
        <v>19</v>
      </c>
      <c r="C388" t="s">
        <v>20</v>
      </c>
      <c r="D388">
        <v>1</v>
      </c>
      <c r="E388" t="s">
        <v>21</v>
      </c>
      <c r="F388">
        <v>2</v>
      </c>
      <c r="G388" t="s">
        <v>32</v>
      </c>
      <c r="H388">
        <v>3</v>
      </c>
      <c r="I388">
        <v>4907</v>
      </c>
      <c r="J388">
        <v>22</v>
      </c>
      <c r="K388">
        <v>4</v>
      </c>
      <c r="L388">
        <v>1</v>
      </c>
      <c r="M388">
        <v>6</v>
      </c>
      <c r="N388">
        <v>3</v>
      </c>
      <c r="O388">
        <v>2</v>
      </c>
      <c r="P388">
        <v>5</v>
      </c>
      <c r="Q388">
        <v>3</v>
      </c>
      <c r="R388">
        <v>0</v>
      </c>
      <c r="S388" t="s">
        <v>23</v>
      </c>
      <c r="T388" t="s">
        <v>37</v>
      </c>
      <c r="U388" t="str">
        <f>IF(Table1[[#This Row],[YearsSince
LastPromotion]]&gt; 4, "Delayed", "Normal")</f>
        <v>Normal</v>
      </c>
      <c r="V388" t="str">
        <f>IF(Table1[[#This Row],[Years
InCurrentRole]]&gt;4, "Role Stagnent", "Normal")</f>
        <v>Normal</v>
      </c>
      <c r="W388" t="str">
        <f>IF(AND(Table1[[#This Row],[Years
InCurrentRole]]&gt; 4, Table1[[#This Row],[Performance
Rating]]&gt;=3), "High Risk", "Normal")</f>
        <v>Normal</v>
      </c>
      <c r="X388" t="str">
        <f>IF(Table1[[#This Row],[Performance
Rating]]&gt;=4, "High Performer", "Low Performer")</f>
        <v>High Performer</v>
      </c>
    </row>
    <row r="389" spans="2:24" x14ac:dyDescent="0.3">
      <c r="B389" t="s">
        <v>19</v>
      </c>
      <c r="C389" t="s">
        <v>25</v>
      </c>
      <c r="D389">
        <v>1</v>
      </c>
      <c r="E389" t="s">
        <v>21</v>
      </c>
      <c r="F389">
        <v>4</v>
      </c>
      <c r="G389" t="s">
        <v>33</v>
      </c>
      <c r="H389">
        <v>3</v>
      </c>
      <c r="I389">
        <v>13247</v>
      </c>
      <c r="J389">
        <v>11</v>
      </c>
      <c r="K389">
        <v>3</v>
      </c>
      <c r="L389">
        <v>1</v>
      </c>
      <c r="M389">
        <v>24</v>
      </c>
      <c r="N389">
        <v>3</v>
      </c>
      <c r="O389">
        <v>2</v>
      </c>
      <c r="P389">
        <v>5</v>
      </c>
      <c r="Q389">
        <v>3</v>
      </c>
      <c r="R389">
        <v>0</v>
      </c>
      <c r="S389" t="s">
        <v>23</v>
      </c>
      <c r="T389" t="s">
        <v>37</v>
      </c>
      <c r="U389" t="str">
        <f>IF(Table1[[#This Row],[YearsSince
LastPromotion]]&gt; 4, "Delayed", "Normal")</f>
        <v>Normal</v>
      </c>
      <c r="V389" t="str">
        <f>IF(Table1[[#This Row],[Years
InCurrentRole]]&gt;4, "Role Stagnent", "Normal")</f>
        <v>Normal</v>
      </c>
      <c r="W389" t="str">
        <f>IF(AND(Table1[[#This Row],[Years
InCurrentRole]]&gt; 4, Table1[[#This Row],[Performance
Rating]]&gt;=3), "High Risk", "Normal")</f>
        <v>Normal</v>
      </c>
      <c r="X389" t="str">
        <f>IF(Table1[[#This Row],[Performance
Rating]]&gt;=4, "High Performer", "Low Performer")</f>
        <v>Low Performer</v>
      </c>
    </row>
    <row r="390" spans="2:24" x14ac:dyDescent="0.3">
      <c r="B390" t="s">
        <v>19</v>
      </c>
      <c r="C390" t="s">
        <v>25</v>
      </c>
      <c r="D390">
        <v>1</v>
      </c>
      <c r="E390" t="s">
        <v>28</v>
      </c>
      <c r="F390">
        <v>2</v>
      </c>
      <c r="G390" t="s">
        <v>31</v>
      </c>
      <c r="H390">
        <v>1</v>
      </c>
      <c r="I390">
        <v>5373</v>
      </c>
      <c r="J390">
        <v>12</v>
      </c>
      <c r="K390">
        <v>3</v>
      </c>
      <c r="L390">
        <v>1</v>
      </c>
      <c r="M390">
        <v>6</v>
      </c>
      <c r="N390">
        <v>5</v>
      </c>
      <c r="O390">
        <v>2</v>
      </c>
      <c r="P390">
        <v>5</v>
      </c>
      <c r="Q390">
        <v>3</v>
      </c>
      <c r="R390">
        <v>0</v>
      </c>
      <c r="S390" t="s">
        <v>23</v>
      </c>
      <c r="T390" t="s">
        <v>37</v>
      </c>
      <c r="U390" t="str">
        <f>IF(Table1[[#This Row],[YearsSince
LastPromotion]]&gt; 4, "Delayed", "Normal")</f>
        <v>Normal</v>
      </c>
      <c r="V390" t="str">
        <f>IF(Table1[[#This Row],[Years
InCurrentRole]]&gt;4, "Role Stagnent", "Normal")</f>
        <v>Normal</v>
      </c>
      <c r="W390" t="str">
        <f>IF(AND(Table1[[#This Row],[Years
InCurrentRole]]&gt; 4, Table1[[#This Row],[Performance
Rating]]&gt;=3), "High Risk", "Normal")</f>
        <v>Normal</v>
      </c>
      <c r="X390" t="str">
        <f>IF(Table1[[#This Row],[Performance
Rating]]&gt;=4, "High Performer", "Low Performer")</f>
        <v>Low Performer</v>
      </c>
    </row>
    <row r="391" spans="2:24" x14ac:dyDescent="0.3">
      <c r="B391" t="s">
        <v>19</v>
      </c>
      <c r="C391" t="s">
        <v>25</v>
      </c>
      <c r="D391">
        <v>1</v>
      </c>
      <c r="E391" t="s">
        <v>21</v>
      </c>
      <c r="F391">
        <v>2</v>
      </c>
      <c r="G391" t="s">
        <v>33</v>
      </c>
      <c r="H391">
        <v>1</v>
      </c>
      <c r="I391">
        <v>4877</v>
      </c>
      <c r="J391">
        <v>21</v>
      </c>
      <c r="K391">
        <v>4</v>
      </c>
      <c r="L391">
        <v>1</v>
      </c>
      <c r="M391">
        <v>6</v>
      </c>
      <c r="N391">
        <v>5</v>
      </c>
      <c r="O391">
        <v>2</v>
      </c>
      <c r="P391">
        <v>5</v>
      </c>
      <c r="Q391">
        <v>3</v>
      </c>
      <c r="R391">
        <v>0</v>
      </c>
      <c r="S391" t="s">
        <v>23</v>
      </c>
      <c r="T391" t="s">
        <v>37</v>
      </c>
      <c r="U391" t="str">
        <f>IF(Table1[[#This Row],[YearsSince
LastPromotion]]&gt; 4, "Delayed", "Normal")</f>
        <v>Normal</v>
      </c>
      <c r="V391" t="str">
        <f>IF(Table1[[#This Row],[Years
InCurrentRole]]&gt;4, "Role Stagnent", "Normal")</f>
        <v>Normal</v>
      </c>
      <c r="W391" t="str">
        <f>IF(AND(Table1[[#This Row],[Years
InCurrentRole]]&gt; 4, Table1[[#This Row],[Performance
Rating]]&gt;=3), "High Risk", "Normal")</f>
        <v>Normal</v>
      </c>
      <c r="X391" t="str">
        <f>IF(Table1[[#This Row],[Performance
Rating]]&gt;=4, "High Performer", "Low Performer")</f>
        <v>High Performer</v>
      </c>
    </row>
    <row r="392" spans="2:24" x14ac:dyDescent="0.3">
      <c r="B392" t="s">
        <v>19</v>
      </c>
      <c r="C392" t="s">
        <v>25</v>
      </c>
      <c r="D392">
        <v>1</v>
      </c>
      <c r="E392" t="s">
        <v>21</v>
      </c>
      <c r="F392">
        <v>1</v>
      </c>
      <c r="G392" t="s">
        <v>26</v>
      </c>
      <c r="H392">
        <v>3</v>
      </c>
      <c r="I392">
        <v>2187</v>
      </c>
      <c r="J392">
        <v>12</v>
      </c>
      <c r="K392">
        <v>3</v>
      </c>
      <c r="L392">
        <v>2</v>
      </c>
      <c r="M392">
        <v>6</v>
      </c>
      <c r="N392">
        <v>5</v>
      </c>
      <c r="O392">
        <v>2</v>
      </c>
      <c r="P392">
        <v>5</v>
      </c>
      <c r="Q392">
        <v>3</v>
      </c>
      <c r="R392">
        <v>0</v>
      </c>
      <c r="S392" t="s">
        <v>23</v>
      </c>
      <c r="T392" t="s">
        <v>37</v>
      </c>
      <c r="U392" t="str">
        <f>IF(Table1[[#This Row],[YearsSince
LastPromotion]]&gt; 4, "Delayed", "Normal")</f>
        <v>Normal</v>
      </c>
      <c r="V392" t="str">
        <f>IF(Table1[[#This Row],[Years
InCurrentRole]]&gt;4, "Role Stagnent", "Normal")</f>
        <v>Normal</v>
      </c>
      <c r="W392" t="str">
        <f>IF(AND(Table1[[#This Row],[Years
InCurrentRole]]&gt; 4, Table1[[#This Row],[Performance
Rating]]&gt;=3), "High Risk", "Normal")</f>
        <v>Normal</v>
      </c>
      <c r="X392" t="str">
        <f>IF(Table1[[#This Row],[Performance
Rating]]&gt;=4, "High Performer", "Low Performer")</f>
        <v>Low Performer</v>
      </c>
    </row>
    <row r="393" spans="2:24" x14ac:dyDescent="0.3">
      <c r="B393" t="s">
        <v>19</v>
      </c>
      <c r="C393" t="s">
        <v>25</v>
      </c>
      <c r="D393">
        <v>1</v>
      </c>
      <c r="E393" t="s">
        <v>28</v>
      </c>
      <c r="F393">
        <v>1</v>
      </c>
      <c r="G393" t="s">
        <v>29</v>
      </c>
      <c r="H393">
        <v>2</v>
      </c>
      <c r="I393">
        <v>2766</v>
      </c>
      <c r="J393">
        <v>22</v>
      </c>
      <c r="K393">
        <v>4</v>
      </c>
      <c r="L393">
        <v>3</v>
      </c>
      <c r="M393">
        <v>7</v>
      </c>
      <c r="N393">
        <v>6</v>
      </c>
      <c r="O393">
        <v>2</v>
      </c>
      <c r="P393">
        <v>5</v>
      </c>
      <c r="Q393">
        <v>3</v>
      </c>
      <c r="R393">
        <v>0</v>
      </c>
      <c r="S393" t="s">
        <v>23</v>
      </c>
      <c r="T393" t="s">
        <v>37</v>
      </c>
      <c r="U393" t="str">
        <f>IF(Table1[[#This Row],[YearsSince
LastPromotion]]&gt; 4, "Delayed", "Normal")</f>
        <v>Normal</v>
      </c>
      <c r="V393" t="str">
        <f>IF(Table1[[#This Row],[Years
InCurrentRole]]&gt;4, "Role Stagnent", "Normal")</f>
        <v>Normal</v>
      </c>
      <c r="W393" t="str">
        <f>IF(AND(Table1[[#This Row],[Years
InCurrentRole]]&gt; 4, Table1[[#This Row],[Performance
Rating]]&gt;=3), "High Risk", "Normal")</f>
        <v>Normal</v>
      </c>
      <c r="X393" t="str">
        <f>IF(Table1[[#This Row],[Performance
Rating]]&gt;=4, "High Performer", "Low Performer")</f>
        <v>High Performer</v>
      </c>
    </row>
    <row r="394" spans="2:24" x14ac:dyDescent="0.3">
      <c r="B394" t="s">
        <v>19</v>
      </c>
      <c r="C394" t="s">
        <v>20</v>
      </c>
      <c r="D394">
        <v>1</v>
      </c>
      <c r="E394" t="s">
        <v>28</v>
      </c>
      <c r="F394">
        <v>2</v>
      </c>
      <c r="G394" t="s">
        <v>32</v>
      </c>
      <c r="H394">
        <v>1</v>
      </c>
      <c r="I394">
        <v>4724</v>
      </c>
      <c r="J394">
        <v>11</v>
      </c>
      <c r="K394">
        <v>3</v>
      </c>
      <c r="L394">
        <v>1</v>
      </c>
      <c r="M394">
        <v>5</v>
      </c>
      <c r="N394">
        <v>0</v>
      </c>
      <c r="O394">
        <v>3</v>
      </c>
      <c r="P394">
        <v>5</v>
      </c>
      <c r="Q394">
        <v>3</v>
      </c>
      <c r="R394">
        <v>0</v>
      </c>
      <c r="S394" t="s">
        <v>34</v>
      </c>
      <c r="T394" t="s">
        <v>37</v>
      </c>
      <c r="U394" t="str">
        <f>IF(Table1[[#This Row],[YearsSince
LastPromotion]]&gt; 4, "Delayed", "Normal")</f>
        <v>Normal</v>
      </c>
      <c r="V394" t="str">
        <f>IF(Table1[[#This Row],[Years
InCurrentRole]]&gt;4, "Role Stagnent", "Normal")</f>
        <v>Normal</v>
      </c>
      <c r="W394" t="str">
        <f>IF(AND(Table1[[#This Row],[Years
InCurrentRole]]&gt; 4, Table1[[#This Row],[Performance
Rating]]&gt;=3), "High Risk", "Normal")</f>
        <v>Normal</v>
      </c>
      <c r="X394" t="str">
        <f>IF(Table1[[#This Row],[Performance
Rating]]&gt;=4, "High Performer", "Low Performer")</f>
        <v>Low Performer</v>
      </c>
    </row>
    <row r="395" spans="2:24" x14ac:dyDescent="0.3">
      <c r="B395" t="s">
        <v>19</v>
      </c>
      <c r="C395" t="s">
        <v>25</v>
      </c>
      <c r="D395">
        <v>1</v>
      </c>
      <c r="E395" t="s">
        <v>28</v>
      </c>
      <c r="F395">
        <v>1</v>
      </c>
      <c r="G395" t="s">
        <v>26</v>
      </c>
      <c r="H395">
        <v>3</v>
      </c>
      <c r="I395">
        <v>4401</v>
      </c>
      <c r="J395">
        <v>16</v>
      </c>
      <c r="K395">
        <v>3</v>
      </c>
      <c r="L395">
        <v>1</v>
      </c>
      <c r="M395">
        <v>5</v>
      </c>
      <c r="N395">
        <v>1</v>
      </c>
      <c r="O395">
        <v>3</v>
      </c>
      <c r="P395">
        <v>5</v>
      </c>
      <c r="Q395">
        <v>3</v>
      </c>
      <c r="R395">
        <v>0</v>
      </c>
      <c r="S395" t="s">
        <v>34</v>
      </c>
      <c r="T395" t="s">
        <v>37</v>
      </c>
      <c r="U395" t="str">
        <f>IF(Table1[[#This Row],[YearsSince
LastPromotion]]&gt; 4, "Delayed", "Normal")</f>
        <v>Normal</v>
      </c>
      <c r="V395" t="str">
        <f>IF(Table1[[#This Row],[Years
InCurrentRole]]&gt;4, "Role Stagnent", "Normal")</f>
        <v>Normal</v>
      </c>
      <c r="W395" t="str">
        <f>IF(AND(Table1[[#This Row],[Years
InCurrentRole]]&gt; 4, Table1[[#This Row],[Performance
Rating]]&gt;=3), "High Risk", "Normal")</f>
        <v>Normal</v>
      </c>
      <c r="X395" t="str">
        <f>IF(Table1[[#This Row],[Performance
Rating]]&gt;=4, "High Performer", "Low Performer")</f>
        <v>Low Performer</v>
      </c>
    </row>
    <row r="396" spans="2:24" x14ac:dyDescent="0.3">
      <c r="B396" t="s">
        <v>19</v>
      </c>
      <c r="C396" t="s">
        <v>25</v>
      </c>
      <c r="D396">
        <v>1</v>
      </c>
      <c r="E396" t="s">
        <v>28</v>
      </c>
      <c r="F396">
        <v>2</v>
      </c>
      <c r="G396" t="s">
        <v>33</v>
      </c>
      <c r="H396">
        <v>2</v>
      </c>
      <c r="I396">
        <v>4320</v>
      </c>
      <c r="J396">
        <v>13</v>
      </c>
      <c r="K396">
        <v>3</v>
      </c>
      <c r="L396">
        <v>0</v>
      </c>
      <c r="M396">
        <v>5</v>
      </c>
      <c r="N396">
        <v>2</v>
      </c>
      <c r="O396">
        <v>3</v>
      </c>
      <c r="P396">
        <v>5</v>
      </c>
      <c r="Q396">
        <v>3</v>
      </c>
      <c r="R396">
        <v>0</v>
      </c>
      <c r="S396" t="s">
        <v>34</v>
      </c>
      <c r="T396" t="s">
        <v>37</v>
      </c>
      <c r="U396" t="str">
        <f>IF(Table1[[#This Row],[YearsSince
LastPromotion]]&gt; 4, "Delayed", "Normal")</f>
        <v>Normal</v>
      </c>
      <c r="V396" t="str">
        <f>IF(Table1[[#This Row],[Years
InCurrentRole]]&gt;4, "Role Stagnent", "Normal")</f>
        <v>Normal</v>
      </c>
      <c r="W396" t="str">
        <f>IF(AND(Table1[[#This Row],[Years
InCurrentRole]]&gt; 4, Table1[[#This Row],[Performance
Rating]]&gt;=3), "High Risk", "Normal")</f>
        <v>Normal</v>
      </c>
      <c r="X396" t="str">
        <f>IF(Table1[[#This Row],[Performance
Rating]]&gt;=4, "High Performer", "Low Performer")</f>
        <v>Low Performer</v>
      </c>
    </row>
    <row r="397" spans="2:24" x14ac:dyDescent="0.3">
      <c r="B397" t="s">
        <v>19</v>
      </c>
      <c r="C397" t="s">
        <v>25</v>
      </c>
      <c r="D397">
        <v>1</v>
      </c>
      <c r="E397" t="s">
        <v>28</v>
      </c>
      <c r="F397">
        <v>1</v>
      </c>
      <c r="G397" t="s">
        <v>29</v>
      </c>
      <c r="H397">
        <v>1</v>
      </c>
      <c r="I397">
        <v>2289</v>
      </c>
      <c r="J397">
        <v>20</v>
      </c>
      <c r="K397">
        <v>4</v>
      </c>
      <c r="L397">
        <v>2</v>
      </c>
      <c r="M397">
        <v>5</v>
      </c>
      <c r="N397">
        <v>2</v>
      </c>
      <c r="O397">
        <v>3</v>
      </c>
      <c r="P397">
        <v>5</v>
      </c>
      <c r="Q397">
        <v>3</v>
      </c>
      <c r="R397">
        <v>0</v>
      </c>
      <c r="S397" t="s">
        <v>34</v>
      </c>
      <c r="T397" t="s">
        <v>37</v>
      </c>
      <c r="U397" t="str">
        <f>IF(Table1[[#This Row],[YearsSince
LastPromotion]]&gt; 4, "Delayed", "Normal")</f>
        <v>Normal</v>
      </c>
      <c r="V397" t="str">
        <f>IF(Table1[[#This Row],[Years
InCurrentRole]]&gt;4, "Role Stagnent", "Normal")</f>
        <v>Normal</v>
      </c>
      <c r="W397" t="str">
        <f>IF(AND(Table1[[#This Row],[Years
InCurrentRole]]&gt; 4, Table1[[#This Row],[Performance
Rating]]&gt;=3), "High Risk", "Normal")</f>
        <v>Normal</v>
      </c>
      <c r="X397" t="str">
        <f>IF(Table1[[#This Row],[Performance
Rating]]&gt;=4, "High Performer", "Low Performer")</f>
        <v>High Performer</v>
      </c>
    </row>
    <row r="398" spans="2:24" x14ac:dyDescent="0.3">
      <c r="B398" t="s">
        <v>19</v>
      </c>
      <c r="C398" t="s">
        <v>25</v>
      </c>
      <c r="D398">
        <v>1</v>
      </c>
      <c r="E398" t="s">
        <v>28</v>
      </c>
      <c r="F398">
        <v>1</v>
      </c>
      <c r="G398" t="s">
        <v>26</v>
      </c>
      <c r="H398">
        <v>3</v>
      </c>
      <c r="I398">
        <v>2517</v>
      </c>
      <c r="J398">
        <v>11</v>
      </c>
      <c r="K398">
        <v>3</v>
      </c>
      <c r="L398">
        <v>3</v>
      </c>
      <c r="M398">
        <v>5</v>
      </c>
      <c r="N398">
        <v>2</v>
      </c>
      <c r="O398">
        <v>3</v>
      </c>
      <c r="P398">
        <v>5</v>
      </c>
      <c r="Q398">
        <v>3</v>
      </c>
      <c r="R398">
        <v>0</v>
      </c>
      <c r="S398" t="s">
        <v>34</v>
      </c>
      <c r="T398" t="s">
        <v>37</v>
      </c>
      <c r="U398" t="str">
        <f>IF(Table1[[#This Row],[YearsSince
LastPromotion]]&gt; 4, "Delayed", "Normal")</f>
        <v>Normal</v>
      </c>
      <c r="V398" t="str">
        <f>IF(Table1[[#This Row],[Years
InCurrentRole]]&gt;4, "Role Stagnent", "Normal")</f>
        <v>Normal</v>
      </c>
      <c r="W398" t="str">
        <f>IF(AND(Table1[[#This Row],[Years
InCurrentRole]]&gt; 4, Table1[[#This Row],[Performance
Rating]]&gt;=3), "High Risk", "Normal")</f>
        <v>Normal</v>
      </c>
      <c r="X398" t="str">
        <f>IF(Table1[[#This Row],[Performance
Rating]]&gt;=4, "High Performer", "Low Performer")</f>
        <v>Low Performer</v>
      </c>
    </row>
    <row r="399" spans="2:24" x14ac:dyDescent="0.3">
      <c r="B399" t="s">
        <v>19</v>
      </c>
      <c r="C399" t="s">
        <v>25</v>
      </c>
      <c r="D399">
        <v>1</v>
      </c>
      <c r="E399" t="s">
        <v>21</v>
      </c>
      <c r="F399">
        <v>1</v>
      </c>
      <c r="G399" t="s">
        <v>29</v>
      </c>
      <c r="H399">
        <v>4</v>
      </c>
      <c r="I399">
        <v>2270</v>
      </c>
      <c r="J399">
        <v>14</v>
      </c>
      <c r="K399">
        <v>3</v>
      </c>
      <c r="L399">
        <v>2</v>
      </c>
      <c r="M399">
        <v>8</v>
      </c>
      <c r="N399">
        <v>2</v>
      </c>
      <c r="O399">
        <v>3</v>
      </c>
      <c r="P399">
        <v>5</v>
      </c>
      <c r="Q399">
        <v>3</v>
      </c>
      <c r="R399">
        <v>0</v>
      </c>
      <c r="S399" t="s">
        <v>34</v>
      </c>
      <c r="T399" t="s">
        <v>37</v>
      </c>
      <c r="U399" t="str">
        <f>IF(Table1[[#This Row],[YearsSince
LastPromotion]]&gt; 4, "Delayed", "Normal")</f>
        <v>Normal</v>
      </c>
      <c r="V399" t="str">
        <f>IF(Table1[[#This Row],[Years
InCurrentRole]]&gt;4, "Role Stagnent", "Normal")</f>
        <v>Normal</v>
      </c>
      <c r="W399" t="str">
        <f>IF(AND(Table1[[#This Row],[Years
InCurrentRole]]&gt; 4, Table1[[#This Row],[Performance
Rating]]&gt;=3), "High Risk", "Normal")</f>
        <v>Normal</v>
      </c>
      <c r="X399" t="str">
        <f>IF(Table1[[#This Row],[Performance
Rating]]&gt;=4, "High Performer", "Low Performer")</f>
        <v>Low Performer</v>
      </c>
    </row>
    <row r="400" spans="2:24" x14ac:dyDescent="0.3">
      <c r="B400" t="s">
        <v>19</v>
      </c>
      <c r="C400" t="s">
        <v>25</v>
      </c>
      <c r="D400">
        <v>1</v>
      </c>
      <c r="E400" t="s">
        <v>28</v>
      </c>
      <c r="F400">
        <v>2</v>
      </c>
      <c r="G400" t="s">
        <v>26</v>
      </c>
      <c r="H400">
        <v>1</v>
      </c>
      <c r="I400">
        <v>4284</v>
      </c>
      <c r="J400">
        <v>22</v>
      </c>
      <c r="K400">
        <v>4</v>
      </c>
      <c r="L400">
        <v>1</v>
      </c>
      <c r="M400">
        <v>16</v>
      </c>
      <c r="N400">
        <v>2</v>
      </c>
      <c r="O400">
        <v>3</v>
      </c>
      <c r="P400">
        <v>5</v>
      </c>
      <c r="Q400">
        <v>3</v>
      </c>
      <c r="R400">
        <v>0</v>
      </c>
      <c r="S400" t="s">
        <v>34</v>
      </c>
      <c r="T400" t="s">
        <v>37</v>
      </c>
      <c r="U400" t="str">
        <f>IF(Table1[[#This Row],[YearsSince
LastPromotion]]&gt; 4, "Delayed", "Normal")</f>
        <v>Normal</v>
      </c>
      <c r="V400" t="str">
        <f>IF(Table1[[#This Row],[Years
InCurrentRole]]&gt;4, "Role Stagnent", "Normal")</f>
        <v>Normal</v>
      </c>
      <c r="W400" t="str">
        <f>IF(AND(Table1[[#This Row],[Years
InCurrentRole]]&gt; 4, Table1[[#This Row],[Performance
Rating]]&gt;=3), "High Risk", "Normal")</f>
        <v>Normal</v>
      </c>
      <c r="X400" t="str">
        <f>IF(Table1[[#This Row],[Performance
Rating]]&gt;=4, "High Performer", "Low Performer")</f>
        <v>High Performer</v>
      </c>
    </row>
    <row r="401" spans="2:24" x14ac:dyDescent="0.3">
      <c r="B401" t="s">
        <v>19</v>
      </c>
      <c r="C401" t="s">
        <v>25</v>
      </c>
      <c r="D401">
        <v>1</v>
      </c>
      <c r="E401" t="s">
        <v>21</v>
      </c>
      <c r="F401">
        <v>1</v>
      </c>
      <c r="G401" t="s">
        <v>26</v>
      </c>
      <c r="H401">
        <v>3</v>
      </c>
      <c r="I401">
        <v>2001</v>
      </c>
      <c r="J401">
        <v>14</v>
      </c>
      <c r="K401">
        <v>3</v>
      </c>
      <c r="L401">
        <v>3</v>
      </c>
      <c r="M401">
        <v>20</v>
      </c>
      <c r="N401">
        <v>2</v>
      </c>
      <c r="O401">
        <v>3</v>
      </c>
      <c r="P401">
        <v>5</v>
      </c>
      <c r="Q401">
        <v>3</v>
      </c>
      <c r="R401">
        <v>0</v>
      </c>
      <c r="S401" t="s">
        <v>34</v>
      </c>
      <c r="T401" t="s">
        <v>37</v>
      </c>
      <c r="U401" t="str">
        <f>IF(Table1[[#This Row],[YearsSince
LastPromotion]]&gt; 4, "Delayed", "Normal")</f>
        <v>Normal</v>
      </c>
      <c r="V401" t="str">
        <f>IF(Table1[[#This Row],[Years
InCurrentRole]]&gt;4, "Role Stagnent", "Normal")</f>
        <v>Normal</v>
      </c>
      <c r="W401" t="str">
        <f>IF(AND(Table1[[#This Row],[Years
InCurrentRole]]&gt; 4, Table1[[#This Row],[Performance
Rating]]&gt;=3), "High Risk", "Normal")</f>
        <v>Normal</v>
      </c>
      <c r="X401" t="str">
        <f>IF(Table1[[#This Row],[Performance
Rating]]&gt;=4, "High Performer", "Low Performer")</f>
        <v>Low Performer</v>
      </c>
    </row>
    <row r="402" spans="2:24" x14ac:dyDescent="0.3">
      <c r="B402" t="s">
        <v>19</v>
      </c>
      <c r="C402" t="s">
        <v>20</v>
      </c>
      <c r="D402">
        <v>1</v>
      </c>
      <c r="E402" t="s">
        <v>28</v>
      </c>
      <c r="F402">
        <v>2</v>
      </c>
      <c r="G402" t="s">
        <v>32</v>
      </c>
      <c r="H402">
        <v>1</v>
      </c>
      <c r="I402">
        <v>4194</v>
      </c>
      <c r="J402">
        <v>18</v>
      </c>
      <c r="K402">
        <v>3</v>
      </c>
      <c r="L402">
        <v>0</v>
      </c>
      <c r="M402">
        <v>5</v>
      </c>
      <c r="N402">
        <v>3</v>
      </c>
      <c r="O402">
        <v>3</v>
      </c>
      <c r="P402">
        <v>5</v>
      </c>
      <c r="Q402">
        <v>3</v>
      </c>
      <c r="R402">
        <v>0</v>
      </c>
      <c r="S402" t="s">
        <v>34</v>
      </c>
      <c r="T402" t="s">
        <v>37</v>
      </c>
      <c r="U402" t="str">
        <f>IF(Table1[[#This Row],[YearsSince
LastPromotion]]&gt; 4, "Delayed", "Normal")</f>
        <v>Normal</v>
      </c>
      <c r="V402" t="str">
        <f>IF(Table1[[#This Row],[Years
InCurrentRole]]&gt;4, "Role Stagnent", "Normal")</f>
        <v>Normal</v>
      </c>
      <c r="W402" t="str">
        <f>IF(AND(Table1[[#This Row],[Years
InCurrentRole]]&gt; 4, Table1[[#This Row],[Performance
Rating]]&gt;=3), "High Risk", "Normal")</f>
        <v>Normal</v>
      </c>
      <c r="X402" t="str">
        <f>IF(Table1[[#This Row],[Performance
Rating]]&gt;=4, "High Performer", "Low Performer")</f>
        <v>Low Performer</v>
      </c>
    </row>
    <row r="403" spans="2:24" x14ac:dyDescent="0.3">
      <c r="B403" t="s">
        <v>19</v>
      </c>
      <c r="C403" t="s">
        <v>25</v>
      </c>
      <c r="D403">
        <v>1</v>
      </c>
      <c r="E403" t="s">
        <v>21</v>
      </c>
      <c r="F403">
        <v>1</v>
      </c>
      <c r="G403" t="s">
        <v>26</v>
      </c>
      <c r="H403">
        <v>4</v>
      </c>
      <c r="I403">
        <v>3310</v>
      </c>
      <c r="J403">
        <v>21</v>
      </c>
      <c r="K403">
        <v>4</v>
      </c>
      <c r="L403">
        <v>0</v>
      </c>
      <c r="M403">
        <v>5</v>
      </c>
      <c r="N403">
        <v>3</v>
      </c>
      <c r="O403">
        <v>3</v>
      </c>
      <c r="P403">
        <v>5</v>
      </c>
      <c r="Q403">
        <v>3</v>
      </c>
      <c r="R403">
        <v>0</v>
      </c>
      <c r="S403" t="s">
        <v>34</v>
      </c>
      <c r="T403" t="s">
        <v>37</v>
      </c>
      <c r="U403" t="str">
        <f>IF(Table1[[#This Row],[YearsSince
LastPromotion]]&gt; 4, "Delayed", "Normal")</f>
        <v>Normal</v>
      </c>
      <c r="V403" t="str">
        <f>IF(Table1[[#This Row],[Years
InCurrentRole]]&gt;4, "Role Stagnent", "Normal")</f>
        <v>Normal</v>
      </c>
      <c r="W403" t="str">
        <f>IF(AND(Table1[[#This Row],[Years
InCurrentRole]]&gt; 4, Table1[[#This Row],[Performance
Rating]]&gt;=3), "High Risk", "Normal")</f>
        <v>Normal</v>
      </c>
      <c r="X403" t="str">
        <f>IF(Table1[[#This Row],[Performance
Rating]]&gt;=4, "High Performer", "Low Performer")</f>
        <v>High Performer</v>
      </c>
    </row>
    <row r="404" spans="2:24" x14ac:dyDescent="0.3">
      <c r="B404" t="s">
        <v>19</v>
      </c>
      <c r="C404" t="s">
        <v>20</v>
      </c>
      <c r="D404">
        <v>1</v>
      </c>
      <c r="E404" t="s">
        <v>21</v>
      </c>
      <c r="F404">
        <v>2</v>
      </c>
      <c r="G404" t="s">
        <v>32</v>
      </c>
      <c r="H404">
        <v>3</v>
      </c>
      <c r="I404">
        <v>4850</v>
      </c>
      <c r="J404">
        <v>15</v>
      </c>
      <c r="K404">
        <v>3</v>
      </c>
      <c r="L404">
        <v>0</v>
      </c>
      <c r="M404">
        <v>8</v>
      </c>
      <c r="N404">
        <v>3</v>
      </c>
      <c r="O404">
        <v>3</v>
      </c>
      <c r="P404">
        <v>5</v>
      </c>
      <c r="Q404">
        <v>3</v>
      </c>
      <c r="R404">
        <v>0</v>
      </c>
      <c r="S404" t="s">
        <v>34</v>
      </c>
      <c r="T404" t="s">
        <v>37</v>
      </c>
      <c r="U404" t="str">
        <f>IF(Table1[[#This Row],[YearsSince
LastPromotion]]&gt; 4, "Delayed", "Normal")</f>
        <v>Normal</v>
      </c>
      <c r="V404" t="str">
        <f>IF(Table1[[#This Row],[Years
InCurrentRole]]&gt;4, "Role Stagnent", "Normal")</f>
        <v>Normal</v>
      </c>
      <c r="W404" t="str">
        <f>IF(AND(Table1[[#This Row],[Years
InCurrentRole]]&gt; 4, Table1[[#This Row],[Performance
Rating]]&gt;=3), "High Risk", "Normal")</f>
        <v>Normal</v>
      </c>
      <c r="X404" t="str">
        <f>IF(Table1[[#This Row],[Performance
Rating]]&gt;=4, "High Performer", "Low Performer")</f>
        <v>Low Performer</v>
      </c>
    </row>
    <row r="405" spans="2:24" x14ac:dyDescent="0.3">
      <c r="B405" t="s">
        <v>19</v>
      </c>
      <c r="C405" t="s">
        <v>25</v>
      </c>
      <c r="D405">
        <v>1</v>
      </c>
      <c r="E405" t="s">
        <v>21</v>
      </c>
      <c r="F405">
        <v>2</v>
      </c>
      <c r="G405" t="s">
        <v>31</v>
      </c>
      <c r="H405">
        <v>4</v>
      </c>
      <c r="I405">
        <v>6513</v>
      </c>
      <c r="J405">
        <v>17</v>
      </c>
      <c r="K405">
        <v>3</v>
      </c>
      <c r="L405">
        <v>1</v>
      </c>
      <c r="M405">
        <v>12</v>
      </c>
      <c r="N405">
        <v>3</v>
      </c>
      <c r="O405">
        <v>3</v>
      </c>
      <c r="P405">
        <v>5</v>
      </c>
      <c r="Q405">
        <v>3</v>
      </c>
      <c r="R405">
        <v>0</v>
      </c>
      <c r="S405" t="s">
        <v>34</v>
      </c>
      <c r="T405" t="s">
        <v>37</v>
      </c>
      <c r="U405" t="str">
        <f>IF(Table1[[#This Row],[YearsSince
LastPromotion]]&gt; 4, "Delayed", "Normal")</f>
        <v>Normal</v>
      </c>
      <c r="V405" t="str">
        <f>IF(Table1[[#This Row],[Years
InCurrentRole]]&gt;4, "Role Stagnent", "Normal")</f>
        <v>Normal</v>
      </c>
      <c r="W405" t="str">
        <f>IF(AND(Table1[[#This Row],[Years
InCurrentRole]]&gt; 4, Table1[[#This Row],[Performance
Rating]]&gt;=3), "High Risk", "Normal")</f>
        <v>Normal</v>
      </c>
      <c r="X405" t="str">
        <f>IF(Table1[[#This Row],[Performance
Rating]]&gt;=4, "High Performer", "Low Performer")</f>
        <v>Low Performer</v>
      </c>
    </row>
    <row r="406" spans="2:24" x14ac:dyDescent="0.3">
      <c r="B406" t="s">
        <v>27</v>
      </c>
      <c r="C406" t="s">
        <v>20</v>
      </c>
      <c r="D406">
        <v>1</v>
      </c>
      <c r="E406" t="s">
        <v>28</v>
      </c>
      <c r="F406">
        <v>1</v>
      </c>
      <c r="G406" t="s">
        <v>30</v>
      </c>
      <c r="H406">
        <v>1</v>
      </c>
      <c r="I406">
        <v>3407</v>
      </c>
      <c r="J406">
        <v>23</v>
      </c>
      <c r="K406">
        <v>4</v>
      </c>
      <c r="L406">
        <v>0</v>
      </c>
      <c r="M406">
        <v>10</v>
      </c>
      <c r="N406">
        <v>4</v>
      </c>
      <c r="O406">
        <v>3</v>
      </c>
      <c r="P406">
        <v>5</v>
      </c>
      <c r="Q406">
        <v>3</v>
      </c>
      <c r="R406">
        <v>0</v>
      </c>
      <c r="S406" t="s">
        <v>34</v>
      </c>
      <c r="T406" t="s">
        <v>37</v>
      </c>
      <c r="U406" t="str">
        <f>IF(Table1[[#This Row],[YearsSince
LastPromotion]]&gt; 4, "Delayed", "Normal")</f>
        <v>Normal</v>
      </c>
      <c r="V406" t="str">
        <f>IF(Table1[[#This Row],[Years
InCurrentRole]]&gt;4, "Role Stagnent", "Normal")</f>
        <v>Normal</v>
      </c>
      <c r="W406" t="str">
        <f>IF(AND(Table1[[#This Row],[Years
InCurrentRole]]&gt; 4, Table1[[#This Row],[Performance
Rating]]&gt;=3), "High Risk", "Normal")</f>
        <v>Normal</v>
      </c>
      <c r="X406" t="str">
        <f>IF(Table1[[#This Row],[Performance
Rating]]&gt;=4, "High Performer", "Low Performer")</f>
        <v>High Performer</v>
      </c>
    </row>
    <row r="407" spans="2:24" x14ac:dyDescent="0.3">
      <c r="B407" t="s">
        <v>19</v>
      </c>
      <c r="C407" t="s">
        <v>25</v>
      </c>
      <c r="D407">
        <v>1</v>
      </c>
      <c r="E407" t="s">
        <v>21</v>
      </c>
      <c r="F407">
        <v>2</v>
      </c>
      <c r="G407" t="s">
        <v>33</v>
      </c>
      <c r="H407">
        <v>3</v>
      </c>
      <c r="I407">
        <v>5265</v>
      </c>
      <c r="J407">
        <v>16</v>
      </c>
      <c r="K407">
        <v>3</v>
      </c>
      <c r="L407">
        <v>1</v>
      </c>
      <c r="M407">
        <v>11</v>
      </c>
      <c r="N407">
        <v>5</v>
      </c>
      <c r="O407">
        <v>3</v>
      </c>
      <c r="P407">
        <v>5</v>
      </c>
      <c r="Q407">
        <v>3</v>
      </c>
      <c r="R407">
        <v>0</v>
      </c>
      <c r="S407" t="s">
        <v>34</v>
      </c>
      <c r="T407" t="s">
        <v>37</v>
      </c>
      <c r="U407" t="str">
        <f>IF(Table1[[#This Row],[YearsSince
LastPromotion]]&gt; 4, "Delayed", "Normal")</f>
        <v>Normal</v>
      </c>
      <c r="V407" t="str">
        <f>IF(Table1[[#This Row],[Years
InCurrentRole]]&gt;4, "Role Stagnent", "Normal")</f>
        <v>Normal</v>
      </c>
      <c r="W407" t="str">
        <f>IF(AND(Table1[[#This Row],[Years
InCurrentRole]]&gt; 4, Table1[[#This Row],[Performance
Rating]]&gt;=3), "High Risk", "Normal")</f>
        <v>Normal</v>
      </c>
      <c r="X407" t="str">
        <f>IF(Table1[[#This Row],[Performance
Rating]]&gt;=4, "High Performer", "Low Performer")</f>
        <v>Low Performer</v>
      </c>
    </row>
    <row r="408" spans="2:24" x14ac:dyDescent="0.3">
      <c r="B408" t="s">
        <v>19</v>
      </c>
      <c r="C408" t="s">
        <v>25</v>
      </c>
      <c r="D408">
        <v>1</v>
      </c>
      <c r="E408" t="s">
        <v>28</v>
      </c>
      <c r="F408">
        <v>1</v>
      </c>
      <c r="G408" t="s">
        <v>26</v>
      </c>
      <c r="H408">
        <v>4</v>
      </c>
      <c r="I408">
        <v>2044</v>
      </c>
      <c r="J408">
        <v>11</v>
      </c>
      <c r="K408">
        <v>3</v>
      </c>
      <c r="L408">
        <v>1</v>
      </c>
      <c r="M408">
        <v>5</v>
      </c>
      <c r="N408">
        <v>6</v>
      </c>
      <c r="O408">
        <v>4</v>
      </c>
      <c r="P408">
        <v>5</v>
      </c>
      <c r="Q408">
        <v>3</v>
      </c>
      <c r="R408">
        <v>0</v>
      </c>
      <c r="S408" t="s">
        <v>34</v>
      </c>
      <c r="T408" t="s">
        <v>37</v>
      </c>
      <c r="U408" t="str">
        <f>IF(Table1[[#This Row],[YearsSince
LastPromotion]]&gt; 4, "Delayed", "Normal")</f>
        <v>Normal</v>
      </c>
      <c r="V408" t="str">
        <f>IF(Table1[[#This Row],[Years
InCurrentRole]]&gt;4, "Role Stagnent", "Normal")</f>
        <v>Normal</v>
      </c>
      <c r="W408" t="str">
        <f>IF(AND(Table1[[#This Row],[Years
InCurrentRole]]&gt; 4, Table1[[#This Row],[Performance
Rating]]&gt;=3), "High Risk", "Normal")</f>
        <v>Normal</v>
      </c>
      <c r="X408" t="str">
        <f>IF(Table1[[#This Row],[Performance
Rating]]&gt;=4, "High Performer", "Low Performer")</f>
        <v>Low Performer</v>
      </c>
    </row>
    <row r="409" spans="2:24" x14ac:dyDescent="0.3">
      <c r="B409" t="s">
        <v>19</v>
      </c>
      <c r="C409" t="s">
        <v>20</v>
      </c>
      <c r="D409">
        <v>1</v>
      </c>
      <c r="E409" t="s">
        <v>21</v>
      </c>
      <c r="F409">
        <v>2</v>
      </c>
      <c r="G409" t="s">
        <v>32</v>
      </c>
      <c r="H409">
        <v>4</v>
      </c>
      <c r="I409">
        <v>6652</v>
      </c>
      <c r="J409">
        <v>13</v>
      </c>
      <c r="K409">
        <v>3</v>
      </c>
      <c r="L409">
        <v>1</v>
      </c>
      <c r="M409">
        <v>8</v>
      </c>
      <c r="N409">
        <v>2</v>
      </c>
      <c r="O409">
        <v>2</v>
      </c>
      <c r="P409">
        <v>6</v>
      </c>
      <c r="Q409">
        <v>3</v>
      </c>
      <c r="R409">
        <v>0</v>
      </c>
      <c r="S409" t="s">
        <v>23</v>
      </c>
      <c r="T409" t="s">
        <v>37</v>
      </c>
      <c r="U409" t="str">
        <f>IF(Table1[[#This Row],[YearsSince
LastPromotion]]&gt; 4, "Delayed", "Normal")</f>
        <v>Normal</v>
      </c>
      <c r="V409" t="str">
        <f>IF(Table1[[#This Row],[Years
InCurrentRole]]&gt;4, "Role Stagnent", "Normal")</f>
        <v>Normal</v>
      </c>
      <c r="W409" t="str">
        <f>IF(AND(Table1[[#This Row],[Years
InCurrentRole]]&gt; 4, Table1[[#This Row],[Performance
Rating]]&gt;=3), "High Risk", "Normal")</f>
        <v>Normal</v>
      </c>
      <c r="X409" t="str">
        <f>IF(Table1[[#This Row],[Performance
Rating]]&gt;=4, "High Performer", "Low Performer")</f>
        <v>Low Performer</v>
      </c>
    </row>
    <row r="410" spans="2:24" x14ac:dyDescent="0.3">
      <c r="B410" t="s">
        <v>27</v>
      </c>
      <c r="C410" t="s">
        <v>20</v>
      </c>
      <c r="D410">
        <v>1</v>
      </c>
      <c r="E410" t="s">
        <v>21</v>
      </c>
      <c r="F410">
        <v>2</v>
      </c>
      <c r="G410" t="s">
        <v>32</v>
      </c>
      <c r="H410">
        <v>1</v>
      </c>
      <c r="I410">
        <v>6696</v>
      </c>
      <c r="J410">
        <v>15</v>
      </c>
      <c r="K410">
        <v>3</v>
      </c>
      <c r="L410">
        <v>0</v>
      </c>
      <c r="M410">
        <v>9</v>
      </c>
      <c r="N410">
        <v>5</v>
      </c>
      <c r="O410">
        <v>2</v>
      </c>
      <c r="P410">
        <v>6</v>
      </c>
      <c r="Q410">
        <v>3</v>
      </c>
      <c r="R410">
        <v>0</v>
      </c>
      <c r="S410" t="s">
        <v>23</v>
      </c>
      <c r="T410" t="s">
        <v>37</v>
      </c>
      <c r="U410" t="str">
        <f>IF(Table1[[#This Row],[YearsSince
LastPromotion]]&gt; 4, "Delayed", "Normal")</f>
        <v>Normal</v>
      </c>
      <c r="V410" t="str">
        <f>IF(Table1[[#This Row],[Years
InCurrentRole]]&gt;4, "Role Stagnent", "Normal")</f>
        <v>Normal</v>
      </c>
      <c r="W410" t="str">
        <f>IF(AND(Table1[[#This Row],[Years
InCurrentRole]]&gt; 4, Table1[[#This Row],[Performance
Rating]]&gt;=3), "High Risk", "Normal")</f>
        <v>Normal</v>
      </c>
      <c r="X410" t="str">
        <f>IF(Table1[[#This Row],[Performance
Rating]]&gt;=4, "High Performer", "Low Performer")</f>
        <v>Low Performer</v>
      </c>
    </row>
    <row r="411" spans="2:24" x14ac:dyDescent="0.3">
      <c r="B411" t="s">
        <v>19</v>
      </c>
      <c r="C411" t="s">
        <v>36</v>
      </c>
      <c r="D411">
        <v>1</v>
      </c>
      <c r="E411" t="s">
        <v>28</v>
      </c>
      <c r="F411">
        <v>1</v>
      </c>
      <c r="G411" t="s">
        <v>36</v>
      </c>
      <c r="H411">
        <v>2</v>
      </c>
      <c r="I411">
        <v>2177</v>
      </c>
      <c r="J411">
        <v>16</v>
      </c>
      <c r="K411">
        <v>3</v>
      </c>
      <c r="L411">
        <v>0</v>
      </c>
      <c r="M411">
        <v>6</v>
      </c>
      <c r="N411">
        <v>3</v>
      </c>
      <c r="O411">
        <v>3</v>
      </c>
      <c r="P411">
        <v>6</v>
      </c>
      <c r="Q411">
        <v>3</v>
      </c>
      <c r="R411">
        <v>0</v>
      </c>
      <c r="S411" t="s">
        <v>34</v>
      </c>
      <c r="T411" t="s">
        <v>37</v>
      </c>
      <c r="U411" t="str">
        <f>IF(Table1[[#This Row],[YearsSince
LastPromotion]]&gt; 4, "Delayed", "Normal")</f>
        <v>Normal</v>
      </c>
      <c r="V411" t="str">
        <f>IF(Table1[[#This Row],[Years
InCurrentRole]]&gt;4, "Role Stagnent", "Normal")</f>
        <v>Normal</v>
      </c>
      <c r="W411" t="str">
        <f>IF(AND(Table1[[#This Row],[Years
InCurrentRole]]&gt; 4, Table1[[#This Row],[Performance
Rating]]&gt;=3), "High Risk", "Normal")</f>
        <v>Normal</v>
      </c>
      <c r="X411" t="str">
        <f>IF(Table1[[#This Row],[Performance
Rating]]&gt;=4, "High Performer", "Low Performer")</f>
        <v>Low Performer</v>
      </c>
    </row>
    <row r="412" spans="2:24" x14ac:dyDescent="0.3">
      <c r="B412" t="s">
        <v>27</v>
      </c>
      <c r="C412" t="s">
        <v>20</v>
      </c>
      <c r="D412">
        <v>1</v>
      </c>
      <c r="E412" t="s">
        <v>28</v>
      </c>
      <c r="F412">
        <v>2</v>
      </c>
      <c r="G412" t="s">
        <v>32</v>
      </c>
      <c r="H412">
        <v>3</v>
      </c>
      <c r="I412">
        <v>6728</v>
      </c>
      <c r="J412">
        <v>12</v>
      </c>
      <c r="K412">
        <v>3</v>
      </c>
      <c r="L412">
        <v>2</v>
      </c>
      <c r="M412">
        <v>12</v>
      </c>
      <c r="N412">
        <v>3</v>
      </c>
      <c r="O412">
        <v>3</v>
      </c>
      <c r="P412">
        <v>6</v>
      </c>
      <c r="Q412">
        <v>3</v>
      </c>
      <c r="R412">
        <v>0</v>
      </c>
      <c r="S412" t="s">
        <v>34</v>
      </c>
      <c r="T412" t="s">
        <v>37</v>
      </c>
      <c r="U412" t="str">
        <f>IF(Table1[[#This Row],[YearsSince
LastPromotion]]&gt; 4, "Delayed", "Normal")</f>
        <v>Normal</v>
      </c>
      <c r="V412" t="str">
        <f>IF(Table1[[#This Row],[Years
InCurrentRole]]&gt;4, "Role Stagnent", "Normal")</f>
        <v>Normal</v>
      </c>
      <c r="W412" t="str">
        <f>IF(AND(Table1[[#This Row],[Years
InCurrentRole]]&gt; 4, Table1[[#This Row],[Performance
Rating]]&gt;=3), "High Risk", "Normal")</f>
        <v>Normal</v>
      </c>
      <c r="X412" t="str">
        <f>IF(Table1[[#This Row],[Performance
Rating]]&gt;=4, "High Performer", "Low Performer")</f>
        <v>Low Performer</v>
      </c>
    </row>
    <row r="413" spans="2:24" x14ac:dyDescent="0.3">
      <c r="B413" t="s">
        <v>19</v>
      </c>
      <c r="C413" t="s">
        <v>25</v>
      </c>
      <c r="D413">
        <v>1</v>
      </c>
      <c r="E413" t="s">
        <v>21</v>
      </c>
      <c r="F413">
        <v>5</v>
      </c>
      <c r="G413" t="s">
        <v>35</v>
      </c>
      <c r="H413">
        <v>2</v>
      </c>
      <c r="I413">
        <v>18172</v>
      </c>
      <c r="J413">
        <v>19</v>
      </c>
      <c r="K413">
        <v>3</v>
      </c>
      <c r="L413">
        <v>0</v>
      </c>
      <c r="M413">
        <v>28</v>
      </c>
      <c r="N413">
        <v>1</v>
      </c>
      <c r="O413">
        <v>2</v>
      </c>
      <c r="P413">
        <v>8</v>
      </c>
      <c r="Q413">
        <v>3</v>
      </c>
      <c r="R413">
        <v>0</v>
      </c>
      <c r="S413" t="s">
        <v>23</v>
      </c>
      <c r="T413" t="s">
        <v>37</v>
      </c>
      <c r="U413" t="str">
        <f>IF(Table1[[#This Row],[YearsSince
LastPromotion]]&gt; 4, "Delayed", "Normal")</f>
        <v>Normal</v>
      </c>
      <c r="V413" t="str">
        <f>IF(Table1[[#This Row],[Years
InCurrentRole]]&gt;4, "Role Stagnent", "Normal")</f>
        <v>Normal</v>
      </c>
      <c r="W413" t="str">
        <f>IF(AND(Table1[[#This Row],[Years
InCurrentRole]]&gt; 4, Table1[[#This Row],[Performance
Rating]]&gt;=3), "High Risk", "Normal")</f>
        <v>Normal</v>
      </c>
      <c r="X413" t="str">
        <f>IF(Table1[[#This Row],[Performance
Rating]]&gt;=4, "High Performer", "Low Performer")</f>
        <v>Low Performer</v>
      </c>
    </row>
    <row r="414" spans="2:24" x14ac:dyDescent="0.3">
      <c r="B414" t="s">
        <v>19</v>
      </c>
      <c r="C414" t="s">
        <v>25</v>
      </c>
      <c r="D414">
        <v>1</v>
      </c>
      <c r="E414" t="s">
        <v>28</v>
      </c>
      <c r="F414">
        <v>2</v>
      </c>
      <c r="G414" t="s">
        <v>31</v>
      </c>
      <c r="H414">
        <v>1</v>
      </c>
      <c r="I414">
        <v>5661</v>
      </c>
      <c r="J414">
        <v>19</v>
      </c>
      <c r="K414">
        <v>3</v>
      </c>
      <c r="L414">
        <v>0</v>
      </c>
      <c r="M414">
        <v>9</v>
      </c>
      <c r="N414">
        <v>2</v>
      </c>
      <c r="O414">
        <v>3</v>
      </c>
      <c r="P414">
        <v>8</v>
      </c>
      <c r="Q414">
        <v>3</v>
      </c>
      <c r="R414">
        <v>0</v>
      </c>
      <c r="S414" t="s">
        <v>34</v>
      </c>
      <c r="T414" t="s">
        <v>37</v>
      </c>
      <c r="U414" t="str">
        <f>IF(Table1[[#This Row],[YearsSince
LastPromotion]]&gt; 4, "Delayed", "Normal")</f>
        <v>Normal</v>
      </c>
      <c r="V414" t="str">
        <f>IF(Table1[[#This Row],[Years
InCurrentRole]]&gt;4, "Role Stagnent", "Normal")</f>
        <v>Normal</v>
      </c>
      <c r="W414" t="str">
        <f>IF(AND(Table1[[#This Row],[Years
InCurrentRole]]&gt; 4, Table1[[#This Row],[Performance
Rating]]&gt;=3), "High Risk", "Normal")</f>
        <v>Normal</v>
      </c>
      <c r="X414" t="str">
        <f>IF(Table1[[#This Row],[Performance
Rating]]&gt;=4, "High Performer", "Low Performer")</f>
        <v>Low Performer</v>
      </c>
    </row>
    <row r="415" spans="2:24" x14ac:dyDescent="0.3">
      <c r="B415" t="s">
        <v>19</v>
      </c>
      <c r="C415" t="s">
        <v>25</v>
      </c>
      <c r="D415">
        <v>1</v>
      </c>
      <c r="E415" t="s">
        <v>21</v>
      </c>
      <c r="F415">
        <v>1</v>
      </c>
      <c r="G415" t="s">
        <v>29</v>
      </c>
      <c r="H415">
        <v>3</v>
      </c>
      <c r="I415">
        <v>3755</v>
      </c>
      <c r="J415">
        <v>11</v>
      </c>
      <c r="K415">
        <v>3</v>
      </c>
      <c r="L415">
        <v>1</v>
      </c>
      <c r="M415">
        <v>8</v>
      </c>
      <c r="N415">
        <v>3</v>
      </c>
      <c r="O415">
        <v>3</v>
      </c>
      <c r="P415">
        <v>8</v>
      </c>
      <c r="Q415">
        <v>3</v>
      </c>
      <c r="R415">
        <v>0</v>
      </c>
      <c r="S415" t="s">
        <v>34</v>
      </c>
      <c r="T415" t="s">
        <v>37</v>
      </c>
      <c r="U415" t="str">
        <f>IF(Table1[[#This Row],[YearsSince
LastPromotion]]&gt; 4, "Delayed", "Normal")</f>
        <v>Normal</v>
      </c>
      <c r="V415" t="str">
        <f>IF(Table1[[#This Row],[Years
InCurrentRole]]&gt;4, "Role Stagnent", "Normal")</f>
        <v>Normal</v>
      </c>
      <c r="W415" t="str">
        <f>IF(AND(Table1[[#This Row],[Years
InCurrentRole]]&gt; 4, Table1[[#This Row],[Performance
Rating]]&gt;=3), "High Risk", "Normal")</f>
        <v>Normal</v>
      </c>
      <c r="X415" t="str">
        <f>IF(Table1[[#This Row],[Performance
Rating]]&gt;=4, "High Performer", "Low Performer")</f>
        <v>Low Performer</v>
      </c>
    </row>
    <row r="416" spans="2:24" x14ac:dyDescent="0.3">
      <c r="B416" t="s">
        <v>19</v>
      </c>
      <c r="C416" t="s">
        <v>20</v>
      </c>
      <c r="D416">
        <v>1</v>
      </c>
      <c r="E416" t="s">
        <v>21</v>
      </c>
      <c r="F416">
        <v>2</v>
      </c>
      <c r="G416" t="s">
        <v>32</v>
      </c>
      <c r="H416">
        <v>4</v>
      </c>
      <c r="I416">
        <v>8686</v>
      </c>
      <c r="J416">
        <v>22</v>
      </c>
      <c r="K416">
        <v>4</v>
      </c>
      <c r="L416">
        <v>0</v>
      </c>
      <c r="M416">
        <v>12</v>
      </c>
      <c r="N416">
        <v>2</v>
      </c>
      <c r="O416">
        <v>4</v>
      </c>
      <c r="P416">
        <v>8</v>
      </c>
      <c r="Q416">
        <v>3</v>
      </c>
      <c r="R416">
        <v>0</v>
      </c>
      <c r="S416" t="s">
        <v>34</v>
      </c>
      <c r="T416" t="s">
        <v>37</v>
      </c>
      <c r="U416" t="str">
        <f>IF(Table1[[#This Row],[YearsSince
LastPromotion]]&gt; 4, "Delayed", "Normal")</f>
        <v>Normal</v>
      </c>
      <c r="V416" t="str">
        <f>IF(Table1[[#This Row],[Years
InCurrentRole]]&gt;4, "Role Stagnent", "Normal")</f>
        <v>Normal</v>
      </c>
      <c r="W416" t="str">
        <f>IF(AND(Table1[[#This Row],[Years
InCurrentRole]]&gt; 4, Table1[[#This Row],[Performance
Rating]]&gt;=3), "High Risk", "Normal")</f>
        <v>Normal</v>
      </c>
      <c r="X416" t="str">
        <f>IF(Table1[[#This Row],[Performance
Rating]]&gt;=4, "High Performer", "Low Performer")</f>
        <v>High Performer</v>
      </c>
    </row>
    <row r="417" spans="2:24" x14ac:dyDescent="0.3">
      <c r="B417" t="s">
        <v>27</v>
      </c>
      <c r="C417" t="s">
        <v>25</v>
      </c>
      <c r="D417">
        <v>1</v>
      </c>
      <c r="E417" t="s">
        <v>28</v>
      </c>
      <c r="F417">
        <v>2</v>
      </c>
      <c r="G417" t="s">
        <v>33</v>
      </c>
      <c r="H417">
        <v>1</v>
      </c>
      <c r="I417">
        <v>4213</v>
      </c>
      <c r="J417">
        <v>15</v>
      </c>
      <c r="K417">
        <v>3</v>
      </c>
      <c r="L417">
        <v>0</v>
      </c>
      <c r="M417">
        <v>10</v>
      </c>
      <c r="N417">
        <v>4</v>
      </c>
      <c r="O417">
        <v>1</v>
      </c>
      <c r="P417">
        <v>10</v>
      </c>
      <c r="Q417">
        <v>3</v>
      </c>
      <c r="R417">
        <v>0</v>
      </c>
      <c r="S417" t="s">
        <v>23</v>
      </c>
      <c r="T417" t="s">
        <v>37</v>
      </c>
      <c r="U417" t="str">
        <f>IF(Table1[[#This Row],[YearsSince
LastPromotion]]&gt; 4, "Delayed", "Normal")</f>
        <v>Normal</v>
      </c>
      <c r="V417" t="str">
        <f>IF(Table1[[#This Row],[Years
InCurrentRole]]&gt;4, "Role Stagnent", "Normal")</f>
        <v>Normal</v>
      </c>
      <c r="W417" t="str">
        <f>IF(AND(Table1[[#This Row],[Years
InCurrentRole]]&gt; 4, Table1[[#This Row],[Performance
Rating]]&gt;=3), "High Risk", "Normal")</f>
        <v>Normal</v>
      </c>
      <c r="X417" t="str">
        <f>IF(Table1[[#This Row],[Performance
Rating]]&gt;=4, "High Performer", "Low Performer")</f>
        <v>Low Performer</v>
      </c>
    </row>
    <row r="418" spans="2:24" x14ac:dyDescent="0.3">
      <c r="B418" t="s">
        <v>27</v>
      </c>
      <c r="C418" t="s">
        <v>25</v>
      </c>
      <c r="D418">
        <v>1</v>
      </c>
      <c r="E418" t="s">
        <v>28</v>
      </c>
      <c r="F418">
        <v>1</v>
      </c>
      <c r="G418" t="s">
        <v>29</v>
      </c>
      <c r="H418">
        <v>4</v>
      </c>
      <c r="I418">
        <v>2436</v>
      </c>
      <c r="J418">
        <v>13</v>
      </c>
      <c r="K418">
        <v>3</v>
      </c>
      <c r="L418">
        <v>1</v>
      </c>
      <c r="M418">
        <v>8</v>
      </c>
      <c r="N418">
        <v>2</v>
      </c>
      <c r="O418">
        <v>1</v>
      </c>
      <c r="P418">
        <v>5</v>
      </c>
      <c r="Q418">
        <v>4</v>
      </c>
      <c r="R418">
        <v>0</v>
      </c>
      <c r="S418" t="s">
        <v>23</v>
      </c>
      <c r="T418" t="s">
        <v>37</v>
      </c>
      <c r="U418" t="str">
        <f>IF(Table1[[#This Row],[YearsSince
LastPromotion]]&gt; 4, "Delayed", "Normal")</f>
        <v>Normal</v>
      </c>
      <c r="V418" t="str">
        <f>IF(Table1[[#This Row],[Years
InCurrentRole]]&gt;4, "Role Stagnent", "Normal")</f>
        <v>Normal</v>
      </c>
      <c r="W418" t="str">
        <f>IF(AND(Table1[[#This Row],[Years
InCurrentRole]]&gt; 4, Table1[[#This Row],[Performance
Rating]]&gt;=3), "High Risk", "Normal")</f>
        <v>Normal</v>
      </c>
      <c r="X418" t="str">
        <f>IF(Table1[[#This Row],[Performance
Rating]]&gt;=4, "High Performer", "Low Performer")</f>
        <v>Low Performer</v>
      </c>
    </row>
    <row r="419" spans="2:24" x14ac:dyDescent="0.3">
      <c r="B419" t="s">
        <v>19</v>
      </c>
      <c r="C419" t="s">
        <v>25</v>
      </c>
      <c r="D419">
        <v>1</v>
      </c>
      <c r="E419" t="s">
        <v>21</v>
      </c>
      <c r="F419">
        <v>1</v>
      </c>
      <c r="G419" t="s">
        <v>29</v>
      </c>
      <c r="H419">
        <v>1</v>
      </c>
      <c r="I419">
        <v>2950</v>
      </c>
      <c r="J419">
        <v>13</v>
      </c>
      <c r="K419">
        <v>3</v>
      </c>
      <c r="L419">
        <v>0</v>
      </c>
      <c r="M419">
        <v>12</v>
      </c>
      <c r="N419">
        <v>2</v>
      </c>
      <c r="O419">
        <v>1</v>
      </c>
      <c r="P419">
        <v>5</v>
      </c>
      <c r="Q419">
        <v>4</v>
      </c>
      <c r="R419">
        <v>0</v>
      </c>
      <c r="S419" t="s">
        <v>23</v>
      </c>
      <c r="T419" t="s">
        <v>37</v>
      </c>
      <c r="U419" t="str">
        <f>IF(Table1[[#This Row],[YearsSince
LastPromotion]]&gt; 4, "Delayed", "Normal")</f>
        <v>Normal</v>
      </c>
      <c r="V419" t="str">
        <f>IF(Table1[[#This Row],[Years
InCurrentRole]]&gt;4, "Role Stagnent", "Normal")</f>
        <v>Normal</v>
      </c>
      <c r="W419" t="str">
        <f>IF(AND(Table1[[#This Row],[Years
InCurrentRole]]&gt; 4, Table1[[#This Row],[Performance
Rating]]&gt;=3), "High Risk", "Normal")</f>
        <v>Normal</v>
      </c>
      <c r="X419" t="str">
        <f>IF(Table1[[#This Row],[Performance
Rating]]&gt;=4, "High Performer", "Low Performer")</f>
        <v>Low Performer</v>
      </c>
    </row>
    <row r="420" spans="2:24" x14ac:dyDescent="0.3">
      <c r="B420" t="s">
        <v>19</v>
      </c>
      <c r="C420" t="s">
        <v>25</v>
      </c>
      <c r="D420">
        <v>1</v>
      </c>
      <c r="E420" t="s">
        <v>21</v>
      </c>
      <c r="F420">
        <v>1</v>
      </c>
      <c r="G420" t="s">
        <v>26</v>
      </c>
      <c r="H420">
        <v>1</v>
      </c>
      <c r="I420">
        <v>3785</v>
      </c>
      <c r="J420">
        <v>14</v>
      </c>
      <c r="K420">
        <v>3</v>
      </c>
      <c r="L420">
        <v>0</v>
      </c>
      <c r="M420">
        <v>5</v>
      </c>
      <c r="N420">
        <v>3</v>
      </c>
      <c r="O420">
        <v>1</v>
      </c>
      <c r="P420">
        <v>5</v>
      </c>
      <c r="Q420">
        <v>4</v>
      </c>
      <c r="R420">
        <v>0</v>
      </c>
      <c r="S420" t="s">
        <v>23</v>
      </c>
      <c r="T420" t="s">
        <v>37</v>
      </c>
      <c r="U420" t="str">
        <f>IF(Table1[[#This Row],[YearsSince
LastPromotion]]&gt; 4, "Delayed", "Normal")</f>
        <v>Normal</v>
      </c>
      <c r="V420" t="str">
        <f>IF(Table1[[#This Row],[Years
InCurrentRole]]&gt;4, "Role Stagnent", "Normal")</f>
        <v>Normal</v>
      </c>
      <c r="W420" t="str">
        <f>IF(AND(Table1[[#This Row],[Years
InCurrentRole]]&gt; 4, Table1[[#This Row],[Performance
Rating]]&gt;=3), "High Risk", "Normal")</f>
        <v>Normal</v>
      </c>
      <c r="X420" t="str">
        <f>IF(Table1[[#This Row],[Performance
Rating]]&gt;=4, "High Performer", "Low Performer")</f>
        <v>Low Performer</v>
      </c>
    </row>
    <row r="421" spans="2:24" x14ac:dyDescent="0.3">
      <c r="B421" t="s">
        <v>19</v>
      </c>
      <c r="C421" t="s">
        <v>25</v>
      </c>
      <c r="D421">
        <v>1</v>
      </c>
      <c r="E421" t="s">
        <v>21</v>
      </c>
      <c r="F421">
        <v>1</v>
      </c>
      <c r="G421" t="s">
        <v>29</v>
      </c>
      <c r="H421">
        <v>2</v>
      </c>
      <c r="I421">
        <v>3294</v>
      </c>
      <c r="J421">
        <v>17</v>
      </c>
      <c r="K421">
        <v>3</v>
      </c>
      <c r="L421">
        <v>1</v>
      </c>
      <c r="M421">
        <v>7</v>
      </c>
      <c r="N421">
        <v>2</v>
      </c>
      <c r="O421">
        <v>2</v>
      </c>
      <c r="P421">
        <v>5</v>
      </c>
      <c r="Q421">
        <v>4</v>
      </c>
      <c r="R421">
        <v>0</v>
      </c>
      <c r="S421" t="s">
        <v>23</v>
      </c>
      <c r="T421" t="s">
        <v>37</v>
      </c>
      <c r="U421" t="str">
        <f>IF(Table1[[#This Row],[YearsSince
LastPromotion]]&gt; 4, "Delayed", "Normal")</f>
        <v>Normal</v>
      </c>
      <c r="V421" t="str">
        <f>IF(Table1[[#This Row],[Years
InCurrentRole]]&gt;4, "Role Stagnent", "Normal")</f>
        <v>Normal</v>
      </c>
      <c r="W421" t="str">
        <f>IF(AND(Table1[[#This Row],[Years
InCurrentRole]]&gt; 4, Table1[[#This Row],[Performance
Rating]]&gt;=3), "High Risk", "Normal")</f>
        <v>Normal</v>
      </c>
      <c r="X421" t="str">
        <f>IF(Table1[[#This Row],[Performance
Rating]]&gt;=4, "High Performer", "Low Performer")</f>
        <v>Low Performer</v>
      </c>
    </row>
    <row r="422" spans="2:24" x14ac:dyDescent="0.3">
      <c r="B422" t="s">
        <v>19</v>
      </c>
      <c r="C422" t="s">
        <v>25</v>
      </c>
      <c r="D422">
        <v>1</v>
      </c>
      <c r="E422" t="s">
        <v>28</v>
      </c>
      <c r="F422">
        <v>2</v>
      </c>
      <c r="G422" t="s">
        <v>29</v>
      </c>
      <c r="H422">
        <v>2</v>
      </c>
      <c r="I422">
        <v>6782</v>
      </c>
      <c r="J422">
        <v>15</v>
      </c>
      <c r="K422">
        <v>3</v>
      </c>
      <c r="L422">
        <v>0</v>
      </c>
      <c r="M422">
        <v>9</v>
      </c>
      <c r="N422">
        <v>2</v>
      </c>
      <c r="O422">
        <v>2</v>
      </c>
      <c r="P422">
        <v>5</v>
      </c>
      <c r="Q422">
        <v>4</v>
      </c>
      <c r="R422">
        <v>0</v>
      </c>
      <c r="S422" t="s">
        <v>23</v>
      </c>
      <c r="T422" t="s">
        <v>37</v>
      </c>
      <c r="U422" t="str">
        <f>IF(Table1[[#This Row],[YearsSince
LastPromotion]]&gt; 4, "Delayed", "Normal")</f>
        <v>Normal</v>
      </c>
      <c r="V422" t="str">
        <f>IF(Table1[[#This Row],[Years
InCurrentRole]]&gt;4, "Role Stagnent", "Normal")</f>
        <v>Normal</v>
      </c>
      <c r="W422" t="str">
        <f>IF(AND(Table1[[#This Row],[Years
InCurrentRole]]&gt; 4, Table1[[#This Row],[Performance
Rating]]&gt;=3), "High Risk", "Normal")</f>
        <v>Normal</v>
      </c>
      <c r="X422" t="str">
        <f>IF(Table1[[#This Row],[Performance
Rating]]&gt;=4, "High Performer", "Low Performer")</f>
        <v>Low Performer</v>
      </c>
    </row>
    <row r="423" spans="2:24" x14ac:dyDescent="0.3">
      <c r="B423" t="s">
        <v>19</v>
      </c>
      <c r="C423" t="s">
        <v>25</v>
      </c>
      <c r="D423">
        <v>1</v>
      </c>
      <c r="E423" t="s">
        <v>21</v>
      </c>
      <c r="F423">
        <v>1</v>
      </c>
      <c r="G423" t="s">
        <v>29</v>
      </c>
      <c r="H423">
        <v>4</v>
      </c>
      <c r="I423">
        <v>2379</v>
      </c>
      <c r="J423">
        <v>14</v>
      </c>
      <c r="K423">
        <v>3</v>
      </c>
      <c r="L423">
        <v>0</v>
      </c>
      <c r="M423">
        <v>6</v>
      </c>
      <c r="N423">
        <v>3</v>
      </c>
      <c r="O423">
        <v>2</v>
      </c>
      <c r="P423">
        <v>5</v>
      </c>
      <c r="Q423">
        <v>4</v>
      </c>
      <c r="R423">
        <v>0</v>
      </c>
      <c r="S423" t="s">
        <v>23</v>
      </c>
      <c r="T423" t="s">
        <v>37</v>
      </c>
      <c r="U423" t="str">
        <f>IF(Table1[[#This Row],[YearsSince
LastPromotion]]&gt; 4, "Delayed", "Normal")</f>
        <v>Normal</v>
      </c>
      <c r="V423" t="str">
        <f>IF(Table1[[#This Row],[Years
InCurrentRole]]&gt;4, "Role Stagnent", "Normal")</f>
        <v>Normal</v>
      </c>
      <c r="W423" t="str">
        <f>IF(AND(Table1[[#This Row],[Years
InCurrentRole]]&gt; 4, Table1[[#This Row],[Performance
Rating]]&gt;=3), "High Risk", "Normal")</f>
        <v>Normal</v>
      </c>
      <c r="X423" t="str">
        <f>IF(Table1[[#This Row],[Performance
Rating]]&gt;=4, "High Performer", "Low Performer")</f>
        <v>Low Performer</v>
      </c>
    </row>
    <row r="424" spans="2:24" x14ac:dyDescent="0.3">
      <c r="B424" t="s">
        <v>19</v>
      </c>
      <c r="C424" t="s">
        <v>25</v>
      </c>
      <c r="D424">
        <v>1</v>
      </c>
      <c r="E424" t="s">
        <v>28</v>
      </c>
      <c r="F424">
        <v>1</v>
      </c>
      <c r="G424" t="s">
        <v>26</v>
      </c>
      <c r="H424">
        <v>4</v>
      </c>
      <c r="I424">
        <v>3761</v>
      </c>
      <c r="J424">
        <v>12</v>
      </c>
      <c r="K424">
        <v>3</v>
      </c>
      <c r="L424">
        <v>1</v>
      </c>
      <c r="M424">
        <v>10</v>
      </c>
      <c r="N424">
        <v>3</v>
      </c>
      <c r="O424">
        <v>2</v>
      </c>
      <c r="P424">
        <v>5</v>
      </c>
      <c r="Q424">
        <v>4</v>
      </c>
      <c r="R424">
        <v>0</v>
      </c>
      <c r="S424" t="s">
        <v>23</v>
      </c>
      <c r="T424" t="s">
        <v>37</v>
      </c>
      <c r="U424" t="str">
        <f>IF(Table1[[#This Row],[YearsSince
LastPromotion]]&gt; 4, "Delayed", "Normal")</f>
        <v>Normal</v>
      </c>
      <c r="V424" t="str">
        <f>IF(Table1[[#This Row],[Years
InCurrentRole]]&gt;4, "Role Stagnent", "Normal")</f>
        <v>Normal</v>
      </c>
      <c r="W424" t="str">
        <f>IF(AND(Table1[[#This Row],[Years
InCurrentRole]]&gt; 4, Table1[[#This Row],[Performance
Rating]]&gt;=3), "High Risk", "Normal")</f>
        <v>Normal</v>
      </c>
      <c r="X424" t="str">
        <f>IF(Table1[[#This Row],[Performance
Rating]]&gt;=4, "High Performer", "Low Performer")</f>
        <v>Low Performer</v>
      </c>
    </row>
    <row r="425" spans="2:24" x14ac:dyDescent="0.3">
      <c r="B425" t="s">
        <v>19</v>
      </c>
      <c r="C425" t="s">
        <v>20</v>
      </c>
      <c r="D425">
        <v>1</v>
      </c>
      <c r="E425" t="s">
        <v>28</v>
      </c>
      <c r="F425">
        <v>3</v>
      </c>
      <c r="G425" t="s">
        <v>22</v>
      </c>
      <c r="H425">
        <v>4</v>
      </c>
      <c r="I425">
        <v>11557</v>
      </c>
      <c r="J425">
        <v>21</v>
      </c>
      <c r="K425">
        <v>4</v>
      </c>
      <c r="L425">
        <v>1</v>
      </c>
      <c r="M425">
        <v>10</v>
      </c>
      <c r="N425">
        <v>3</v>
      </c>
      <c r="O425">
        <v>2</v>
      </c>
      <c r="P425">
        <v>5</v>
      </c>
      <c r="Q425">
        <v>4</v>
      </c>
      <c r="R425">
        <v>0</v>
      </c>
      <c r="S425" t="s">
        <v>23</v>
      </c>
      <c r="T425" t="s">
        <v>37</v>
      </c>
      <c r="U425" t="str">
        <f>IF(Table1[[#This Row],[YearsSince
LastPromotion]]&gt; 4, "Delayed", "Normal")</f>
        <v>Normal</v>
      </c>
      <c r="V425" t="str">
        <f>IF(Table1[[#This Row],[Years
InCurrentRole]]&gt;4, "Role Stagnent", "Normal")</f>
        <v>Normal</v>
      </c>
      <c r="W425" t="str">
        <f>IF(AND(Table1[[#This Row],[Years
InCurrentRole]]&gt; 4, Table1[[#This Row],[Performance
Rating]]&gt;=3), "High Risk", "Normal")</f>
        <v>Normal</v>
      </c>
      <c r="X425" t="str">
        <f>IF(Table1[[#This Row],[Performance
Rating]]&gt;=4, "High Performer", "Low Performer")</f>
        <v>High Performer</v>
      </c>
    </row>
    <row r="426" spans="2:24" x14ac:dyDescent="0.3">
      <c r="B426" t="s">
        <v>19</v>
      </c>
      <c r="C426" t="s">
        <v>25</v>
      </c>
      <c r="D426">
        <v>1</v>
      </c>
      <c r="E426" t="s">
        <v>21</v>
      </c>
      <c r="F426">
        <v>1</v>
      </c>
      <c r="G426" t="s">
        <v>26</v>
      </c>
      <c r="H426">
        <v>3</v>
      </c>
      <c r="I426">
        <v>2632</v>
      </c>
      <c r="J426">
        <v>14</v>
      </c>
      <c r="K426">
        <v>3</v>
      </c>
      <c r="L426">
        <v>0</v>
      </c>
      <c r="M426">
        <v>5</v>
      </c>
      <c r="N426">
        <v>4</v>
      </c>
      <c r="O426">
        <v>2</v>
      </c>
      <c r="P426">
        <v>5</v>
      </c>
      <c r="Q426">
        <v>4</v>
      </c>
      <c r="R426">
        <v>0</v>
      </c>
      <c r="S426" t="s">
        <v>23</v>
      </c>
      <c r="T426" t="s">
        <v>37</v>
      </c>
      <c r="U426" t="str">
        <f>IF(Table1[[#This Row],[YearsSince
LastPromotion]]&gt; 4, "Delayed", "Normal")</f>
        <v>Normal</v>
      </c>
      <c r="V426" t="str">
        <f>IF(Table1[[#This Row],[Years
InCurrentRole]]&gt;4, "Role Stagnent", "Normal")</f>
        <v>Normal</v>
      </c>
      <c r="W426" t="str">
        <f>IF(AND(Table1[[#This Row],[Years
InCurrentRole]]&gt; 4, Table1[[#This Row],[Performance
Rating]]&gt;=3), "High Risk", "Normal")</f>
        <v>Normal</v>
      </c>
      <c r="X426" t="str">
        <f>IF(Table1[[#This Row],[Performance
Rating]]&gt;=4, "High Performer", "Low Performer")</f>
        <v>Low Performer</v>
      </c>
    </row>
    <row r="427" spans="2:24" x14ac:dyDescent="0.3">
      <c r="B427" t="s">
        <v>19</v>
      </c>
      <c r="C427" t="s">
        <v>25</v>
      </c>
      <c r="D427">
        <v>1</v>
      </c>
      <c r="E427" t="s">
        <v>21</v>
      </c>
      <c r="F427">
        <v>1</v>
      </c>
      <c r="G427" t="s">
        <v>26</v>
      </c>
      <c r="H427">
        <v>3</v>
      </c>
      <c r="I427">
        <v>2029</v>
      </c>
      <c r="J427">
        <v>20</v>
      </c>
      <c r="K427">
        <v>4</v>
      </c>
      <c r="L427">
        <v>3</v>
      </c>
      <c r="M427">
        <v>5</v>
      </c>
      <c r="N427">
        <v>2</v>
      </c>
      <c r="O427">
        <v>3</v>
      </c>
      <c r="P427">
        <v>5</v>
      </c>
      <c r="Q427">
        <v>4</v>
      </c>
      <c r="R427">
        <v>0</v>
      </c>
      <c r="S427" t="s">
        <v>34</v>
      </c>
      <c r="T427" t="s">
        <v>37</v>
      </c>
      <c r="U427" t="str">
        <f>IF(Table1[[#This Row],[YearsSince
LastPromotion]]&gt; 4, "Delayed", "Normal")</f>
        <v>Normal</v>
      </c>
      <c r="V427" t="str">
        <f>IF(Table1[[#This Row],[Years
InCurrentRole]]&gt;4, "Role Stagnent", "Normal")</f>
        <v>Normal</v>
      </c>
      <c r="W427" t="str">
        <f>IF(AND(Table1[[#This Row],[Years
InCurrentRole]]&gt; 4, Table1[[#This Row],[Performance
Rating]]&gt;=3), "High Risk", "Normal")</f>
        <v>Normal</v>
      </c>
      <c r="X427" t="str">
        <f>IF(Table1[[#This Row],[Performance
Rating]]&gt;=4, "High Performer", "Low Performer")</f>
        <v>High Performer</v>
      </c>
    </row>
    <row r="428" spans="2:24" x14ac:dyDescent="0.3">
      <c r="B428" t="s">
        <v>19</v>
      </c>
      <c r="C428" t="s">
        <v>25</v>
      </c>
      <c r="D428">
        <v>1</v>
      </c>
      <c r="E428" t="s">
        <v>21</v>
      </c>
      <c r="F428">
        <v>2</v>
      </c>
      <c r="G428" t="s">
        <v>33</v>
      </c>
      <c r="H428">
        <v>4</v>
      </c>
      <c r="I428">
        <v>6091</v>
      </c>
      <c r="J428">
        <v>20</v>
      </c>
      <c r="K428">
        <v>4</v>
      </c>
      <c r="L428">
        <v>0</v>
      </c>
      <c r="M428">
        <v>11</v>
      </c>
      <c r="N428">
        <v>2</v>
      </c>
      <c r="O428">
        <v>3</v>
      </c>
      <c r="P428">
        <v>5</v>
      </c>
      <c r="Q428">
        <v>4</v>
      </c>
      <c r="R428">
        <v>0</v>
      </c>
      <c r="S428" t="s">
        <v>34</v>
      </c>
      <c r="T428" t="s">
        <v>37</v>
      </c>
      <c r="U428" t="str">
        <f>IF(Table1[[#This Row],[YearsSince
LastPromotion]]&gt; 4, "Delayed", "Normal")</f>
        <v>Normal</v>
      </c>
      <c r="V428" t="str">
        <f>IF(Table1[[#This Row],[Years
InCurrentRole]]&gt;4, "Role Stagnent", "Normal")</f>
        <v>Normal</v>
      </c>
      <c r="W428" t="str">
        <f>IF(AND(Table1[[#This Row],[Years
InCurrentRole]]&gt; 4, Table1[[#This Row],[Performance
Rating]]&gt;=3), "High Risk", "Normal")</f>
        <v>Normal</v>
      </c>
      <c r="X428" t="str">
        <f>IF(Table1[[#This Row],[Performance
Rating]]&gt;=4, "High Performer", "Low Performer")</f>
        <v>High Performer</v>
      </c>
    </row>
    <row r="429" spans="2:24" x14ac:dyDescent="0.3">
      <c r="B429" t="s">
        <v>19</v>
      </c>
      <c r="C429" t="s">
        <v>36</v>
      </c>
      <c r="D429">
        <v>1</v>
      </c>
      <c r="E429" t="s">
        <v>21</v>
      </c>
      <c r="F429">
        <v>2</v>
      </c>
      <c r="G429" t="s">
        <v>36</v>
      </c>
      <c r="H429">
        <v>4</v>
      </c>
      <c r="I429">
        <v>5204</v>
      </c>
      <c r="J429">
        <v>11</v>
      </c>
      <c r="K429">
        <v>3</v>
      </c>
      <c r="L429">
        <v>2</v>
      </c>
      <c r="M429">
        <v>13</v>
      </c>
      <c r="N429">
        <v>2</v>
      </c>
      <c r="O429">
        <v>3</v>
      </c>
      <c r="P429">
        <v>5</v>
      </c>
      <c r="Q429">
        <v>4</v>
      </c>
      <c r="R429">
        <v>0</v>
      </c>
      <c r="S429" t="s">
        <v>34</v>
      </c>
      <c r="T429" t="s">
        <v>37</v>
      </c>
      <c r="U429" t="str">
        <f>IF(Table1[[#This Row],[YearsSince
LastPromotion]]&gt; 4, "Delayed", "Normal")</f>
        <v>Normal</v>
      </c>
      <c r="V429" t="str">
        <f>IF(Table1[[#This Row],[Years
InCurrentRole]]&gt;4, "Role Stagnent", "Normal")</f>
        <v>Normal</v>
      </c>
      <c r="W429" t="str">
        <f>IF(AND(Table1[[#This Row],[Years
InCurrentRole]]&gt; 4, Table1[[#This Row],[Performance
Rating]]&gt;=3), "High Risk", "Normal")</f>
        <v>Normal</v>
      </c>
      <c r="X429" t="str">
        <f>IF(Table1[[#This Row],[Performance
Rating]]&gt;=4, "High Performer", "Low Performer")</f>
        <v>Low Performer</v>
      </c>
    </row>
    <row r="430" spans="2:24" x14ac:dyDescent="0.3">
      <c r="B430" t="s">
        <v>19</v>
      </c>
      <c r="C430" t="s">
        <v>20</v>
      </c>
      <c r="D430">
        <v>1</v>
      </c>
      <c r="E430" t="s">
        <v>28</v>
      </c>
      <c r="F430">
        <v>3</v>
      </c>
      <c r="G430" t="s">
        <v>32</v>
      </c>
      <c r="H430">
        <v>1</v>
      </c>
      <c r="I430">
        <v>10761</v>
      </c>
      <c r="J430">
        <v>12</v>
      </c>
      <c r="K430">
        <v>3</v>
      </c>
      <c r="L430">
        <v>1</v>
      </c>
      <c r="M430">
        <v>18</v>
      </c>
      <c r="N430">
        <v>2</v>
      </c>
      <c r="O430">
        <v>3</v>
      </c>
      <c r="P430">
        <v>5</v>
      </c>
      <c r="Q430">
        <v>4</v>
      </c>
      <c r="R430">
        <v>0</v>
      </c>
      <c r="S430" t="s">
        <v>34</v>
      </c>
      <c r="T430" t="s">
        <v>37</v>
      </c>
      <c r="U430" t="str">
        <f>IF(Table1[[#This Row],[YearsSince
LastPromotion]]&gt; 4, "Delayed", "Normal")</f>
        <v>Normal</v>
      </c>
      <c r="V430" t="str">
        <f>IF(Table1[[#This Row],[Years
InCurrentRole]]&gt;4, "Role Stagnent", "Normal")</f>
        <v>Normal</v>
      </c>
      <c r="W430" t="str">
        <f>IF(AND(Table1[[#This Row],[Years
InCurrentRole]]&gt; 4, Table1[[#This Row],[Performance
Rating]]&gt;=3), "High Risk", "Normal")</f>
        <v>Normal</v>
      </c>
      <c r="X430" t="str">
        <f>IF(Table1[[#This Row],[Performance
Rating]]&gt;=4, "High Performer", "Low Performer")</f>
        <v>Low Performer</v>
      </c>
    </row>
    <row r="431" spans="2:24" x14ac:dyDescent="0.3">
      <c r="B431" t="s">
        <v>19</v>
      </c>
      <c r="C431" t="s">
        <v>20</v>
      </c>
      <c r="D431">
        <v>1</v>
      </c>
      <c r="E431" t="s">
        <v>28</v>
      </c>
      <c r="F431">
        <v>2</v>
      </c>
      <c r="G431" t="s">
        <v>32</v>
      </c>
      <c r="H431">
        <v>3</v>
      </c>
      <c r="I431">
        <v>4478</v>
      </c>
      <c r="J431">
        <v>11</v>
      </c>
      <c r="K431">
        <v>3</v>
      </c>
      <c r="L431">
        <v>0</v>
      </c>
      <c r="M431">
        <v>5</v>
      </c>
      <c r="N431">
        <v>3</v>
      </c>
      <c r="O431">
        <v>3</v>
      </c>
      <c r="P431">
        <v>5</v>
      </c>
      <c r="Q431">
        <v>4</v>
      </c>
      <c r="R431">
        <v>0</v>
      </c>
      <c r="S431" t="s">
        <v>34</v>
      </c>
      <c r="T431" t="s">
        <v>37</v>
      </c>
      <c r="U431" t="str">
        <f>IF(Table1[[#This Row],[YearsSince
LastPromotion]]&gt; 4, "Delayed", "Normal")</f>
        <v>Normal</v>
      </c>
      <c r="V431" t="str">
        <f>IF(Table1[[#This Row],[Years
InCurrentRole]]&gt;4, "Role Stagnent", "Normal")</f>
        <v>Normal</v>
      </c>
      <c r="W431" t="str">
        <f>IF(AND(Table1[[#This Row],[Years
InCurrentRole]]&gt; 4, Table1[[#This Row],[Performance
Rating]]&gt;=3), "High Risk", "Normal")</f>
        <v>Normal</v>
      </c>
      <c r="X431" t="str">
        <f>IF(Table1[[#This Row],[Performance
Rating]]&gt;=4, "High Performer", "Low Performer")</f>
        <v>Low Performer</v>
      </c>
    </row>
    <row r="432" spans="2:24" x14ac:dyDescent="0.3">
      <c r="B432" t="s">
        <v>19</v>
      </c>
      <c r="C432" t="s">
        <v>20</v>
      </c>
      <c r="D432">
        <v>1</v>
      </c>
      <c r="E432" t="s">
        <v>21</v>
      </c>
      <c r="F432">
        <v>2</v>
      </c>
      <c r="G432" t="s">
        <v>32</v>
      </c>
      <c r="H432">
        <v>3</v>
      </c>
      <c r="I432">
        <v>4859</v>
      </c>
      <c r="J432">
        <v>16</v>
      </c>
      <c r="K432">
        <v>3</v>
      </c>
      <c r="L432">
        <v>0</v>
      </c>
      <c r="M432">
        <v>5</v>
      </c>
      <c r="N432">
        <v>3</v>
      </c>
      <c r="O432">
        <v>3</v>
      </c>
      <c r="P432">
        <v>5</v>
      </c>
      <c r="Q432">
        <v>4</v>
      </c>
      <c r="R432">
        <v>0</v>
      </c>
      <c r="S432" t="s">
        <v>34</v>
      </c>
      <c r="T432" t="s">
        <v>37</v>
      </c>
      <c r="U432" t="str">
        <f>IF(Table1[[#This Row],[YearsSince
LastPromotion]]&gt; 4, "Delayed", "Normal")</f>
        <v>Normal</v>
      </c>
      <c r="V432" t="str">
        <f>IF(Table1[[#This Row],[Years
InCurrentRole]]&gt;4, "Role Stagnent", "Normal")</f>
        <v>Normal</v>
      </c>
      <c r="W432" t="str">
        <f>IF(AND(Table1[[#This Row],[Years
InCurrentRole]]&gt; 4, Table1[[#This Row],[Performance
Rating]]&gt;=3), "High Risk", "Normal")</f>
        <v>Normal</v>
      </c>
      <c r="X432" t="str">
        <f>IF(Table1[[#This Row],[Performance
Rating]]&gt;=4, "High Performer", "Low Performer")</f>
        <v>Low Performer</v>
      </c>
    </row>
    <row r="433" spans="2:24" x14ac:dyDescent="0.3">
      <c r="B433" t="s">
        <v>19</v>
      </c>
      <c r="C433" t="s">
        <v>25</v>
      </c>
      <c r="D433">
        <v>1</v>
      </c>
      <c r="E433" t="s">
        <v>28</v>
      </c>
      <c r="F433">
        <v>1</v>
      </c>
      <c r="G433" t="s">
        <v>29</v>
      </c>
      <c r="H433">
        <v>2</v>
      </c>
      <c r="I433">
        <v>2810</v>
      </c>
      <c r="J433">
        <v>22</v>
      </c>
      <c r="K433">
        <v>4</v>
      </c>
      <c r="L433">
        <v>0</v>
      </c>
      <c r="M433">
        <v>5</v>
      </c>
      <c r="N433">
        <v>3</v>
      </c>
      <c r="O433">
        <v>3</v>
      </c>
      <c r="P433">
        <v>5</v>
      </c>
      <c r="Q433">
        <v>4</v>
      </c>
      <c r="R433">
        <v>0</v>
      </c>
      <c r="S433" t="s">
        <v>34</v>
      </c>
      <c r="T433" t="s">
        <v>37</v>
      </c>
      <c r="U433" t="str">
        <f>IF(Table1[[#This Row],[YearsSince
LastPromotion]]&gt; 4, "Delayed", "Normal")</f>
        <v>Normal</v>
      </c>
      <c r="V433" t="str">
        <f>IF(Table1[[#This Row],[Years
InCurrentRole]]&gt;4, "Role Stagnent", "Normal")</f>
        <v>Normal</v>
      </c>
      <c r="W433" t="str">
        <f>IF(AND(Table1[[#This Row],[Years
InCurrentRole]]&gt; 4, Table1[[#This Row],[Performance
Rating]]&gt;=3), "High Risk", "Normal")</f>
        <v>Normal</v>
      </c>
      <c r="X433" t="str">
        <f>IF(Table1[[#This Row],[Performance
Rating]]&gt;=4, "High Performer", "Low Performer")</f>
        <v>High Performer</v>
      </c>
    </row>
    <row r="434" spans="2:24" x14ac:dyDescent="0.3">
      <c r="B434" t="s">
        <v>19</v>
      </c>
      <c r="C434" t="s">
        <v>25</v>
      </c>
      <c r="D434">
        <v>1</v>
      </c>
      <c r="E434" t="s">
        <v>21</v>
      </c>
      <c r="F434">
        <v>1</v>
      </c>
      <c r="G434" t="s">
        <v>29</v>
      </c>
      <c r="H434">
        <v>3</v>
      </c>
      <c r="I434">
        <v>3702</v>
      </c>
      <c r="J434">
        <v>11</v>
      </c>
      <c r="K434">
        <v>3</v>
      </c>
      <c r="L434">
        <v>1</v>
      </c>
      <c r="M434">
        <v>5</v>
      </c>
      <c r="N434">
        <v>3</v>
      </c>
      <c r="O434">
        <v>3</v>
      </c>
      <c r="P434">
        <v>5</v>
      </c>
      <c r="Q434">
        <v>4</v>
      </c>
      <c r="R434">
        <v>0</v>
      </c>
      <c r="S434" t="s">
        <v>34</v>
      </c>
      <c r="T434" t="s">
        <v>37</v>
      </c>
      <c r="U434" t="str">
        <f>IF(Table1[[#This Row],[YearsSince
LastPromotion]]&gt; 4, "Delayed", "Normal")</f>
        <v>Normal</v>
      </c>
      <c r="V434" t="str">
        <f>IF(Table1[[#This Row],[Years
InCurrentRole]]&gt;4, "Role Stagnent", "Normal")</f>
        <v>Normal</v>
      </c>
      <c r="W434" t="str">
        <f>IF(AND(Table1[[#This Row],[Years
InCurrentRole]]&gt; 4, Table1[[#This Row],[Performance
Rating]]&gt;=3), "High Risk", "Normal")</f>
        <v>Normal</v>
      </c>
      <c r="X434" t="str">
        <f>IF(Table1[[#This Row],[Performance
Rating]]&gt;=4, "High Performer", "Low Performer")</f>
        <v>Low Performer</v>
      </c>
    </row>
    <row r="435" spans="2:24" x14ac:dyDescent="0.3">
      <c r="B435" t="s">
        <v>19</v>
      </c>
      <c r="C435" t="s">
        <v>20</v>
      </c>
      <c r="D435">
        <v>1</v>
      </c>
      <c r="E435" t="s">
        <v>21</v>
      </c>
      <c r="F435">
        <v>2</v>
      </c>
      <c r="G435" t="s">
        <v>32</v>
      </c>
      <c r="H435">
        <v>3</v>
      </c>
      <c r="I435">
        <v>4162</v>
      </c>
      <c r="J435">
        <v>12</v>
      </c>
      <c r="K435">
        <v>3</v>
      </c>
      <c r="L435">
        <v>2</v>
      </c>
      <c r="M435">
        <v>5</v>
      </c>
      <c r="N435">
        <v>3</v>
      </c>
      <c r="O435">
        <v>3</v>
      </c>
      <c r="P435">
        <v>5</v>
      </c>
      <c r="Q435">
        <v>4</v>
      </c>
      <c r="R435">
        <v>0</v>
      </c>
      <c r="S435" t="s">
        <v>34</v>
      </c>
      <c r="T435" t="s">
        <v>37</v>
      </c>
      <c r="U435" t="str">
        <f>IF(Table1[[#This Row],[YearsSince
LastPromotion]]&gt; 4, "Delayed", "Normal")</f>
        <v>Normal</v>
      </c>
      <c r="V435" t="str">
        <f>IF(Table1[[#This Row],[Years
InCurrentRole]]&gt;4, "Role Stagnent", "Normal")</f>
        <v>Normal</v>
      </c>
      <c r="W435" t="str">
        <f>IF(AND(Table1[[#This Row],[Years
InCurrentRole]]&gt; 4, Table1[[#This Row],[Performance
Rating]]&gt;=3), "High Risk", "Normal")</f>
        <v>Normal</v>
      </c>
      <c r="X435" t="str">
        <f>IF(Table1[[#This Row],[Performance
Rating]]&gt;=4, "High Performer", "Low Performer")</f>
        <v>Low Performer</v>
      </c>
    </row>
    <row r="436" spans="2:24" x14ac:dyDescent="0.3">
      <c r="B436" t="s">
        <v>19</v>
      </c>
      <c r="C436" t="s">
        <v>36</v>
      </c>
      <c r="D436">
        <v>1</v>
      </c>
      <c r="E436" t="s">
        <v>28</v>
      </c>
      <c r="F436">
        <v>1</v>
      </c>
      <c r="G436" t="s">
        <v>36</v>
      </c>
      <c r="H436">
        <v>1</v>
      </c>
      <c r="I436">
        <v>2342</v>
      </c>
      <c r="J436">
        <v>21</v>
      </c>
      <c r="K436">
        <v>4</v>
      </c>
      <c r="L436">
        <v>0</v>
      </c>
      <c r="M436">
        <v>6</v>
      </c>
      <c r="N436">
        <v>3</v>
      </c>
      <c r="O436">
        <v>3</v>
      </c>
      <c r="P436">
        <v>5</v>
      </c>
      <c r="Q436">
        <v>4</v>
      </c>
      <c r="R436">
        <v>0</v>
      </c>
      <c r="S436" t="s">
        <v>34</v>
      </c>
      <c r="T436" t="s">
        <v>37</v>
      </c>
      <c r="U436" t="str">
        <f>IF(Table1[[#This Row],[YearsSince
LastPromotion]]&gt; 4, "Delayed", "Normal")</f>
        <v>Normal</v>
      </c>
      <c r="V436" t="str">
        <f>IF(Table1[[#This Row],[Years
InCurrentRole]]&gt;4, "Role Stagnent", "Normal")</f>
        <v>Normal</v>
      </c>
      <c r="W436" t="str">
        <f>IF(AND(Table1[[#This Row],[Years
InCurrentRole]]&gt; 4, Table1[[#This Row],[Performance
Rating]]&gt;=3), "High Risk", "Normal")</f>
        <v>Normal</v>
      </c>
      <c r="X436" t="str">
        <f>IF(Table1[[#This Row],[Performance
Rating]]&gt;=4, "High Performer", "Low Performer")</f>
        <v>High Performer</v>
      </c>
    </row>
    <row r="437" spans="2:24" x14ac:dyDescent="0.3">
      <c r="B437" t="s">
        <v>19</v>
      </c>
      <c r="C437" t="s">
        <v>25</v>
      </c>
      <c r="D437">
        <v>1</v>
      </c>
      <c r="E437" t="s">
        <v>28</v>
      </c>
      <c r="F437">
        <v>1</v>
      </c>
      <c r="G437" t="s">
        <v>26</v>
      </c>
      <c r="H437">
        <v>2</v>
      </c>
      <c r="I437">
        <v>2703</v>
      </c>
      <c r="J437">
        <v>23</v>
      </c>
      <c r="K437">
        <v>4</v>
      </c>
      <c r="L437">
        <v>1</v>
      </c>
      <c r="M437">
        <v>6</v>
      </c>
      <c r="N437">
        <v>3</v>
      </c>
      <c r="O437">
        <v>3</v>
      </c>
      <c r="P437">
        <v>5</v>
      </c>
      <c r="Q437">
        <v>4</v>
      </c>
      <c r="R437">
        <v>0</v>
      </c>
      <c r="S437" t="s">
        <v>34</v>
      </c>
      <c r="T437" t="s">
        <v>37</v>
      </c>
      <c r="U437" t="str">
        <f>IF(Table1[[#This Row],[YearsSince
LastPromotion]]&gt; 4, "Delayed", "Normal")</f>
        <v>Normal</v>
      </c>
      <c r="V437" t="str">
        <f>IF(Table1[[#This Row],[Years
InCurrentRole]]&gt;4, "Role Stagnent", "Normal")</f>
        <v>Normal</v>
      </c>
      <c r="W437" t="str">
        <f>IF(AND(Table1[[#This Row],[Years
InCurrentRole]]&gt; 4, Table1[[#This Row],[Performance
Rating]]&gt;=3), "High Risk", "Normal")</f>
        <v>Normal</v>
      </c>
      <c r="X437" t="str">
        <f>IF(Table1[[#This Row],[Performance
Rating]]&gt;=4, "High Performer", "Low Performer")</f>
        <v>High Performer</v>
      </c>
    </row>
    <row r="438" spans="2:24" x14ac:dyDescent="0.3">
      <c r="B438" t="s">
        <v>19</v>
      </c>
      <c r="C438" t="s">
        <v>25</v>
      </c>
      <c r="D438">
        <v>1</v>
      </c>
      <c r="E438" t="s">
        <v>28</v>
      </c>
      <c r="F438">
        <v>1</v>
      </c>
      <c r="G438" t="s">
        <v>26</v>
      </c>
      <c r="H438">
        <v>4</v>
      </c>
      <c r="I438">
        <v>2132</v>
      </c>
      <c r="J438">
        <v>20</v>
      </c>
      <c r="K438">
        <v>4</v>
      </c>
      <c r="L438">
        <v>1</v>
      </c>
      <c r="M438">
        <v>8</v>
      </c>
      <c r="N438">
        <v>3</v>
      </c>
      <c r="O438">
        <v>3</v>
      </c>
      <c r="P438">
        <v>5</v>
      </c>
      <c r="Q438">
        <v>4</v>
      </c>
      <c r="R438">
        <v>0</v>
      </c>
      <c r="S438" t="s">
        <v>34</v>
      </c>
      <c r="T438" t="s">
        <v>37</v>
      </c>
      <c r="U438" t="str">
        <f>IF(Table1[[#This Row],[YearsSince
LastPromotion]]&gt; 4, "Delayed", "Normal")</f>
        <v>Normal</v>
      </c>
      <c r="V438" t="str">
        <f>IF(Table1[[#This Row],[Years
InCurrentRole]]&gt;4, "Role Stagnent", "Normal")</f>
        <v>Normal</v>
      </c>
      <c r="W438" t="str">
        <f>IF(AND(Table1[[#This Row],[Years
InCurrentRole]]&gt; 4, Table1[[#This Row],[Performance
Rating]]&gt;=3), "High Risk", "Normal")</f>
        <v>Normal</v>
      </c>
      <c r="X438" t="str">
        <f>IF(Table1[[#This Row],[Performance
Rating]]&gt;=4, "High Performer", "Low Performer")</f>
        <v>High Performer</v>
      </c>
    </row>
    <row r="439" spans="2:24" x14ac:dyDescent="0.3">
      <c r="B439" t="s">
        <v>19</v>
      </c>
      <c r="C439" t="s">
        <v>20</v>
      </c>
      <c r="D439">
        <v>1</v>
      </c>
      <c r="E439" t="s">
        <v>21</v>
      </c>
      <c r="F439">
        <v>1</v>
      </c>
      <c r="G439" t="s">
        <v>30</v>
      </c>
      <c r="H439">
        <v>4</v>
      </c>
      <c r="I439">
        <v>2973</v>
      </c>
      <c r="J439">
        <v>15</v>
      </c>
      <c r="K439">
        <v>3</v>
      </c>
      <c r="L439">
        <v>1</v>
      </c>
      <c r="M439">
        <v>10</v>
      </c>
      <c r="N439">
        <v>3</v>
      </c>
      <c r="O439">
        <v>3</v>
      </c>
      <c r="P439">
        <v>5</v>
      </c>
      <c r="Q439">
        <v>4</v>
      </c>
      <c r="R439">
        <v>0</v>
      </c>
      <c r="S439" t="s">
        <v>34</v>
      </c>
      <c r="T439" t="s">
        <v>37</v>
      </c>
      <c r="U439" t="str">
        <f>IF(Table1[[#This Row],[YearsSince
LastPromotion]]&gt; 4, "Delayed", "Normal")</f>
        <v>Normal</v>
      </c>
      <c r="V439" t="str">
        <f>IF(Table1[[#This Row],[Years
InCurrentRole]]&gt;4, "Role Stagnent", "Normal")</f>
        <v>Normal</v>
      </c>
      <c r="W439" t="str">
        <f>IF(AND(Table1[[#This Row],[Years
InCurrentRole]]&gt; 4, Table1[[#This Row],[Performance
Rating]]&gt;=3), "High Risk", "Normal")</f>
        <v>Normal</v>
      </c>
      <c r="X439" t="str">
        <f>IF(Table1[[#This Row],[Performance
Rating]]&gt;=4, "High Performer", "Low Performer")</f>
        <v>Low Performer</v>
      </c>
    </row>
    <row r="440" spans="2:24" x14ac:dyDescent="0.3">
      <c r="B440" t="s">
        <v>19</v>
      </c>
      <c r="C440" t="s">
        <v>25</v>
      </c>
      <c r="D440">
        <v>1</v>
      </c>
      <c r="E440" t="s">
        <v>28</v>
      </c>
      <c r="F440">
        <v>2</v>
      </c>
      <c r="G440" t="s">
        <v>31</v>
      </c>
      <c r="H440">
        <v>1</v>
      </c>
      <c r="I440">
        <v>6842</v>
      </c>
      <c r="J440">
        <v>20</v>
      </c>
      <c r="K440">
        <v>4</v>
      </c>
      <c r="L440">
        <v>1</v>
      </c>
      <c r="M440">
        <v>13</v>
      </c>
      <c r="N440">
        <v>3</v>
      </c>
      <c r="O440">
        <v>3</v>
      </c>
      <c r="P440">
        <v>5</v>
      </c>
      <c r="Q440">
        <v>4</v>
      </c>
      <c r="R440">
        <v>0</v>
      </c>
      <c r="S440" t="s">
        <v>34</v>
      </c>
      <c r="T440" t="s">
        <v>37</v>
      </c>
      <c r="U440" t="str">
        <f>IF(Table1[[#This Row],[YearsSince
LastPromotion]]&gt; 4, "Delayed", "Normal")</f>
        <v>Normal</v>
      </c>
      <c r="V440" t="str">
        <f>IF(Table1[[#This Row],[Years
InCurrentRole]]&gt;4, "Role Stagnent", "Normal")</f>
        <v>Normal</v>
      </c>
      <c r="W440" t="str">
        <f>IF(AND(Table1[[#This Row],[Years
InCurrentRole]]&gt; 4, Table1[[#This Row],[Performance
Rating]]&gt;=3), "High Risk", "Normal")</f>
        <v>Normal</v>
      </c>
      <c r="X440" t="str">
        <f>IF(Table1[[#This Row],[Performance
Rating]]&gt;=4, "High Performer", "Low Performer")</f>
        <v>High Performer</v>
      </c>
    </row>
    <row r="441" spans="2:24" x14ac:dyDescent="0.3">
      <c r="B441" t="s">
        <v>19</v>
      </c>
      <c r="C441" t="s">
        <v>20</v>
      </c>
      <c r="D441">
        <v>1</v>
      </c>
      <c r="E441" t="s">
        <v>21</v>
      </c>
      <c r="F441">
        <v>2</v>
      </c>
      <c r="G441" t="s">
        <v>32</v>
      </c>
      <c r="H441">
        <v>2</v>
      </c>
      <c r="I441">
        <v>9278</v>
      </c>
      <c r="J441">
        <v>16</v>
      </c>
      <c r="K441">
        <v>3</v>
      </c>
      <c r="L441">
        <v>0</v>
      </c>
      <c r="M441">
        <v>15</v>
      </c>
      <c r="N441">
        <v>3</v>
      </c>
      <c r="O441">
        <v>3</v>
      </c>
      <c r="P441">
        <v>5</v>
      </c>
      <c r="Q441">
        <v>4</v>
      </c>
      <c r="R441">
        <v>0</v>
      </c>
      <c r="S441" t="s">
        <v>34</v>
      </c>
      <c r="T441" t="s">
        <v>37</v>
      </c>
      <c r="U441" t="str">
        <f>IF(Table1[[#This Row],[YearsSince
LastPromotion]]&gt; 4, "Delayed", "Normal")</f>
        <v>Normal</v>
      </c>
      <c r="V441" t="str">
        <f>IF(Table1[[#This Row],[Years
InCurrentRole]]&gt;4, "Role Stagnent", "Normal")</f>
        <v>Normal</v>
      </c>
      <c r="W441" t="str">
        <f>IF(AND(Table1[[#This Row],[Years
InCurrentRole]]&gt; 4, Table1[[#This Row],[Performance
Rating]]&gt;=3), "High Risk", "Normal")</f>
        <v>Normal</v>
      </c>
      <c r="X441" t="str">
        <f>IF(Table1[[#This Row],[Performance
Rating]]&gt;=4, "High Performer", "Low Performer")</f>
        <v>Low Performer</v>
      </c>
    </row>
    <row r="442" spans="2:24" x14ac:dyDescent="0.3">
      <c r="B442" t="s">
        <v>19</v>
      </c>
      <c r="C442" t="s">
        <v>25</v>
      </c>
      <c r="D442">
        <v>1</v>
      </c>
      <c r="E442" t="s">
        <v>21</v>
      </c>
      <c r="F442">
        <v>1</v>
      </c>
      <c r="G442" t="s">
        <v>29</v>
      </c>
      <c r="H442">
        <v>1</v>
      </c>
      <c r="I442">
        <v>3452</v>
      </c>
      <c r="J442">
        <v>20</v>
      </c>
      <c r="K442">
        <v>4</v>
      </c>
      <c r="L442">
        <v>1</v>
      </c>
      <c r="M442">
        <v>17</v>
      </c>
      <c r="N442">
        <v>3</v>
      </c>
      <c r="O442">
        <v>3</v>
      </c>
      <c r="P442">
        <v>5</v>
      </c>
      <c r="Q442">
        <v>4</v>
      </c>
      <c r="R442">
        <v>0</v>
      </c>
      <c r="S442" t="s">
        <v>34</v>
      </c>
      <c r="T442" t="s">
        <v>37</v>
      </c>
      <c r="U442" t="str">
        <f>IF(Table1[[#This Row],[YearsSince
LastPromotion]]&gt; 4, "Delayed", "Normal")</f>
        <v>Normal</v>
      </c>
      <c r="V442" t="str">
        <f>IF(Table1[[#This Row],[Years
InCurrentRole]]&gt;4, "Role Stagnent", "Normal")</f>
        <v>Normal</v>
      </c>
      <c r="W442" t="str">
        <f>IF(AND(Table1[[#This Row],[Years
InCurrentRole]]&gt; 4, Table1[[#This Row],[Performance
Rating]]&gt;=3), "High Risk", "Normal")</f>
        <v>Normal</v>
      </c>
      <c r="X442" t="str">
        <f>IF(Table1[[#This Row],[Performance
Rating]]&gt;=4, "High Performer", "Low Performer")</f>
        <v>High Performer</v>
      </c>
    </row>
    <row r="443" spans="2:24" x14ac:dyDescent="0.3">
      <c r="B443" t="s">
        <v>19</v>
      </c>
      <c r="C443" t="s">
        <v>25</v>
      </c>
      <c r="D443">
        <v>1</v>
      </c>
      <c r="E443" t="s">
        <v>21</v>
      </c>
      <c r="F443">
        <v>2</v>
      </c>
      <c r="G443" t="s">
        <v>26</v>
      </c>
      <c r="H443">
        <v>3</v>
      </c>
      <c r="I443">
        <v>4556</v>
      </c>
      <c r="J443">
        <v>11</v>
      </c>
      <c r="K443">
        <v>3</v>
      </c>
      <c r="L443">
        <v>1</v>
      </c>
      <c r="M443">
        <v>19</v>
      </c>
      <c r="N443">
        <v>3</v>
      </c>
      <c r="O443">
        <v>3</v>
      </c>
      <c r="P443">
        <v>5</v>
      </c>
      <c r="Q443">
        <v>4</v>
      </c>
      <c r="R443">
        <v>0</v>
      </c>
      <c r="S443" t="s">
        <v>34</v>
      </c>
      <c r="T443" t="s">
        <v>37</v>
      </c>
      <c r="U443" t="str">
        <f>IF(Table1[[#This Row],[YearsSince
LastPromotion]]&gt; 4, "Delayed", "Normal")</f>
        <v>Normal</v>
      </c>
      <c r="V443" t="str">
        <f>IF(Table1[[#This Row],[Years
InCurrentRole]]&gt;4, "Role Stagnent", "Normal")</f>
        <v>Normal</v>
      </c>
      <c r="W443" t="str">
        <f>IF(AND(Table1[[#This Row],[Years
InCurrentRole]]&gt; 4, Table1[[#This Row],[Performance
Rating]]&gt;=3), "High Risk", "Normal")</f>
        <v>Normal</v>
      </c>
      <c r="X443" t="str">
        <f>IF(Table1[[#This Row],[Performance
Rating]]&gt;=4, "High Performer", "Low Performer")</f>
        <v>Low Performer</v>
      </c>
    </row>
    <row r="444" spans="2:24" x14ac:dyDescent="0.3">
      <c r="B444" t="s">
        <v>19</v>
      </c>
      <c r="C444" t="s">
        <v>25</v>
      </c>
      <c r="D444">
        <v>1</v>
      </c>
      <c r="E444" t="s">
        <v>21</v>
      </c>
      <c r="F444">
        <v>1</v>
      </c>
      <c r="G444" t="s">
        <v>26</v>
      </c>
      <c r="H444">
        <v>3</v>
      </c>
      <c r="I444">
        <v>2942</v>
      </c>
      <c r="J444">
        <v>19</v>
      </c>
      <c r="K444">
        <v>3</v>
      </c>
      <c r="L444">
        <v>1</v>
      </c>
      <c r="M444">
        <v>18</v>
      </c>
      <c r="N444">
        <v>4</v>
      </c>
      <c r="O444">
        <v>3</v>
      </c>
      <c r="P444">
        <v>5</v>
      </c>
      <c r="Q444">
        <v>4</v>
      </c>
      <c r="R444">
        <v>0</v>
      </c>
      <c r="S444" t="s">
        <v>34</v>
      </c>
      <c r="T444" t="s">
        <v>37</v>
      </c>
      <c r="U444" t="str">
        <f>IF(Table1[[#This Row],[YearsSince
LastPromotion]]&gt; 4, "Delayed", "Normal")</f>
        <v>Normal</v>
      </c>
      <c r="V444" t="str">
        <f>IF(Table1[[#This Row],[Years
InCurrentRole]]&gt;4, "Role Stagnent", "Normal")</f>
        <v>Normal</v>
      </c>
      <c r="W444" t="str">
        <f>IF(AND(Table1[[#This Row],[Years
InCurrentRole]]&gt; 4, Table1[[#This Row],[Performance
Rating]]&gt;=3), "High Risk", "Normal")</f>
        <v>Normal</v>
      </c>
      <c r="X444" t="str">
        <f>IF(Table1[[#This Row],[Performance
Rating]]&gt;=4, "High Performer", "Low Performer")</f>
        <v>Low Performer</v>
      </c>
    </row>
    <row r="445" spans="2:24" x14ac:dyDescent="0.3">
      <c r="B445" t="s">
        <v>19</v>
      </c>
      <c r="C445" t="s">
        <v>25</v>
      </c>
      <c r="D445">
        <v>1</v>
      </c>
      <c r="E445" t="s">
        <v>28</v>
      </c>
      <c r="F445">
        <v>3</v>
      </c>
      <c r="G445" t="s">
        <v>33</v>
      </c>
      <c r="H445">
        <v>3</v>
      </c>
      <c r="I445">
        <v>7969</v>
      </c>
      <c r="J445">
        <v>14</v>
      </c>
      <c r="K445">
        <v>3</v>
      </c>
      <c r="L445">
        <v>0</v>
      </c>
      <c r="M445">
        <v>28</v>
      </c>
      <c r="N445">
        <v>4</v>
      </c>
      <c r="O445">
        <v>3</v>
      </c>
      <c r="P445">
        <v>5</v>
      </c>
      <c r="Q445">
        <v>4</v>
      </c>
      <c r="R445">
        <v>0</v>
      </c>
      <c r="S445" t="s">
        <v>34</v>
      </c>
      <c r="T445" t="s">
        <v>37</v>
      </c>
      <c r="U445" t="str">
        <f>IF(Table1[[#This Row],[YearsSince
LastPromotion]]&gt; 4, "Delayed", "Normal")</f>
        <v>Normal</v>
      </c>
      <c r="V445" t="str">
        <f>IF(Table1[[#This Row],[Years
InCurrentRole]]&gt;4, "Role Stagnent", "Normal")</f>
        <v>Normal</v>
      </c>
      <c r="W445" t="str">
        <f>IF(AND(Table1[[#This Row],[Years
InCurrentRole]]&gt; 4, Table1[[#This Row],[Performance
Rating]]&gt;=3), "High Risk", "Normal")</f>
        <v>Normal</v>
      </c>
      <c r="X445" t="str">
        <f>IF(Table1[[#This Row],[Performance
Rating]]&gt;=4, "High Performer", "Low Performer")</f>
        <v>Low Performer</v>
      </c>
    </row>
    <row r="446" spans="2:24" x14ac:dyDescent="0.3">
      <c r="B446" t="s">
        <v>19</v>
      </c>
      <c r="C446" t="s">
        <v>25</v>
      </c>
      <c r="D446">
        <v>1</v>
      </c>
      <c r="E446" t="s">
        <v>28</v>
      </c>
      <c r="F446">
        <v>1</v>
      </c>
      <c r="G446" t="s">
        <v>29</v>
      </c>
      <c r="H446">
        <v>2</v>
      </c>
      <c r="I446">
        <v>2426</v>
      </c>
      <c r="J446">
        <v>13</v>
      </c>
      <c r="K446">
        <v>3</v>
      </c>
      <c r="L446">
        <v>1</v>
      </c>
      <c r="M446">
        <v>6</v>
      </c>
      <c r="N446">
        <v>5</v>
      </c>
      <c r="O446">
        <v>3</v>
      </c>
      <c r="P446">
        <v>5</v>
      </c>
      <c r="Q446">
        <v>4</v>
      </c>
      <c r="R446">
        <v>0</v>
      </c>
      <c r="S446" t="s">
        <v>34</v>
      </c>
      <c r="T446" t="s">
        <v>37</v>
      </c>
      <c r="U446" t="str">
        <f>IF(Table1[[#This Row],[YearsSince
LastPromotion]]&gt; 4, "Delayed", "Normal")</f>
        <v>Normal</v>
      </c>
      <c r="V446" t="str">
        <f>IF(Table1[[#This Row],[Years
InCurrentRole]]&gt;4, "Role Stagnent", "Normal")</f>
        <v>Normal</v>
      </c>
      <c r="W446" t="str">
        <f>IF(AND(Table1[[#This Row],[Years
InCurrentRole]]&gt; 4, Table1[[#This Row],[Performance
Rating]]&gt;=3), "High Risk", "Normal")</f>
        <v>Normal</v>
      </c>
      <c r="X446" t="str">
        <f>IF(Table1[[#This Row],[Performance
Rating]]&gt;=4, "High Performer", "Low Performer")</f>
        <v>Low Performer</v>
      </c>
    </row>
    <row r="447" spans="2:24" x14ac:dyDescent="0.3">
      <c r="B447" t="s">
        <v>19</v>
      </c>
      <c r="C447" t="s">
        <v>25</v>
      </c>
      <c r="D447">
        <v>1</v>
      </c>
      <c r="E447" t="s">
        <v>21</v>
      </c>
      <c r="F447">
        <v>1</v>
      </c>
      <c r="G447" t="s">
        <v>29</v>
      </c>
      <c r="H447">
        <v>2</v>
      </c>
      <c r="I447">
        <v>3838</v>
      </c>
      <c r="J447">
        <v>11</v>
      </c>
      <c r="K447">
        <v>3</v>
      </c>
      <c r="L447">
        <v>0</v>
      </c>
      <c r="M447">
        <v>8</v>
      </c>
      <c r="N447">
        <v>5</v>
      </c>
      <c r="O447">
        <v>3</v>
      </c>
      <c r="P447">
        <v>5</v>
      </c>
      <c r="Q447">
        <v>4</v>
      </c>
      <c r="R447">
        <v>0</v>
      </c>
      <c r="S447" t="s">
        <v>34</v>
      </c>
      <c r="T447" t="s">
        <v>37</v>
      </c>
      <c r="U447" t="str">
        <f>IF(Table1[[#This Row],[YearsSince
LastPromotion]]&gt; 4, "Delayed", "Normal")</f>
        <v>Normal</v>
      </c>
      <c r="V447" t="str">
        <f>IF(Table1[[#This Row],[Years
InCurrentRole]]&gt;4, "Role Stagnent", "Normal")</f>
        <v>Normal</v>
      </c>
      <c r="W447" t="str">
        <f>IF(AND(Table1[[#This Row],[Years
InCurrentRole]]&gt; 4, Table1[[#This Row],[Performance
Rating]]&gt;=3), "High Risk", "Normal")</f>
        <v>Normal</v>
      </c>
      <c r="X447" t="str">
        <f>IF(Table1[[#This Row],[Performance
Rating]]&gt;=4, "High Performer", "Low Performer")</f>
        <v>Low Performer</v>
      </c>
    </row>
    <row r="448" spans="2:24" x14ac:dyDescent="0.3">
      <c r="B448" t="s">
        <v>19</v>
      </c>
      <c r="C448" t="s">
        <v>20</v>
      </c>
      <c r="D448">
        <v>1</v>
      </c>
      <c r="E448" t="s">
        <v>28</v>
      </c>
      <c r="F448">
        <v>2</v>
      </c>
      <c r="G448" t="s">
        <v>32</v>
      </c>
      <c r="H448">
        <v>2</v>
      </c>
      <c r="I448">
        <v>8938</v>
      </c>
      <c r="J448">
        <v>11</v>
      </c>
      <c r="K448">
        <v>3</v>
      </c>
      <c r="L448">
        <v>1</v>
      </c>
      <c r="M448">
        <v>14</v>
      </c>
      <c r="N448">
        <v>5</v>
      </c>
      <c r="O448">
        <v>3</v>
      </c>
      <c r="P448">
        <v>5</v>
      </c>
      <c r="Q448">
        <v>4</v>
      </c>
      <c r="R448">
        <v>0</v>
      </c>
      <c r="S448" t="s">
        <v>34</v>
      </c>
      <c r="T448" t="s">
        <v>37</v>
      </c>
      <c r="U448" t="str">
        <f>IF(Table1[[#This Row],[YearsSince
LastPromotion]]&gt; 4, "Delayed", "Normal")</f>
        <v>Normal</v>
      </c>
      <c r="V448" t="str">
        <f>IF(Table1[[#This Row],[Years
InCurrentRole]]&gt;4, "Role Stagnent", "Normal")</f>
        <v>Normal</v>
      </c>
      <c r="W448" t="str">
        <f>IF(AND(Table1[[#This Row],[Years
InCurrentRole]]&gt; 4, Table1[[#This Row],[Performance
Rating]]&gt;=3), "High Risk", "Normal")</f>
        <v>Normal</v>
      </c>
      <c r="X448" t="str">
        <f>IF(Table1[[#This Row],[Performance
Rating]]&gt;=4, "High Performer", "Low Performer")</f>
        <v>Low Performer</v>
      </c>
    </row>
    <row r="449" spans="2:24" x14ac:dyDescent="0.3">
      <c r="B449" t="s">
        <v>19</v>
      </c>
      <c r="C449" t="s">
        <v>20</v>
      </c>
      <c r="D449">
        <v>1</v>
      </c>
      <c r="E449" t="s">
        <v>21</v>
      </c>
      <c r="F449">
        <v>2</v>
      </c>
      <c r="G449" t="s">
        <v>32</v>
      </c>
      <c r="H449">
        <v>3</v>
      </c>
      <c r="I449">
        <v>6244</v>
      </c>
      <c r="J449">
        <v>17</v>
      </c>
      <c r="K449">
        <v>3</v>
      </c>
      <c r="L449">
        <v>0</v>
      </c>
      <c r="M449">
        <v>10</v>
      </c>
      <c r="N449">
        <v>6</v>
      </c>
      <c r="O449">
        <v>3</v>
      </c>
      <c r="P449">
        <v>5</v>
      </c>
      <c r="Q449">
        <v>4</v>
      </c>
      <c r="R449">
        <v>0</v>
      </c>
      <c r="S449" t="s">
        <v>34</v>
      </c>
      <c r="T449" t="s">
        <v>37</v>
      </c>
      <c r="U449" t="str">
        <f>IF(Table1[[#This Row],[YearsSince
LastPromotion]]&gt; 4, "Delayed", "Normal")</f>
        <v>Normal</v>
      </c>
      <c r="V449" t="str">
        <f>IF(Table1[[#This Row],[Years
InCurrentRole]]&gt;4, "Role Stagnent", "Normal")</f>
        <v>Normal</v>
      </c>
      <c r="W449" t="str">
        <f>IF(AND(Table1[[#This Row],[Years
InCurrentRole]]&gt; 4, Table1[[#This Row],[Performance
Rating]]&gt;=3), "High Risk", "Normal")</f>
        <v>Normal</v>
      </c>
      <c r="X449" t="str">
        <f>IF(Table1[[#This Row],[Performance
Rating]]&gt;=4, "High Performer", "Low Performer")</f>
        <v>Low Performer</v>
      </c>
    </row>
    <row r="450" spans="2:24" x14ac:dyDescent="0.3">
      <c r="B450" t="s">
        <v>19</v>
      </c>
      <c r="C450" t="s">
        <v>25</v>
      </c>
      <c r="D450">
        <v>1</v>
      </c>
      <c r="E450" t="s">
        <v>28</v>
      </c>
      <c r="F450">
        <v>1</v>
      </c>
      <c r="G450" t="s">
        <v>29</v>
      </c>
      <c r="H450">
        <v>3</v>
      </c>
      <c r="I450">
        <v>2705</v>
      </c>
      <c r="J450">
        <v>16</v>
      </c>
      <c r="K450">
        <v>3</v>
      </c>
      <c r="L450">
        <v>1</v>
      </c>
      <c r="M450">
        <v>6</v>
      </c>
      <c r="N450">
        <v>2</v>
      </c>
      <c r="O450">
        <v>4</v>
      </c>
      <c r="P450">
        <v>5</v>
      </c>
      <c r="Q450">
        <v>4</v>
      </c>
      <c r="R450">
        <v>0</v>
      </c>
      <c r="S450" t="s">
        <v>34</v>
      </c>
      <c r="T450" t="s">
        <v>37</v>
      </c>
      <c r="U450" t="str">
        <f>IF(Table1[[#This Row],[YearsSince
LastPromotion]]&gt; 4, "Delayed", "Normal")</f>
        <v>Normal</v>
      </c>
      <c r="V450" t="str">
        <f>IF(Table1[[#This Row],[Years
InCurrentRole]]&gt;4, "Role Stagnent", "Normal")</f>
        <v>Normal</v>
      </c>
      <c r="W450" t="str">
        <f>IF(AND(Table1[[#This Row],[Years
InCurrentRole]]&gt; 4, Table1[[#This Row],[Performance
Rating]]&gt;=3), "High Risk", "Normal")</f>
        <v>Normal</v>
      </c>
      <c r="X450" t="str">
        <f>IF(Table1[[#This Row],[Performance
Rating]]&gt;=4, "High Performer", "Low Performer")</f>
        <v>Low Performer</v>
      </c>
    </row>
    <row r="451" spans="2:24" x14ac:dyDescent="0.3">
      <c r="B451" t="s">
        <v>27</v>
      </c>
      <c r="C451" t="s">
        <v>25</v>
      </c>
      <c r="D451">
        <v>1</v>
      </c>
      <c r="E451" t="s">
        <v>21</v>
      </c>
      <c r="F451">
        <v>1</v>
      </c>
      <c r="G451" t="s">
        <v>29</v>
      </c>
      <c r="H451">
        <v>1</v>
      </c>
      <c r="I451">
        <v>4200</v>
      </c>
      <c r="J451">
        <v>22</v>
      </c>
      <c r="K451">
        <v>4</v>
      </c>
      <c r="L451">
        <v>0</v>
      </c>
      <c r="M451">
        <v>10</v>
      </c>
      <c r="N451">
        <v>2</v>
      </c>
      <c r="O451">
        <v>4</v>
      </c>
      <c r="P451">
        <v>5</v>
      </c>
      <c r="Q451">
        <v>4</v>
      </c>
      <c r="R451">
        <v>0</v>
      </c>
      <c r="S451" t="s">
        <v>34</v>
      </c>
      <c r="T451" t="s">
        <v>37</v>
      </c>
      <c r="U451" t="str">
        <f>IF(Table1[[#This Row],[YearsSince
LastPromotion]]&gt; 4, "Delayed", "Normal")</f>
        <v>Normal</v>
      </c>
      <c r="V451" t="str">
        <f>IF(Table1[[#This Row],[Years
InCurrentRole]]&gt;4, "Role Stagnent", "Normal")</f>
        <v>Normal</v>
      </c>
      <c r="W451" t="str">
        <f>IF(AND(Table1[[#This Row],[Years
InCurrentRole]]&gt; 4, Table1[[#This Row],[Performance
Rating]]&gt;=3), "High Risk", "Normal")</f>
        <v>Normal</v>
      </c>
      <c r="X451" t="str">
        <f>IF(Table1[[#This Row],[Performance
Rating]]&gt;=4, "High Performer", "Low Performer")</f>
        <v>High Performer</v>
      </c>
    </row>
    <row r="452" spans="2:24" x14ac:dyDescent="0.3">
      <c r="B452" t="s">
        <v>19</v>
      </c>
      <c r="C452" t="s">
        <v>20</v>
      </c>
      <c r="D452">
        <v>1</v>
      </c>
      <c r="E452" t="s">
        <v>28</v>
      </c>
      <c r="F452">
        <v>2</v>
      </c>
      <c r="G452" t="s">
        <v>32</v>
      </c>
      <c r="H452">
        <v>3</v>
      </c>
      <c r="I452">
        <v>4221</v>
      </c>
      <c r="J452">
        <v>15</v>
      </c>
      <c r="K452">
        <v>3</v>
      </c>
      <c r="L452">
        <v>0</v>
      </c>
      <c r="M452">
        <v>5</v>
      </c>
      <c r="N452">
        <v>3</v>
      </c>
      <c r="O452">
        <v>4</v>
      </c>
      <c r="P452">
        <v>5</v>
      </c>
      <c r="Q452">
        <v>4</v>
      </c>
      <c r="R452">
        <v>0</v>
      </c>
      <c r="S452" t="s">
        <v>34</v>
      </c>
      <c r="T452" t="s">
        <v>37</v>
      </c>
      <c r="U452" t="str">
        <f>IF(Table1[[#This Row],[YearsSince
LastPromotion]]&gt; 4, "Delayed", "Normal")</f>
        <v>Normal</v>
      </c>
      <c r="V452" t="str">
        <f>IF(Table1[[#This Row],[Years
InCurrentRole]]&gt;4, "Role Stagnent", "Normal")</f>
        <v>Normal</v>
      </c>
      <c r="W452" t="str">
        <f>IF(AND(Table1[[#This Row],[Years
InCurrentRole]]&gt; 4, Table1[[#This Row],[Performance
Rating]]&gt;=3), "High Risk", "Normal")</f>
        <v>Normal</v>
      </c>
      <c r="X452" t="str">
        <f>IF(Table1[[#This Row],[Performance
Rating]]&gt;=4, "High Performer", "Low Performer")</f>
        <v>Low Performer</v>
      </c>
    </row>
    <row r="453" spans="2:24" x14ac:dyDescent="0.3">
      <c r="B453" t="s">
        <v>19</v>
      </c>
      <c r="C453" t="s">
        <v>20</v>
      </c>
      <c r="D453">
        <v>1</v>
      </c>
      <c r="E453" t="s">
        <v>21</v>
      </c>
      <c r="F453">
        <v>2</v>
      </c>
      <c r="G453" t="s">
        <v>32</v>
      </c>
      <c r="H453">
        <v>1</v>
      </c>
      <c r="I453">
        <v>5006</v>
      </c>
      <c r="J453">
        <v>11</v>
      </c>
      <c r="K453">
        <v>3</v>
      </c>
      <c r="L453">
        <v>1</v>
      </c>
      <c r="M453">
        <v>9</v>
      </c>
      <c r="N453">
        <v>3</v>
      </c>
      <c r="O453">
        <v>4</v>
      </c>
      <c r="P453">
        <v>5</v>
      </c>
      <c r="Q453">
        <v>4</v>
      </c>
      <c r="R453">
        <v>0</v>
      </c>
      <c r="S453" t="s">
        <v>34</v>
      </c>
      <c r="T453" t="s">
        <v>37</v>
      </c>
      <c r="U453" t="str">
        <f>IF(Table1[[#This Row],[YearsSince
LastPromotion]]&gt; 4, "Delayed", "Normal")</f>
        <v>Normal</v>
      </c>
      <c r="V453" t="str">
        <f>IF(Table1[[#This Row],[Years
InCurrentRole]]&gt;4, "Role Stagnent", "Normal")</f>
        <v>Normal</v>
      </c>
      <c r="W453" t="str">
        <f>IF(AND(Table1[[#This Row],[Years
InCurrentRole]]&gt; 4, Table1[[#This Row],[Performance
Rating]]&gt;=3), "High Risk", "Normal")</f>
        <v>Normal</v>
      </c>
      <c r="X453" t="str">
        <f>IF(Table1[[#This Row],[Performance
Rating]]&gt;=4, "High Performer", "Low Performer")</f>
        <v>Low Performer</v>
      </c>
    </row>
    <row r="454" spans="2:24" x14ac:dyDescent="0.3">
      <c r="B454" t="s">
        <v>19</v>
      </c>
      <c r="C454" t="s">
        <v>20</v>
      </c>
      <c r="D454">
        <v>1</v>
      </c>
      <c r="E454" t="s">
        <v>28</v>
      </c>
      <c r="F454">
        <v>2</v>
      </c>
      <c r="G454" t="s">
        <v>32</v>
      </c>
      <c r="H454">
        <v>4</v>
      </c>
      <c r="I454">
        <v>6502</v>
      </c>
      <c r="J454">
        <v>14</v>
      </c>
      <c r="K454">
        <v>3</v>
      </c>
      <c r="L454">
        <v>1</v>
      </c>
      <c r="M454">
        <v>7</v>
      </c>
      <c r="N454">
        <v>5</v>
      </c>
      <c r="O454">
        <v>4</v>
      </c>
      <c r="P454">
        <v>5</v>
      </c>
      <c r="Q454">
        <v>4</v>
      </c>
      <c r="R454">
        <v>0</v>
      </c>
      <c r="S454" t="s">
        <v>34</v>
      </c>
      <c r="T454" t="s">
        <v>37</v>
      </c>
      <c r="U454" t="str">
        <f>IF(Table1[[#This Row],[YearsSince
LastPromotion]]&gt; 4, "Delayed", "Normal")</f>
        <v>Normal</v>
      </c>
      <c r="V454" t="str">
        <f>IF(Table1[[#This Row],[Years
InCurrentRole]]&gt;4, "Role Stagnent", "Normal")</f>
        <v>Normal</v>
      </c>
      <c r="W454" t="str">
        <f>IF(AND(Table1[[#This Row],[Years
InCurrentRole]]&gt; 4, Table1[[#This Row],[Performance
Rating]]&gt;=3), "High Risk", "Normal")</f>
        <v>Normal</v>
      </c>
      <c r="X454" t="str">
        <f>IF(Table1[[#This Row],[Performance
Rating]]&gt;=4, "High Performer", "Low Performer")</f>
        <v>Low Performer</v>
      </c>
    </row>
    <row r="455" spans="2:24" x14ac:dyDescent="0.3">
      <c r="B455" t="s">
        <v>19</v>
      </c>
      <c r="C455" t="s">
        <v>25</v>
      </c>
      <c r="D455">
        <v>1</v>
      </c>
      <c r="E455" t="s">
        <v>21</v>
      </c>
      <c r="F455">
        <v>3</v>
      </c>
      <c r="G455" t="s">
        <v>33</v>
      </c>
      <c r="H455">
        <v>3</v>
      </c>
      <c r="I455">
        <v>7756</v>
      </c>
      <c r="J455">
        <v>19</v>
      </c>
      <c r="K455">
        <v>3</v>
      </c>
      <c r="L455">
        <v>1</v>
      </c>
      <c r="M455">
        <v>10</v>
      </c>
      <c r="N455">
        <v>6</v>
      </c>
      <c r="O455">
        <v>4</v>
      </c>
      <c r="P455">
        <v>5</v>
      </c>
      <c r="Q455">
        <v>4</v>
      </c>
      <c r="R455">
        <v>0</v>
      </c>
      <c r="S455" t="s">
        <v>34</v>
      </c>
      <c r="T455" t="s">
        <v>37</v>
      </c>
      <c r="U455" t="str">
        <f>IF(Table1[[#This Row],[YearsSince
LastPromotion]]&gt; 4, "Delayed", "Normal")</f>
        <v>Normal</v>
      </c>
      <c r="V455" t="str">
        <f>IF(Table1[[#This Row],[Years
InCurrentRole]]&gt;4, "Role Stagnent", "Normal")</f>
        <v>Normal</v>
      </c>
      <c r="W455" t="str">
        <f>IF(AND(Table1[[#This Row],[Years
InCurrentRole]]&gt; 4, Table1[[#This Row],[Performance
Rating]]&gt;=3), "High Risk", "Normal")</f>
        <v>Normal</v>
      </c>
      <c r="X455" t="str">
        <f>IF(Table1[[#This Row],[Performance
Rating]]&gt;=4, "High Performer", "Low Performer")</f>
        <v>Low Performer</v>
      </c>
    </row>
    <row r="456" spans="2:24" x14ac:dyDescent="0.3">
      <c r="B456" t="s">
        <v>27</v>
      </c>
      <c r="C456" t="s">
        <v>20</v>
      </c>
      <c r="D456">
        <v>1</v>
      </c>
      <c r="E456" t="s">
        <v>21</v>
      </c>
      <c r="F456">
        <v>2</v>
      </c>
      <c r="G456" t="s">
        <v>32</v>
      </c>
      <c r="H456">
        <v>4</v>
      </c>
      <c r="I456">
        <v>5993</v>
      </c>
      <c r="J456">
        <v>11</v>
      </c>
      <c r="K456">
        <v>3</v>
      </c>
      <c r="L456">
        <v>0</v>
      </c>
      <c r="M456">
        <v>8</v>
      </c>
      <c r="N456">
        <v>0</v>
      </c>
      <c r="O456">
        <v>1</v>
      </c>
      <c r="P456">
        <v>6</v>
      </c>
      <c r="Q456">
        <v>4</v>
      </c>
      <c r="R456">
        <v>0</v>
      </c>
      <c r="S456" t="s">
        <v>23</v>
      </c>
      <c r="T456" t="s">
        <v>37</v>
      </c>
      <c r="U456" t="str">
        <f>IF(Table1[[#This Row],[YearsSince
LastPromotion]]&gt; 4, "Delayed", "Normal")</f>
        <v>Normal</v>
      </c>
      <c r="V456" t="str">
        <f>IF(Table1[[#This Row],[Years
InCurrentRole]]&gt;4, "Role Stagnent", "Normal")</f>
        <v>Normal</v>
      </c>
      <c r="W456" t="str">
        <f>IF(AND(Table1[[#This Row],[Years
InCurrentRole]]&gt; 4, Table1[[#This Row],[Performance
Rating]]&gt;=3), "High Risk", "Normal")</f>
        <v>Normal</v>
      </c>
      <c r="X456" t="str">
        <f>IF(Table1[[#This Row],[Performance
Rating]]&gt;=4, "High Performer", "Low Performer")</f>
        <v>Low Performer</v>
      </c>
    </row>
    <row r="457" spans="2:24" x14ac:dyDescent="0.3">
      <c r="B457" t="s">
        <v>19</v>
      </c>
      <c r="C457" t="s">
        <v>20</v>
      </c>
      <c r="D457">
        <v>1</v>
      </c>
      <c r="E457" t="s">
        <v>28</v>
      </c>
      <c r="F457">
        <v>3</v>
      </c>
      <c r="G457" t="s">
        <v>22</v>
      </c>
      <c r="H457">
        <v>4</v>
      </c>
      <c r="I457">
        <v>11904</v>
      </c>
      <c r="J457">
        <v>14</v>
      </c>
      <c r="K457">
        <v>3</v>
      </c>
      <c r="L457">
        <v>1</v>
      </c>
      <c r="M457">
        <v>14</v>
      </c>
      <c r="N457">
        <v>1</v>
      </c>
      <c r="O457">
        <v>1</v>
      </c>
      <c r="P457">
        <v>6</v>
      </c>
      <c r="Q457">
        <v>4</v>
      </c>
      <c r="R457">
        <v>0</v>
      </c>
      <c r="S457" t="s">
        <v>23</v>
      </c>
      <c r="T457" t="s">
        <v>37</v>
      </c>
      <c r="U457" t="str">
        <f>IF(Table1[[#This Row],[YearsSince
LastPromotion]]&gt; 4, "Delayed", "Normal")</f>
        <v>Normal</v>
      </c>
      <c r="V457" t="str">
        <f>IF(Table1[[#This Row],[Years
InCurrentRole]]&gt;4, "Role Stagnent", "Normal")</f>
        <v>Normal</v>
      </c>
      <c r="W457" t="str">
        <f>IF(AND(Table1[[#This Row],[Years
InCurrentRole]]&gt; 4, Table1[[#This Row],[Performance
Rating]]&gt;=3), "High Risk", "Normal")</f>
        <v>Normal</v>
      </c>
      <c r="X457" t="str">
        <f>IF(Table1[[#This Row],[Performance
Rating]]&gt;=4, "High Performer", "Low Performer")</f>
        <v>Low Performer</v>
      </c>
    </row>
    <row r="458" spans="2:24" x14ac:dyDescent="0.3">
      <c r="B458" t="s">
        <v>19</v>
      </c>
      <c r="C458" t="s">
        <v>25</v>
      </c>
      <c r="D458">
        <v>1</v>
      </c>
      <c r="E458" t="s">
        <v>21</v>
      </c>
      <c r="F458">
        <v>2</v>
      </c>
      <c r="G458" t="s">
        <v>26</v>
      </c>
      <c r="H458">
        <v>4</v>
      </c>
      <c r="I458">
        <v>6322</v>
      </c>
      <c r="J458">
        <v>12</v>
      </c>
      <c r="K458">
        <v>3</v>
      </c>
      <c r="L458">
        <v>1</v>
      </c>
      <c r="M458">
        <v>6</v>
      </c>
      <c r="N458">
        <v>2</v>
      </c>
      <c r="O458">
        <v>2</v>
      </c>
      <c r="P458">
        <v>6</v>
      </c>
      <c r="Q458">
        <v>4</v>
      </c>
      <c r="R458">
        <v>0</v>
      </c>
      <c r="S458" t="s">
        <v>23</v>
      </c>
      <c r="T458" t="s">
        <v>37</v>
      </c>
      <c r="U458" t="str">
        <f>IF(Table1[[#This Row],[YearsSince
LastPromotion]]&gt; 4, "Delayed", "Normal")</f>
        <v>Normal</v>
      </c>
      <c r="V458" t="str">
        <f>IF(Table1[[#This Row],[Years
InCurrentRole]]&gt;4, "Role Stagnent", "Normal")</f>
        <v>Normal</v>
      </c>
      <c r="W458" t="str">
        <f>IF(AND(Table1[[#This Row],[Years
InCurrentRole]]&gt; 4, Table1[[#This Row],[Performance
Rating]]&gt;=3), "High Risk", "Normal")</f>
        <v>Normal</v>
      </c>
      <c r="X458" t="str">
        <f>IF(Table1[[#This Row],[Performance
Rating]]&gt;=4, "High Performer", "Low Performer")</f>
        <v>Low Performer</v>
      </c>
    </row>
    <row r="459" spans="2:24" x14ac:dyDescent="0.3">
      <c r="B459" t="s">
        <v>19</v>
      </c>
      <c r="C459" t="s">
        <v>25</v>
      </c>
      <c r="D459">
        <v>1</v>
      </c>
      <c r="E459" t="s">
        <v>28</v>
      </c>
      <c r="F459">
        <v>3</v>
      </c>
      <c r="G459" t="s">
        <v>33</v>
      </c>
      <c r="H459">
        <v>4</v>
      </c>
      <c r="I459">
        <v>7260</v>
      </c>
      <c r="J459">
        <v>11</v>
      </c>
      <c r="K459">
        <v>3</v>
      </c>
      <c r="L459">
        <v>0</v>
      </c>
      <c r="M459">
        <v>37</v>
      </c>
      <c r="N459">
        <v>3</v>
      </c>
      <c r="O459">
        <v>2</v>
      </c>
      <c r="P459">
        <v>6</v>
      </c>
      <c r="Q459">
        <v>4</v>
      </c>
      <c r="R459">
        <v>0</v>
      </c>
      <c r="S459" t="s">
        <v>23</v>
      </c>
      <c r="T459" t="s">
        <v>37</v>
      </c>
      <c r="U459" t="str">
        <f>IF(Table1[[#This Row],[YearsSince
LastPromotion]]&gt; 4, "Delayed", "Normal")</f>
        <v>Normal</v>
      </c>
      <c r="V459" t="str">
        <f>IF(Table1[[#This Row],[Years
InCurrentRole]]&gt;4, "Role Stagnent", "Normal")</f>
        <v>Normal</v>
      </c>
      <c r="W459" t="str">
        <f>IF(AND(Table1[[#This Row],[Years
InCurrentRole]]&gt; 4, Table1[[#This Row],[Performance
Rating]]&gt;=3), "High Risk", "Normal")</f>
        <v>Normal</v>
      </c>
      <c r="X459" t="str">
        <f>IF(Table1[[#This Row],[Performance
Rating]]&gt;=4, "High Performer", "Low Performer")</f>
        <v>Low Performer</v>
      </c>
    </row>
    <row r="460" spans="2:24" x14ac:dyDescent="0.3">
      <c r="B460" t="s">
        <v>19</v>
      </c>
      <c r="C460" t="s">
        <v>25</v>
      </c>
      <c r="D460">
        <v>1</v>
      </c>
      <c r="E460" t="s">
        <v>28</v>
      </c>
      <c r="F460">
        <v>1</v>
      </c>
      <c r="G460" t="s">
        <v>29</v>
      </c>
      <c r="H460">
        <v>2</v>
      </c>
      <c r="I460">
        <v>4876</v>
      </c>
      <c r="J460">
        <v>12</v>
      </c>
      <c r="K460">
        <v>3</v>
      </c>
      <c r="L460">
        <v>1</v>
      </c>
      <c r="M460">
        <v>8</v>
      </c>
      <c r="N460">
        <v>0</v>
      </c>
      <c r="O460">
        <v>3</v>
      </c>
      <c r="P460">
        <v>6</v>
      </c>
      <c r="Q460">
        <v>4</v>
      </c>
      <c r="R460">
        <v>0</v>
      </c>
      <c r="S460" t="s">
        <v>34</v>
      </c>
      <c r="T460" t="s">
        <v>37</v>
      </c>
      <c r="U460" t="str">
        <f>IF(Table1[[#This Row],[YearsSince
LastPromotion]]&gt; 4, "Delayed", "Normal")</f>
        <v>Normal</v>
      </c>
      <c r="V460" t="str">
        <f>IF(Table1[[#This Row],[Years
InCurrentRole]]&gt;4, "Role Stagnent", "Normal")</f>
        <v>Normal</v>
      </c>
      <c r="W460" t="str">
        <f>IF(AND(Table1[[#This Row],[Years
InCurrentRole]]&gt; 4, Table1[[#This Row],[Performance
Rating]]&gt;=3), "High Risk", "Normal")</f>
        <v>Normal</v>
      </c>
      <c r="X460" t="str">
        <f>IF(Table1[[#This Row],[Performance
Rating]]&gt;=4, "High Performer", "Low Performer")</f>
        <v>Low Performer</v>
      </c>
    </row>
    <row r="461" spans="2:24" x14ac:dyDescent="0.3">
      <c r="B461" t="s">
        <v>27</v>
      </c>
      <c r="C461" t="s">
        <v>20</v>
      </c>
      <c r="D461">
        <v>1</v>
      </c>
      <c r="E461" t="s">
        <v>28</v>
      </c>
      <c r="F461">
        <v>2</v>
      </c>
      <c r="G461" t="s">
        <v>32</v>
      </c>
      <c r="H461">
        <v>3</v>
      </c>
      <c r="I461">
        <v>5744</v>
      </c>
      <c r="J461">
        <v>11</v>
      </c>
      <c r="K461">
        <v>3</v>
      </c>
      <c r="L461">
        <v>0</v>
      </c>
      <c r="M461">
        <v>6</v>
      </c>
      <c r="N461">
        <v>1</v>
      </c>
      <c r="O461">
        <v>3</v>
      </c>
      <c r="P461">
        <v>6</v>
      </c>
      <c r="Q461">
        <v>4</v>
      </c>
      <c r="R461">
        <v>0</v>
      </c>
      <c r="S461" t="s">
        <v>34</v>
      </c>
      <c r="T461" t="s">
        <v>37</v>
      </c>
      <c r="U461" t="str">
        <f>IF(Table1[[#This Row],[YearsSince
LastPromotion]]&gt; 4, "Delayed", "Normal")</f>
        <v>Normal</v>
      </c>
      <c r="V461" t="str">
        <f>IF(Table1[[#This Row],[Years
InCurrentRole]]&gt;4, "Role Stagnent", "Normal")</f>
        <v>Normal</v>
      </c>
      <c r="W461" t="str">
        <f>IF(AND(Table1[[#This Row],[Years
InCurrentRole]]&gt; 4, Table1[[#This Row],[Performance
Rating]]&gt;=3), "High Risk", "Normal")</f>
        <v>Normal</v>
      </c>
      <c r="X461" t="str">
        <f>IF(Table1[[#This Row],[Performance
Rating]]&gt;=4, "High Performer", "Low Performer")</f>
        <v>Low Performer</v>
      </c>
    </row>
    <row r="462" spans="2:24" x14ac:dyDescent="0.3">
      <c r="B462" t="s">
        <v>27</v>
      </c>
      <c r="C462" t="s">
        <v>25</v>
      </c>
      <c r="D462">
        <v>1</v>
      </c>
      <c r="E462" t="s">
        <v>28</v>
      </c>
      <c r="F462">
        <v>1</v>
      </c>
      <c r="G462" t="s">
        <v>26</v>
      </c>
      <c r="H462">
        <v>1</v>
      </c>
      <c r="I462">
        <v>3102</v>
      </c>
      <c r="J462">
        <v>22</v>
      </c>
      <c r="K462">
        <v>4</v>
      </c>
      <c r="L462">
        <v>0</v>
      </c>
      <c r="M462">
        <v>7</v>
      </c>
      <c r="N462">
        <v>2</v>
      </c>
      <c r="O462">
        <v>3</v>
      </c>
      <c r="P462">
        <v>6</v>
      </c>
      <c r="Q462">
        <v>4</v>
      </c>
      <c r="R462">
        <v>0</v>
      </c>
      <c r="S462" t="s">
        <v>34</v>
      </c>
      <c r="T462" t="s">
        <v>37</v>
      </c>
      <c r="U462" t="str">
        <f>IF(Table1[[#This Row],[YearsSince
LastPromotion]]&gt; 4, "Delayed", "Normal")</f>
        <v>Normal</v>
      </c>
      <c r="V462" t="str">
        <f>IF(Table1[[#This Row],[Years
InCurrentRole]]&gt;4, "Role Stagnent", "Normal")</f>
        <v>Normal</v>
      </c>
      <c r="W462" t="str">
        <f>IF(AND(Table1[[#This Row],[Years
InCurrentRole]]&gt; 4, Table1[[#This Row],[Performance
Rating]]&gt;=3), "High Risk", "Normal")</f>
        <v>Normal</v>
      </c>
      <c r="X462" t="str">
        <f>IF(Table1[[#This Row],[Performance
Rating]]&gt;=4, "High Performer", "Low Performer")</f>
        <v>High Performer</v>
      </c>
    </row>
    <row r="463" spans="2:24" x14ac:dyDescent="0.3">
      <c r="B463" t="s">
        <v>19</v>
      </c>
      <c r="C463" t="s">
        <v>25</v>
      </c>
      <c r="D463">
        <v>1</v>
      </c>
      <c r="E463" t="s">
        <v>28</v>
      </c>
      <c r="F463">
        <v>1</v>
      </c>
      <c r="G463" t="s">
        <v>26</v>
      </c>
      <c r="H463">
        <v>4</v>
      </c>
      <c r="I463">
        <v>2356</v>
      </c>
      <c r="J463">
        <v>19</v>
      </c>
      <c r="K463">
        <v>3</v>
      </c>
      <c r="L463">
        <v>1</v>
      </c>
      <c r="M463">
        <v>8</v>
      </c>
      <c r="N463">
        <v>2</v>
      </c>
      <c r="O463">
        <v>3</v>
      </c>
      <c r="P463">
        <v>6</v>
      </c>
      <c r="Q463">
        <v>4</v>
      </c>
      <c r="R463">
        <v>0</v>
      </c>
      <c r="S463" t="s">
        <v>34</v>
      </c>
      <c r="T463" t="s">
        <v>37</v>
      </c>
      <c r="U463" t="str">
        <f>IF(Table1[[#This Row],[YearsSince
LastPromotion]]&gt; 4, "Delayed", "Normal")</f>
        <v>Normal</v>
      </c>
      <c r="V463" t="str">
        <f>IF(Table1[[#This Row],[Years
InCurrentRole]]&gt;4, "Role Stagnent", "Normal")</f>
        <v>Normal</v>
      </c>
      <c r="W463" t="str">
        <f>IF(AND(Table1[[#This Row],[Years
InCurrentRole]]&gt; 4, Table1[[#This Row],[Performance
Rating]]&gt;=3), "High Risk", "Normal")</f>
        <v>Normal</v>
      </c>
      <c r="X463" t="str">
        <f>IF(Table1[[#This Row],[Performance
Rating]]&gt;=4, "High Performer", "Low Performer")</f>
        <v>Low Performer</v>
      </c>
    </row>
    <row r="464" spans="2:24" x14ac:dyDescent="0.3">
      <c r="B464" t="s">
        <v>19</v>
      </c>
      <c r="C464" t="s">
        <v>25</v>
      </c>
      <c r="D464">
        <v>1</v>
      </c>
      <c r="E464" t="s">
        <v>28</v>
      </c>
      <c r="F464">
        <v>3</v>
      </c>
      <c r="G464" t="s">
        <v>31</v>
      </c>
      <c r="H464">
        <v>3</v>
      </c>
      <c r="I464">
        <v>10920</v>
      </c>
      <c r="J464">
        <v>21</v>
      </c>
      <c r="K464">
        <v>4</v>
      </c>
      <c r="L464">
        <v>1</v>
      </c>
      <c r="M464">
        <v>13</v>
      </c>
      <c r="N464">
        <v>2</v>
      </c>
      <c r="O464">
        <v>3</v>
      </c>
      <c r="P464">
        <v>6</v>
      </c>
      <c r="Q464">
        <v>4</v>
      </c>
      <c r="R464">
        <v>0</v>
      </c>
      <c r="S464" t="s">
        <v>34</v>
      </c>
      <c r="T464" t="s">
        <v>37</v>
      </c>
      <c r="U464" t="str">
        <f>IF(Table1[[#This Row],[YearsSince
LastPromotion]]&gt; 4, "Delayed", "Normal")</f>
        <v>Normal</v>
      </c>
      <c r="V464" t="str">
        <f>IF(Table1[[#This Row],[Years
InCurrentRole]]&gt;4, "Role Stagnent", "Normal")</f>
        <v>Normal</v>
      </c>
      <c r="W464" t="str">
        <f>IF(AND(Table1[[#This Row],[Years
InCurrentRole]]&gt; 4, Table1[[#This Row],[Performance
Rating]]&gt;=3), "High Risk", "Normal")</f>
        <v>Normal</v>
      </c>
      <c r="X464" t="str">
        <f>IF(Table1[[#This Row],[Performance
Rating]]&gt;=4, "High Performer", "Low Performer")</f>
        <v>High Performer</v>
      </c>
    </row>
    <row r="465" spans="2:24" x14ac:dyDescent="0.3">
      <c r="B465" t="s">
        <v>19</v>
      </c>
      <c r="C465" t="s">
        <v>25</v>
      </c>
      <c r="D465">
        <v>1</v>
      </c>
      <c r="E465" t="s">
        <v>28</v>
      </c>
      <c r="F465">
        <v>1</v>
      </c>
      <c r="G465" t="s">
        <v>26</v>
      </c>
      <c r="H465">
        <v>3</v>
      </c>
      <c r="I465">
        <v>2859</v>
      </c>
      <c r="J465">
        <v>18</v>
      </c>
      <c r="K465">
        <v>3</v>
      </c>
      <c r="L465">
        <v>0</v>
      </c>
      <c r="M465">
        <v>6</v>
      </c>
      <c r="N465">
        <v>3</v>
      </c>
      <c r="O465">
        <v>3</v>
      </c>
      <c r="P465">
        <v>6</v>
      </c>
      <c r="Q465">
        <v>4</v>
      </c>
      <c r="R465">
        <v>0</v>
      </c>
      <c r="S465" t="s">
        <v>34</v>
      </c>
      <c r="T465" t="s">
        <v>37</v>
      </c>
      <c r="U465" t="str">
        <f>IF(Table1[[#This Row],[YearsSince
LastPromotion]]&gt; 4, "Delayed", "Normal")</f>
        <v>Normal</v>
      </c>
      <c r="V465" t="str">
        <f>IF(Table1[[#This Row],[Years
InCurrentRole]]&gt;4, "Role Stagnent", "Normal")</f>
        <v>Normal</v>
      </c>
      <c r="W465" t="str">
        <f>IF(AND(Table1[[#This Row],[Years
InCurrentRole]]&gt; 4, Table1[[#This Row],[Performance
Rating]]&gt;=3), "High Risk", "Normal")</f>
        <v>Normal</v>
      </c>
      <c r="X465" t="str">
        <f>IF(Table1[[#This Row],[Performance
Rating]]&gt;=4, "High Performer", "Low Performer")</f>
        <v>Low Performer</v>
      </c>
    </row>
    <row r="466" spans="2:24" x14ac:dyDescent="0.3">
      <c r="B466" t="s">
        <v>27</v>
      </c>
      <c r="C466" t="s">
        <v>25</v>
      </c>
      <c r="D466">
        <v>1</v>
      </c>
      <c r="E466" t="s">
        <v>28</v>
      </c>
      <c r="F466">
        <v>1</v>
      </c>
      <c r="G466" t="s">
        <v>26</v>
      </c>
      <c r="H466">
        <v>3</v>
      </c>
      <c r="I466">
        <v>2936</v>
      </c>
      <c r="J466">
        <v>11</v>
      </c>
      <c r="K466">
        <v>3</v>
      </c>
      <c r="L466">
        <v>0</v>
      </c>
      <c r="M466">
        <v>6</v>
      </c>
      <c r="N466">
        <v>4</v>
      </c>
      <c r="O466">
        <v>3</v>
      </c>
      <c r="P466">
        <v>6</v>
      </c>
      <c r="Q466">
        <v>4</v>
      </c>
      <c r="R466">
        <v>0</v>
      </c>
      <c r="S466" t="s">
        <v>34</v>
      </c>
      <c r="T466" t="s">
        <v>37</v>
      </c>
      <c r="U466" t="str">
        <f>IF(Table1[[#This Row],[YearsSince
LastPromotion]]&gt; 4, "Delayed", "Normal")</f>
        <v>Normal</v>
      </c>
      <c r="V466" t="str">
        <f>IF(Table1[[#This Row],[Years
InCurrentRole]]&gt;4, "Role Stagnent", "Normal")</f>
        <v>Normal</v>
      </c>
      <c r="W466" t="str">
        <f>IF(AND(Table1[[#This Row],[Years
InCurrentRole]]&gt; 4, Table1[[#This Row],[Performance
Rating]]&gt;=3), "High Risk", "Normal")</f>
        <v>Normal</v>
      </c>
      <c r="X466" t="str">
        <f>IF(Table1[[#This Row],[Performance
Rating]]&gt;=4, "High Performer", "Low Performer")</f>
        <v>Low Performer</v>
      </c>
    </row>
    <row r="467" spans="2:24" x14ac:dyDescent="0.3">
      <c r="B467" t="s">
        <v>19</v>
      </c>
      <c r="C467" t="s">
        <v>20</v>
      </c>
      <c r="D467">
        <v>1</v>
      </c>
      <c r="E467" t="s">
        <v>28</v>
      </c>
      <c r="F467">
        <v>1</v>
      </c>
      <c r="G467" t="s">
        <v>30</v>
      </c>
      <c r="H467">
        <v>3</v>
      </c>
      <c r="I467">
        <v>2096</v>
      </c>
      <c r="J467">
        <v>11</v>
      </c>
      <c r="K467">
        <v>3</v>
      </c>
      <c r="L467">
        <v>0</v>
      </c>
      <c r="M467">
        <v>7</v>
      </c>
      <c r="N467">
        <v>1</v>
      </c>
      <c r="O467">
        <v>3</v>
      </c>
      <c r="P467">
        <v>7</v>
      </c>
      <c r="Q467">
        <v>4</v>
      </c>
      <c r="R467">
        <v>0</v>
      </c>
      <c r="S467" t="s">
        <v>34</v>
      </c>
      <c r="T467" t="s">
        <v>37</v>
      </c>
      <c r="U467" t="str">
        <f>IF(Table1[[#This Row],[YearsSince
LastPromotion]]&gt; 4, "Delayed", "Normal")</f>
        <v>Normal</v>
      </c>
      <c r="V467" t="str">
        <f>IF(Table1[[#This Row],[Years
InCurrentRole]]&gt;4, "Role Stagnent", "Normal")</f>
        <v>Normal</v>
      </c>
      <c r="W467" t="str">
        <f>IF(AND(Table1[[#This Row],[Years
InCurrentRole]]&gt; 4, Table1[[#This Row],[Performance
Rating]]&gt;=3), "High Risk", "Normal")</f>
        <v>Normal</v>
      </c>
      <c r="X467" t="str">
        <f>IF(Table1[[#This Row],[Performance
Rating]]&gt;=4, "High Performer", "Low Performer")</f>
        <v>Low Performer</v>
      </c>
    </row>
    <row r="468" spans="2:24" x14ac:dyDescent="0.3">
      <c r="B468" t="s">
        <v>19</v>
      </c>
      <c r="C468" t="s">
        <v>20</v>
      </c>
      <c r="D468">
        <v>1</v>
      </c>
      <c r="E468" t="s">
        <v>28</v>
      </c>
      <c r="F468">
        <v>2</v>
      </c>
      <c r="G468" t="s">
        <v>32</v>
      </c>
      <c r="H468">
        <v>3</v>
      </c>
      <c r="I468">
        <v>5487</v>
      </c>
      <c r="J468">
        <v>14</v>
      </c>
      <c r="K468">
        <v>3</v>
      </c>
      <c r="L468">
        <v>0</v>
      </c>
      <c r="M468">
        <v>10</v>
      </c>
      <c r="N468">
        <v>2</v>
      </c>
      <c r="O468">
        <v>2</v>
      </c>
      <c r="P468">
        <v>10</v>
      </c>
      <c r="Q468">
        <v>4</v>
      </c>
      <c r="R468">
        <v>0</v>
      </c>
      <c r="S468" t="s">
        <v>23</v>
      </c>
      <c r="T468" t="s">
        <v>37</v>
      </c>
      <c r="U468" t="str">
        <f>IF(Table1[[#This Row],[YearsSince
LastPromotion]]&gt; 4, "Delayed", "Normal")</f>
        <v>Normal</v>
      </c>
      <c r="V468" t="str">
        <f>IF(Table1[[#This Row],[Years
InCurrentRole]]&gt;4, "Role Stagnent", "Normal")</f>
        <v>Normal</v>
      </c>
      <c r="W468" t="str">
        <f>IF(AND(Table1[[#This Row],[Years
InCurrentRole]]&gt; 4, Table1[[#This Row],[Performance
Rating]]&gt;=3), "High Risk", "Normal")</f>
        <v>Normal</v>
      </c>
      <c r="X468" t="str">
        <f>IF(Table1[[#This Row],[Performance
Rating]]&gt;=4, "High Performer", "Low Performer")</f>
        <v>Low Performer</v>
      </c>
    </row>
    <row r="469" spans="2:24" x14ac:dyDescent="0.3">
      <c r="B469" t="s">
        <v>19</v>
      </c>
      <c r="C469" t="s">
        <v>25</v>
      </c>
      <c r="D469">
        <v>1</v>
      </c>
      <c r="E469" t="s">
        <v>28</v>
      </c>
      <c r="F469">
        <v>2</v>
      </c>
      <c r="G469" t="s">
        <v>26</v>
      </c>
      <c r="H469">
        <v>2</v>
      </c>
      <c r="I469">
        <v>6220</v>
      </c>
      <c r="J469">
        <v>17</v>
      </c>
      <c r="K469">
        <v>3</v>
      </c>
      <c r="L469">
        <v>2</v>
      </c>
      <c r="M469">
        <v>10</v>
      </c>
      <c r="N469">
        <v>3</v>
      </c>
      <c r="O469">
        <v>3</v>
      </c>
      <c r="P469">
        <v>10</v>
      </c>
      <c r="Q469">
        <v>4</v>
      </c>
      <c r="R469">
        <v>0</v>
      </c>
      <c r="S469" t="s">
        <v>34</v>
      </c>
      <c r="T469" t="s">
        <v>37</v>
      </c>
      <c r="U469" t="str">
        <f>IF(Table1[[#This Row],[YearsSince
LastPromotion]]&gt; 4, "Delayed", "Normal")</f>
        <v>Normal</v>
      </c>
      <c r="V469" t="str">
        <f>IF(Table1[[#This Row],[Years
InCurrentRole]]&gt;4, "Role Stagnent", "Normal")</f>
        <v>Normal</v>
      </c>
      <c r="W469" t="str">
        <f>IF(AND(Table1[[#This Row],[Years
InCurrentRole]]&gt; 4, Table1[[#This Row],[Performance
Rating]]&gt;=3), "High Risk", "Normal")</f>
        <v>Normal</v>
      </c>
      <c r="X469" t="str">
        <f>IF(Table1[[#This Row],[Performance
Rating]]&gt;=4, "High Performer", "Low Performer")</f>
        <v>Low Performer</v>
      </c>
    </row>
    <row r="470" spans="2:24" x14ac:dyDescent="0.3">
      <c r="B470" t="s">
        <v>19</v>
      </c>
      <c r="C470" t="s">
        <v>20</v>
      </c>
      <c r="D470">
        <v>1</v>
      </c>
      <c r="E470" t="s">
        <v>21</v>
      </c>
      <c r="F470">
        <v>5</v>
      </c>
      <c r="G470" t="s">
        <v>22</v>
      </c>
      <c r="H470">
        <v>2</v>
      </c>
      <c r="I470">
        <v>18789</v>
      </c>
      <c r="J470">
        <v>14</v>
      </c>
      <c r="K470">
        <v>3</v>
      </c>
      <c r="L470">
        <v>1</v>
      </c>
      <c r="M470">
        <v>26</v>
      </c>
      <c r="N470">
        <v>2</v>
      </c>
      <c r="O470">
        <v>3</v>
      </c>
      <c r="P470">
        <v>11</v>
      </c>
      <c r="Q470">
        <v>4</v>
      </c>
      <c r="R470">
        <v>0</v>
      </c>
      <c r="S470" t="s">
        <v>34</v>
      </c>
      <c r="T470" t="s">
        <v>37</v>
      </c>
      <c r="U470" t="str">
        <f>IF(Table1[[#This Row],[YearsSince
LastPromotion]]&gt; 4, "Delayed", "Normal")</f>
        <v>Normal</v>
      </c>
      <c r="V470" t="str">
        <f>IF(Table1[[#This Row],[Years
InCurrentRole]]&gt;4, "Role Stagnent", "Normal")</f>
        <v>Normal</v>
      </c>
      <c r="W470" t="str">
        <f>IF(AND(Table1[[#This Row],[Years
InCurrentRole]]&gt; 4, Table1[[#This Row],[Performance
Rating]]&gt;=3), "High Risk", "Normal")</f>
        <v>Normal</v>
      </c>
      <c r="X470" t="str">
        <f>IF(Table1[[#This Row],[Performance
Rating]]&gt;=4, "High Performer", "Low Performer")</f>
        <v>Low Performer</v>
      </c>
    </row>
    <row r="471" spans="2:24" x14ac:dyDescent="0.3">
      <c r="B471" t="s">
        <v>19</v>
      </c>
      <c r="C471" t="s">
        <v>25</v>
      </c>
      <c r="D471">
        <v>1</v>
      </c>
      <c r="E471" t="s">
        <v>28</v>
      </c>
      <c r="F471">
        <v>2</v>
      </c>
      <c r="G471" t="s">
        <v>31</v>
      </c>
      <c r="H471">
        <v>1</v>
      </c>
      <c r="I471">
        <v>6833</v>
      </c>
      <c r="J471">
        <v>12</v>
      </c>
      <c r="K471">
        <v>3</v>
      </c>
      <c r="L471">
        <v>0</v>
      </c>
      <c r="M471">
        <v>6</v>
      </c>
      <c r="N471">
        <v>2</v>
      </c>
      <c r="O471">
        <v>2</v>
      </c>
      <c r="P471">
        <v>6</v>
      </c>
      <c r="Q471">
        <v>5</v>
      </c>
      <c r="R471">
        <v>0</v>
      </c>
      <c r="S471" t="s">
        <v>23</v>
      </c>
      <c r="T471" t="s">
        <v>37</v>
      </c>
      <c r="U471" t="str">
        <f>IF(Table1[[#This Row],[YearsSince
LastPromotion]]&gt; 4, "Delayed", "Normal")</f>
        <v>Normal</v>
      </c>
      <c r="V471" t="str">
        <f>IF(Table1[[#This Row],[Years
InCurrentRole]]&gt;4, "Role Stagnent", "Normal")</f>
        <v>Role Stagnent</v>
      </c>
      <c r="W471" t="str">
        <f>IF(AND(Table1[[#This Row],[Years
InCurrentRole]]&gt; 4, Table1[[#This Row],[Performance
Rating]]&gt;=3), "High Risk", "Normal")</f>
        <v>High Risk</v>
      </c>
      <c r="X471" t="str">
        <f>IF(Table1[[#This Row],[Performance
Rating]]&gt;=4, "High Performer", "Low Performer")</f>
        <v>Low Performer</v>
      </c>
    </row>
    <row r="472" spans="2:24" x14ac:dyDescent="0.3">
      <c r="B472" t="s">
        <v>19</v>
      </c>
      <c r="C472" t="s">
        <v>25</v>
      </c>
      <c r="D472">
        <v>1</v>
      </c>
      <c r="E472" t="s">
        <v>28</v>
      </c>
      <c r="F472">
        <v>1</v>
      </c>
      <c r="G472" t="s">
        <v>26</v>
      </c>
      <c r="H472">
        <v>4</v>
      </c>
      <c r="I472">
        <v>3452</v>
      </c>
      <c r="J472">
        <v>13</v>
      </c>
      <c r="K472">
        <v>3</v>
      </c>
      <c r="L472">
        <v>0</v>
      </c>
      <c r="M472">
        <v>9</v>
      </c>
      <c r="N472">
        <v>2</v>
      </c>
      <c r="O472">
        <v>2</v>
      </c>
      <c r="P472">
        <v>6</v>
      </c>
      <c r="Q472">
        <v>5</v>
      </c>
      <c r="R472">
        <v>0</v>
      </c>
      <c r="S472" t="s">
        <v>23</v>
      </c>
      <c r="T472" t="s">
        <v>37</v>
      </c>
      <c r="U472" t="str">
        <f>IF(Table1[[#This Row],[YearsSince
LastPromotion]]&gt; 4, "Delayed", "Normal")</f>
        <v>Normal</v>
      </c>
      <c r="V472" t="str">
        <f>IF(Table1[[#This Row],[Years
InCurrentRole]]&gt;4, "Role Stagnent", "Normal")</f>
        <v>Role Stagnent</v>
      </c>
      <c r="W472" t="str">
        <f>IF(AND(Table1[[#This Row],[Years
InCurrentRole]]&gt; 4, Table1[[#This Row],[Performance
Rating]]&gt;=3), "High Risk", "Normal")</f>
        <v>High Risk</v>
      </c>
      <c r="X472" t="str">
        <f>IF(Table1[[#This Row],[Performance
Rating]]&gt;=4, "High Performer", "Low Performer")</f>
        <v>Low Performer</v>
      </c>
    </row>
    <row r="473" spans="2:24" x14ac:dyDescent="0.3">
      <c r="B473" t="s">
        <v>19</v>
      </c>
      <c r="C473" t="s">
        <v>25</v>
      </c>
      <c r="D473">
        <v>1</v>
      </c>
      <c r="E473" t="s">
        <v>28</v>
      </c>
      <c r="F473">
        <v>2</v>
      </c>
      <c r="G473" t="s">
        <v>33</v>
      </c>
      <c r="H473">
        <v>2</v>
      </c>
      <c r="I473">
        <v>6499</v>
      </c>
      <c r="J473">
        <v>13</v>
      </c>
      <c r="K473">
        <v>3</v>
      </c>
      <c r="L473">
        <v>0</v>
      </c>
      <c r="M473">
        <v>6</v>
      </c>
      <c r="N473">
        <v>3</v>
      </c>
      <c r="O473">
        <v>3</v>
      </c>
      <c r="P473">
        <v>6</v>
      </c>
      <c r="Q473">
        <v>5</v>
      </c>
      <c r="R473">
        <v>0</v>
      </c>
      <c r="S473" t="s">
        <v>34</v>
      </c>
      <c r="T473" t="s">
        <v>37</v>
      </c>
      <c r="U473" t="str">
        <f>IF(Table1[[#This Row],[YearsSince
LastPromotion]]&gt; 4, "Delayed", "Normal")</f>
        <v>Normal</v>
      </c>
      <c r="V473" t="str">
        <f>IF(Table1[[#This Row],[Years
InCurrentRole]]&gt;4, "Role Stagnent", "Normal")</f>
        <v>Role Stagnent</v>
      </c>
      <c r="W473" t="str">
        <f>IF(AND(Table1[[#This Row],[Years
InCurrentRole]]&gt; 4, Table1[[#This Row],[Performance
Rating]]&gt;=3), "High Risk", "Normal")</f>
        <v>High Risk</v>
      </c>
      <c r="X473" t="str">
        <f>IF(Table1[[#This Row],[Performance
Rating]]&gt;=4, "High Performer", "Low Performer")</f>
        <v>Low Performer</v>
      </c>
    </row>
    <row r="474" spans="2:24" x14ac:dyDescent="0.3">
      <c r="B474" t="s">
        <v>19</v>
      </c>
      <c r="C474" t="s">
        <v>20</v>
      </c>
      <c r="D474">
        <v>1</v>
      </c>
      <c r="E474" t="s">
        <v>21</v>
      </c>
      <c r="F474">
        <v>2</v>
      </c>
      <c r="G474" t="s">
        <v>32</v>
      </c>
      <c r="H474">
        <v>4</v>
      </c>
      <c r="I474">
        <v>4647</v>
      </c>
      <c r="J474">
        <v>20</v>
      </c>
      <c r="K474">
        <v>4</v>
      </c>
      <c r="L474">
        <v>2</v>
      </c>
      <c r="M474">
        <v>6</v>
      </c>
      <c r="N474">
        <v>3</v>
      </c>
      <c r="O474">
        <v>3</v>
      </c>
      <c r="P474">
        <v>6</v>
      </c>
      <c r="Q474">
        <v>5</v>
      </c>
      <c r="R474">
        <v>0</v>
      </c>
      <c r="S474" t="s">
        <v>34</v>
      </c>
      <c r="T474" t="s">
        <v>37</v>
      </c>
      <c r="U474" t="str">
        <f>IF(Table1[[#This Row],[YearsSince
LastPromotion]]&gt; 4, "Delayed", "Normal")</f>
        <v>Normal</v>
      </c>
      <c r="V474" t="str">
        <f>IF(Table1[[#This Row],[Years
InCurrentRole]]&gt;4, "Role Stagnent", "Normal")</f>
        <v>Role Stagnent</v>
      </c>
      <c r="W474" t="str">
        <f>IF(AND(Table1[[#This Row],[Years
InCurrentRole]]&gt; 4, Table1[[#This Row],[Performance
Rating]]&gt;=3), "High Risk", "Normal")</f>
        <v>High Risk</v>
      </c>
      <c r="X474" t="str">
        <f>IF(Table1[[#This Row],[Performance
Rating]]&gt;=4, "High Performer", "Low Performer")</f>
        <v>High Performer</v>
      </c>
    </row>
    <row r="475" spans="2:24" x14ac:dyDescent="0.3">
      <c r="B475" t="s">
        <v>19</v>
      </c>
      <c r="C475" t="s">
        <v>20</v>
      </c>
      <c r="D475">
        <v>1</v>
      </c>
      <c r="E475" t="s">
        <v>28</v>
      </c>
      <c r="F475">
        <v>2</v>
      </c>
      <c r="G475" t="s">
        <v>32</v>
      </c>
      <c r="H475">
        <v>4</v>
      </c>
      <c r="I475">
        <v>6582</v>
      </c>
      <c r="J475">
        <v>13</v>
      </c>
      <c r="K475">
        <v>3</v>
      </c>
      <c r="L475">
        <v>0</v>
      </c>
      <c r="M475">
        <v>10</v>
      </c>
      <c r="N475">
        <v>2</v>
      </c>
      <c r="O475">
        <v>4</v>
      </c>
      <c r="P475">
        <v>6</v>
      </c>
      <c r="Q475">
        <v>5</v>
      </c>
      <c r="R475">
        <v>0</v>
      </c>
      <c r="S475" t="s">
        <v>34</v>
      </c>
      <c r="T475" t="s">
        <v>37</v>
      </c>
      <c r="U475" t="str">
        <f>IF(Table1[[#This Row],[YearsSince
LastPromotion]]&gt; 4, "Delayed", "Normal")</f>
        <v>Normal</v>
      </c>
      <c r="V475" t="str">
        <f>IF(Table1[[#This Row],[Years
InCurrentRole]]&gt;4, "Role Stagnent", "Normal")</f>
        <v>Role Stagnent</v>
      </c>
      <c r="W475" t="str">
        <f>IF(AND(Table1[[#This Row],[Years
InCurrentRole]]&gt; 4, Table1[[#This Row],[Performance
Rating]]&gt;=3), "High Risk", "Normal")</f>
        <v>High Risk</v>
      </c>
      <c r="X475" t="str">
        <f>IF(Table1[[#This Row],[Performance
Rating]]&gt;=4, "High Performer", "Low Performer")</f>
        <v>Low Performer</v>
      </c>
    </row>
    <row r="476" spans="2:24" x14ac:dyDescent="0.3">
      <c r="B476" t="s">
        <v>19</v>
      </c>
      <c r="C476" t="s">
        <v>25</v>
      </c>
      <c r="D476">
        <v>1</v>
      </c>
      <c r="E476" t="s">
        <v>21</v>
      </c>
      <c r="F476">
        <v>2</v>
      </c>
      <c r="G476" t="s">
        <v>31</v>
      </c>
      <c r="H476">
        <v>4</v>
      </c>
      <c r="I476">
        <v>4523</v>
      </c>
      <c r="J476">
        <v>11</v>
      </c>
      <c r="K476">
        <v>3</v>
      </c>
      <c r="L476">
        <v>3</v>
      </c>
      <c r="M476">
        <v>7</v>
      </c>
      <c r="N476">
        <v>4</v>
      </c>
      <c r="O476">
        <v>4</v>
      </c>
      <c r="P476">
        <v>6</v>
      </c>
      <c r="Q476">
        <v>5</v>
      </c>
      <c r="R476">
        <v>0</v>
      </c>
      <c r="S476" t="s">
        <v>34</v>
      </c>
      <c r="T476" t="s">
        <v>37</v>
      </c>
      <c r="U476" t="str">
        <f>IF(Table1[[#This Row],[YearsSince
LastPromotion]]&gt; 4, "Delayed", "Normal")</f>
        <v>Normal</v>
      </c>
      <c r="V476" t="str">
        <f>IF(Table1[[#This Row],[Years
InCurrentRole]]&gt;4, "Role Stagnent", "Normal")</f>
        <v>Role Stagnent</v>
      </c>
      <c r="W476" t="str">
        <f>IF(AND(Table1[[#This Row],[Years
InCurrentRole]]&gt; 4, Table1[[#This Row],[Performance
Rating]]&gt;=3), "High Risk", "Normal")</f>
        <v>High Risk</v>
      </c>
      <c r="X476" t="str">
        <f>IF(Table1[[#This Row],[Performance
Rating]]&gt;=4, "High Performer", "Low Performer")</f>
        <v>Low Performer</v>
      </c>
    </row>
    <row r="477" spans="2:24" x14ac:dyDescent="0.3">
      <c r="B477" t="s">
        <v>19</v>
      </c>
      <c r="C477" t="s">
        <v>20</v>
      </c>
      <c r="D477">
        <v>1</v>
      </c>
      <c r="E477" t="s">
        <v>28</v>
      </c>
      <c r="F477">
        <v>2</v>
      </c>
      <c r="G477" t="s">
        <v>32</v>
      </c>
      <c r="H477">
        <v>4</v>
      </c>
      <c r="I477">
        <v>5253</v>
      </c>
      <c r="J477">
        <v>16</v>
      </c>
      <c r="K477">
        <v>3</v>
      </c>
      <c r="L477">
        <v>0</v>
      </c>
      <c r="M477">
        <v>7</v>
      </c>
      <c r="N477">
        <v>1</v>
      </c>
      <c r="O477">
        <v>3</v>
      </c>
      <c r="P477">
        <v>7</v>
      </c>
      <c r="Q477">
        <v>5</v>
      </c>
      <c r="R477">
        <v>0</v>
      </c>
      <c r="S477" t="s">
        <v>34</v>
      </c>
      <c r="T477" t="s">
        <v>37</v>
      </c>
      <c r="U477" t="str">
        <f>IF(Table1[[#This Row],[YearsSince
LastPromotion]]&gt; 4, "Delayed", "Normal")</f>
        <v>Normal</v>
      </c>
      <c r="V477" t="str">
        <f>IF(Table1[[#This Row],[Years
InCurrentRole]]&gt;4, "Role Stagnent", "Normal")</f>
        <v>Role Stagnent</v>
      </c>
      <c r="W477" t="str">
        <f>IF(AND(Table1[[#This Row],[Years
InCurrentRole]]&gt; 4, Table1[[#This Row],[Performance
Rating]]&gt;=3), "High Risk", "Normal")</f>
        <v>High Risk</v>
      </c>
      <c r="X477" t="str">
        <f>IF(Table1[[#This Row],[Performance
Rating]]&gt;=4, "High Performer", "Low Performer")</f>
        <v>Low Performer</v>
      </c>
    </row>
    <row r="478" spans="2:24" x14ac:dyDescent="0.3">
      <c r="B478" t="s">
        <v>19</v>
      </c>
      <c r="C478" t="s">
        <v>25</v>
      </c>
      <c r="D478">
        <v>1</v>
      </c>
      <c r="E478" t="s">
        <v>28</v>
      </c>
      <c r="F478">
        <v>2</v>
      </c>
      <c r="G478" t="s">
        <v>33</v>
      </c>
      <c r="H478">
        <v>3</v>
      </c>
      <c r="I478">
        <v>5993</v>
      </c>
      <c r="J478">
        <v>18</v>
      </c>
      <c r="K478">
        <v>3</v>
      </c>
      <c r="L478">
        <v>1</v>
      </c>
      <c r="M478">
        <v>7</v>
      </c>
      <c r="N478">
        <v>2</v>
      </c>
      <c r="O478">
        <v>4</v>
      </c>
      <c r="P478">
        <v>7</v>
      </c>
      <c r="Q478">
        <v>5</v>
      </c>
      <c r="R478">
        <v>0</v>
      </c>
      <c r="S478" t="s">
        <v>34</v>
      </c>
      <c r="T478" t="s">
        <v>37</v>
      </c>
      <c r="U478" t="str">
        <f>IF(Table1[[#This Row],[YearsSince
LastPromotion]]&gt; 4, "Delayed", "Normal")</f>
        <v>Normal</v>
      </c>
      <c r="V478" t="str">
        <f>IF(Table1[[#This Row],[Years
InCurrentRole]]&gt;4, "Role Stagnent", "Normal")</f>
        <v>Role Stagnent</v>
      </c>
      <c r="W478" t="str">
        <f>IF(AND(Table1[[#This Row],[Years
InCurrentRole]]&gt; 4, Table1[[#This Row],[Performance
Rating]]&gt;=3), "High Risk", "Normal")</f>
        <v>High Risk</v>
      </c>
      <c r="X478" t="str">
        <f>IF(Table1[[#This Row],[Performance
Rating]]&gt;=4, "High Performer", "Low Performer")</f>
        <v>Low Performer</v>
      </c>
    </row>
    <row r="479" spans="2:24" x14ac:dyDescent="0.3">
      <c r="B479" t="s">
        <v>19</v>
      </c>
      <c r="C479" t="s">
        <v>25</v>
      </c>
      <c r="D479">
        <v>1</v>
      </c>
      <c r="E479" t="s">
        <v>21</v>
      </c>
      <c r="F479">
        <v>2</v>
      </c>
      <c r="G479" t="s">
        <v>29</v>
      </c>
      <c r="H479">
        <v>3</v>
      </c>
      <c r="I479">
        <v>4193</v>
      </c>
      <c r="J479">
        <v>12</v>
      </c>
      <c r="K479">
        <v>3</v>
      </c>
      <c r="L479">
        <v>0</v>
      </c>
      <c r="M479">
        <v>10</v>
      </c>
      <c r="N479">
        <v>3</v>
      </c>
      <c r="O479">
        <v>3</v>
      </c>
      <c r="P479">
        <v>9</v>
      </c>
      <c r="Q479">
        <v>5</v>
      </c>
      <c r="R479">
        <v>0</v>
      </c>
      <c r="S479" t="s">
        <v>34</v>
      </c>
      <c r="T479" t="s">
        <v>37</v>
      </c>
      <c r="U479" t="str">
        <f>IF(Table1[[#This Row],[YearsSince
LastPromotion]]&gt; 4, "Delayed", "Normal")</f>
        <v>Normal</v>
      </c>
      <c r="V479" t="str">
        <f>IF(Table1[[#This Row],[Years
InCurrentRole]]&gt;4, "Role Stagnent", "Normal")</f>
        <v>Role Stagnent</v>
      </c>
      <c r="W479" t="str">
        <f>IF(AND(Table1[[#This Row],[Years
InCurrentRole]]&gt; 4, Table1[[#This Row],[Performance
Rating]]&gt;=3), "High Risk", "Normal")</f>
        <v>High Risk</v>
      </c>
      <c r="X479" t="str">
        <f>IF(Table1[[#This Row],[Performance
Rating]]&gt;=4, "High Performer", "Low Performer")</f>
        <v>Low Performer</v>
      </c>
    </row>
    <row r="480" spans="2:24" x14ac:dyDescent="0.3">
      <c r="B480" t="s">
        <v>19</v>
      </c>
      <c r="C480" t="s">
        <v>25</v>
      </c>
      <c r="D480">
        <v>1</v>
      </c>
      <c r="E480" t="s">
        <v>21</v>
      </c>
      <c r="F480">
        <v>2</v>
      </c>
      <c r="G480" t="s">
        <v>31</v>
      </c>
      <c r="H480">
        <v>1</v>
      </c>
      <c r="I480">
        <v>6811</v>
      </c>
      <c r="J480">
        <v>19</v>
      </c>
      <c r="K480">
        <v>3</v>
      </c>
      <c r="L480">
        <v>0</v>
      </c>
      <c r="M480">
        <v>9</v>
      </c>
      <c r="N480">
        <v>2</v>
      </c>
      <c r="O480">
        <v>1</v>
      </c>
      <c r="P480">
        <v>7</v>
      </c>
      <c r="Q480">
        <v>6</v>
      </c>
      <c r="R480">
        <v>0</v>
      </c>
      <c r="S480" t="s">
        <v>23</v>
      </c>
      <c r="T480" t="s">
        <v>37</v>
      </c>
      <c r="U480" t="str">
        <f>IF(Table1[[#This Row],[YearsSince
LastPromotion]]&gt; 4, "Delayed", "Normal")</f>
        <v>Normal</v>
      </c>
      <c r="V480" t="str">
        <f>IF(Table1[[#This Row],[Years
InCurrentRole]]&gt;4, "Role Stagnent", "Normal")</f>
        <v>Role Stagnent</v>
      </c>
      <c r="W480" t="str">
        <f>IF(AND(Table1[[#This Row],[Years
InCurrentRole]]&gt; 4, Table1[[#This Row],[Performance
Rating]]&gt;=3), "High Risk", "Normal")</f>
        <v>High Risk</v>
      </c>
      <c r="X480" t="str">
        <f>IF(Table1[[#This Row],[Performance
Rating]]&gt;=4, "High Performer", "Low Performer")</f>
        <v>Low Performer</v>
      </c>
    </row>
    <row r="481" spans="2:24" x14ac:dyDescent="0.3">
      <c r="B481" t="s">
        <v>19</v>
      </c>
      <c r="C481" t="s">
        <v>20</v>
      </c>
      <c r="D481">
        <v>1</v>
      </c>
      <c r="E481" t="s">
        <v>28</v>
      </c>
      <c r="F481">
        <v>2</v>
      </c>
      <c r="G481" t="s">
        <v>32</v>
      </c>
      <c r="H481">
        <v>2</v>
      </c>
      <c r="I481">
        <v>5390</v>
      </c>
      <c r="J481">
        <v>14</v>
      </c>
      <c r="K481">
        <v>3</v>
      </c>
      <c r="L481">
        <v>0</v>
      </c>
      <c r="M481">
        <v>17</v>
      </c>
      <c r="N481">
        <v>3</v>
      </c>
      <c r="O481">
        <v>2</v>
      </c>
      <c r="P481">
        <v>9</v>
      </c>
      <c r="Q481">
        <v>6</v>
      </c>
      <c r="R481">
        <v>0</v>
      </c>
      <c r="S481" t="s">
        <v>23</v>
      </c>
      <c r="T481" t="s">
        <v>37</v>
      </c>
      <c r="U481" t="str">
        <f>IF(Table1[[#This Row],[YearsSince
LastPromotion]]&gt; 4, "Delayed", "Normal")</f>
        <v>Normal</v>
      </c>
      <c r="V481" t="str">
        <f>IF(Table1[[#This Row],[Years
InCurrentRole]]&gt;4, "Role Stagnent", "Normal")</f>
        <v>Role Stagnent</v>
      </c>
      <c r="W481" t="str">
        <f>IF(AND(Table1[[#This Row],[Years
InCurrentRole]]&gt; 4, Table1[[#This Row],[Performance
Rating]]&gt;=3), "High Risk", "Normal")</f>
        <v>High Risk</v>
      </c>
      <c r="X481" t="str">
        <f>IF(Table1[[#This Row],[Performance
Rating]]&gt;=4, "High Performer", "Low Performer")</f>
        <v>Low Performer</v>
      </c>
    </row>
    <row r="482" spans="2:24" x14ac:dyDescent="0.3">
      <c r="B482" t="s">
        <v>19</v>
      </c>
      <c r="C482" t="s">
        <v>20</v>
      </c>
      <c r="D482">
        <v>1</v>
      </c>
      <c r="E482" t="s">
        <v>28</v>
      </c>
      <c r="F482">
        <v>2</v>
      </c>
      <c r="G482" t="s">
        <v>32</v>
      </c>
      <c r="H482">
        <v>4</v>
      </c>
      <c r="I482">
        <v>5772</v>
      </c>
      <c r="J482">
        <v>21</v>
      </c>
      <c r="K482">
        <v>4</v>
      </c>
      <c r="L482">
        <v>0</v>
      </c>
      <c r="M482">
        <v>14</v>
      </c>
      <c r="N482">
        <v>4</v>
      </c>
      <c r="O482">
        <v>3</v>
      </c>
      <c r="P482">
        <v>9</v>
      </c>
      <c r="Q482">
        <v>6</v>
      </c>
      <c r="R482">
        <v>0</v>
      </c>
      <c r="S482" t="s">
        <v>34</v>
      </c>
      <c r="T482" t="s">
        <v>37</v>
      </c>
      <c r="U482" t="str">
        <f>IF(Table1[[#This Row],[YearsSince
LastPromotion]]&gt; 4, "Delayed", "Normal")</f>
        <v>Normal</v>
      </c>
      <c r="V482" t="str">
        <f>IF(Table1[[#This Row],[Years
InCurrentRole]]&gt;4, "Role Stagnent", "Normal")</f>
        <v>Role Stagnent</v>
      </c>
      <c r="W482" t="str">
        <f>IF(AND(Table1[[#This Row],[Years
InCurrentRole]]&gt; 4, Table1[[#This Row],[Performance
Rating]]&gt;=3), "High Risk", "Normal")</f>
        <v>High Risk</v>
      </c>
      <c r="X482" t="str">
        <f>IF(Table1[[#This Row],[Performance
Rating]]&gt;=4, "High Performer", "Low Performer")</f>
        <v>High Performer</v>
      </c>
    </row>
    <row r="483" spans="2:24" x14ac:dyDescent="0.3">
      <c r="B483" t="s">
        <v>19</v>
      </c>
      <c r="C483" t="s">
        <v>25</v>
      </c>
      <c r="D483">
        <v>1</v>
      </c>
      <c r="E483" t="s">
        <v>21</v>
      </c>
      <c r="F483">
        <v>2</v>
      </c>
      <c r="G483" t="s">
        <v>31</v>
      </c>
      <c r="H483">
        <v>4</v>
      </c>
      <c r="I483">
        <v>4014</v>
      </c>
      <c r="J483">
        <v>25</v>
      </c>
      <c r="K483">
        <v>4</v>
      </c>
      <c r="L483">
        <v>1</v>
      </c>
      <c r="M483">
        <v>10</v>
      </c>
      <c r="N483">
        <v>2</v>
      </c>
      <c r="O483">
        <v>1</v>
      </c>
      <c r="P483">
        <v>10</v>
      </c>
      <c r="Q483">
        <v>6</v>
      </c>
      <c r="R483">
        <v>0</v>
      </c>
      <c r="S483" t="s">
        <v>23</v>
      </c>
      <c r="T483" t="s">
        <v>37</v>
      </c>
      <c r="U483" t="str">
        <f>IF(Table1[[#This Row],[YearsSince
LastPromotion]]&gt; 4, "Delayed", "Normal")</f>
        <v>Normal</v>
      </c>
      <c r="V483" t="str">
        <f>IF(Table1[[#This Row],[Years
InCurrentRole]]&gt;4, "Role Stagnent", "Normal")</f>
        <v>Role Stagnent</v>
      </c>
      <c r="W483" t="str">
        <f>IF(AND(Table1[[#This Row],[Years
InCurrentRole]]&gt; 4, Table1[[#This Row],[Performance
Rating]]&gt;=3), "High Risk", "Normal")</f>
        <v>High Risk</v>
      </c>
      <c r="X483" t="str">
        <f>IF(Table1[[#This Row],[Performance
Rating]]&gt;=4, "High Performer", "Low Performer")</f>
        <v>High Performer</v>
      </c>
    </row>
    <row r="484" spans="2:24" x14ac:dyDescent="0.3">
      <c r="B484" t="s">
        <v>19</v>
      </c>
      <c r="C484" t="s">
        <v>20</v>
      </c>
      <c r="D484">
        <v>1</v>
      </c>
      <c r="E484" t="s">
        <v>28</v>
      </c>
      <c r="F484">
        <v>3</v>
      </c>
      <c r="G484" t="s">
        <v>32</v>
      </c>
      <c r="H484">
        <v>4</v>
      </c>
      <c r="I484">
        <v>10368</v>
      </c>
      <c r="J484">
        <v>12</v>
      </c>
      <c r="K484">
        <v>3</v>
      </c>
      <c r="L484">
        <v>1</v>
      </c>
      <c r="M484">
        <v>13</v>
      </c>
      <c r="N484">
        <v>5</v>
      </c>
      <c r="O484">
        <v>2</v>
      </c>
      <c r="P484">
        <v>10</v>
      </c>
      <c r="Q484">
        <v>6</v>
      </c>
      <c r="R484">
        <v>0</v>
      </c>
      <c r="S484" t="s">
        <v>23</v>
      </c>
      <c r="T484" t="s">
        <v>37</v>
      </c>
      <c r="U484" t="str">
        <f>IF(Table1[[#This Row],[YearsSince
LastPromotion]]&gt; 4, "Delayed", "Normal")</f>
        <v>Normal</v>
      </c>
      <c r="V484" t="str">
        <f>IF(Table1[[#This Row],[Years
InCurrentRole]]&gt;4, "Role Stagnent", "Normal")</f>
        <v>Role Stagnent</v>
      </c>
      <c r="W484" t="str">
        <f>IF(AND(Table1[[#This Row],[Years
InCurrentRole]]&gt; 4, Table1[[#This Row],[Performance
Rating]]&gt;=3), "High Risk", "Normal")</f>
        <v>High Risk</v>
      </c>
      <c r="X484" t="str">
        <f>IF(Table1[[#This Row],[Performance
Rating]]&gt;=4, "High Performer", "Low Performer")</f>
        <v>Low Performer</v>
      </c>
    </row>
    <row r="485" spans="2:24" x14ac:dyDescent="0.3">
      <c r="B485" t="s">
        <v>19</v>
      </c>
      <c r="C485" t="s">
        <v>25</v>
      </c>
      <c r="D485">
        <v>1</v>
      </c>
      <c r="E485" t="s">
        <v>21</v>
      </c>
      <c r="F485">
        <v>1</v>
      </c>
      <c r="G485" t="s">
        <v>26</v>
      </c>
      <c r="H485">
        <v>3</v>
      </c>
      <c r="I485">
        <v>3376</v>
      </c>
      <c r="J485">
        <v>13</v>
      </c>
      <c r="K485">
        <v>3</v>
      </c>
      <c r="L485">
        <v>0</v>
      </c>
      <c r="M485">
        <v>10</v>
      </c>
      <c r="N485">
        <v>3</v>
      </c>
      <c r="O485">
        <v>3</v>
      </c>
      <c r="P485">
        <v>10</v>
      </c>
      <c r="Q485">
        <v>6</v>
      </c>
      <c r="R485">
        <v>0</v>
      </c>
      <c r="S485" t="s">
        <v>34</v>
      </c>
      <c r="T485" t="s">
        <v>37</v>
      </c>
      <c r="U485" t="str">
        <f>IF(Table1[[#This Row],[YearsSince
LastPromotion]]&gt; 4, "Delayed", "Normal")</f>
        <v>Normal</v>
      </c>
      <c r="V485" t="str">
        <f>IF(Table1[[#This Row],[Years
InCurrentRole]]&gt;4, "Role Stagnent", "Normal")</f>
        <v>Role Stagnent</v>
      </c>
      <c r="W485" t="str">
        <f>IF(AND(Table1[[#This Row],[Years
InCurrentRole]]&gt; 4, Table1[[#This Row],[Performance
Rating]]&gt;=3), "High Risk", "Normal")</f>
        <v>High Risk</v>
      </c>
      <c r="X485" t="str">
        <f>IF(Table1[[#This Row],[Performance
Rating]]&gt;=4, "High Performer", "Low Performer")</f>
        <v>Low Performer</v>
      </c>
    </row>
    <row r="486" spans="2:24" x14ac:dyDescent="0.3">
      <c r="B486" t="s">
        <v>19</v>
      </c>
      <c r="C486" t="s">
        <v>25</v>
      </c>
      <c r="D486">
        <v>1</v>
      </c>
      <c r="E486" t="s">
        <v>28</v>
      </c>
      <c r="F486">
        <v>3</v>
      </c>
      <c r="G486" t="s">
        <v>33</v>
      </c>
      <c r="H486">
        <v>2</v>
      </c>
      <c r="I486">
        <v>8095</v>
      </c>
      <c r="J486">
        <v>13</v>
      </c>
      <c r="K486">
        <v>3</v>
      </c>
      <c r="L486">
        <v>0</v>
      </c>
      <c r="M486">
        <v>17</v>
      </c>
      <c r="N486">
        <v>5</v>
      </c>
      <c r="O486">
        <v>3</v>
      </c>
      <c r="P486">
        <v>16</v>
      </c>
      <c r="Q486">
        <v>6</v>
      </c>
      <c r="R486">
        <v>0</v>
      </c>
      <c r="S486" t="s">
        <v>34</v>
      </c>
      <c r="T486" t="s">
        <v>37</v>
      </c>
      <c r="U486" t="str">
        <f>IF(Table1[[#This Row],[YearsSince
LastPromotion]]&gt; 4, "Delayed", "Normal")</f>
        <v>Normal</v>
      </c>
      <c r="V486" t="str">
        <f>IF(Table1[[#This Row],[Years
InCurrentRole]]&gt;4, "Role Stagnent", "Normal")</f>
        <v>Role Stagnent</v>
      </c>
      <c r="W486" t="str">
        <f>IF(AND(Table1[[#This Row],[Years
InCurrentRole]]&gt; 4, Table1[[#This Row],[Performance
Rating]]&gt;=3), "High Risk", "Normal")</f>
        <v>High Risk</v>
      </c>
      <c r="X486" t="str">
        <f>IF(Table1[[#This Row],[Performance
Rating]]&gt;=4, "High Performer", "Low Performer")</f>
        <v>Low Performer</v>
      </c>
    </row>
    <row r="487" spans="2:24" x14ac:dyDescent="0.3">
      <c r="B487" t="s">
        <v>19</v>
      </c>
      <c r="C487" t="s">
        <v>25</v>
      </c>
      <c r="D487">
        <v>1</v>
      </c>
      <c r="E487" t="s">
        <v>21</v>
      </c>
      <c r="F487">
        <v>2</v>
      </c>
      <c r="G487" t="s">
        <v>26</v>
      </c>
      <c r="H487">
        <v>4</v>
      </c>
      <c r="I487">
        <v>5055</v>
      </c>
      <c r="J487">
        <v>16</v>
      </c>
      <c r="K487">
        <v>3</v>
      </c>
      <c r="L487">
        <v>0</v>
      </c>
      <c r="M487">
        <v>10</v>
      </c>
      <c r="N487">
        <v>0</v>
      </c>
      <c r="O487">
        <v>2</v>
      </c>
      <c r="P487">
        <v>7</v>
      </c>
      <c r="Q487">
        <v>7</v>
      </c>
      <c r="R487">
        <v>0</v>
      </c>
      <c r="S487" t="s">
        <v>23</v>
      </c>
      <c r="T487" t="s">
        <v>37</v>
      </c>
      <c r="U487" t="str">
        <f>IF(Table1[[#This Row],[YearsSince
LastPromotion]]&gt; 4, "Delayed", "Normal")</f>
        <v>Normal</v>
      </c>
      <c r="V487" t="str">
        <f>IF(Table1[[#This Row],[Years
InCurrentRole]]&gt;4, "Role Stagnent", "Normal")</f>
        <v>Role Stagnent</v>
      </c>
      <c r="W487" t="str">
        <f>IF(AND(Table1[[#This Row],[Years
InCurrentRole]]&gt; 4, Table1[[#This Row],[Performance
Rating]]&gt;=3), "High Risk", "Normal")</f>
        <v>High Risk</v>
      </c>
      <c r="X487" t="str">
        <f>IF(Table1[[#This Row],[Performance
Rating]]&gt;=4, "High Performer", "Low Performer")</f>
        <v>Low Performer</v>
      </c>
    </row>
    <row r="488" spans="2:24" x14ac:dyDescent="0.3">
      <c r="B488" t="s">
        <v>19</v>
      </c>
      <c r="C488" t="s">
        <v>25</v>
      </c>
      <c r="D488">
        <v>1</v>
      </c>
      <c r="E488" t="s">
        <v>21</v>
      </c>
      <c r="F488">
        <v>1</v>
      </c>
      <c r="G488" t="s">
        <v>26</v>
      </c>
      <c r="H488">
        <v>2</v>
      </c>
      <c r="I488">
        <v>2279</v>
      </c>
      <c r="J488">
        <v>16</v>
      </c>
      <c r="K488">
        <v>3</v>
      </c>
      <c r="L488">
        <v>0</v>
      </c>
      <c r="M488">
        <v>7</v>
      </c>
      <c r="N488">
        <v>2</v>
      </c>
      <c r="O488">
        <v>2</v>
      </c>
      <c r="P488">
        <v>7</v>
      </c>
      <c r="Q488">
        <v>7</v>
      </c>
      <c r="R488">
        <v>0</v>
      </c>
      <c r="S488" t="s">
        <v>23</v>
      </c>
      <c r="T488" t="s">
        <v>37</v>
      </c>
      <c r="U488" t="str">
        <f>IF(Table1[[#This Row],[YearsSince
LastPromotion]]&gt; 4, "Delayed", "Normal")</f>
        <v>Normal</v>
      </c>
      <c r="V488" t="str">
        <f>IF(Table1[[#This Row],[Years
InCurrentRole]]&gt;4, "Role Stagnent", "Normal")</f>
        <v>Role Stagnent</v>
      </c>
      <c r="W488" t="str">
        <f>IF(AND(Table1[[#This Row],[Years
InCurrentRole]]&gt; 4, Table1[[#This Row],[Performance
Rating]]&gt;=3), "High Risk", "Normal")</f>
        <v>High Risk</v>
      </c>
      <c r="X488" t="str">
        <f>IF(Table1[[#This Row],[Performance
Rating]]&gt;=4, "High Performer", "Low Performer")</f>
        <v>Low Performer</v>
      </c>
    </row>
    <row r="489" spans="2:24" x14ac:dyDescent="0.3">
      <c r="B489" t="s">
        <v>19</v>
      </c>
      <c r="C489" t="s">
        <v>20</v>
      </c>
      <c r="D489">
        <v>1</v>
      </c>
      <c r="E489" t="s">
        <v>21</v>
      </c>
      <c r="F489">
        <v>2</v>
      </c>
      <c r="G489" t="s">
        <v>32</v>
      </c>
      <c r="H489">
        <v>4</v>
      </c>
      <c r="I489">
        <v>4936</v>
      </c>
      <c r="J489">
        <v>11</v>
      </c>
      <c r="K489">
        <v>3</v>
      </c>
      <c r="L489">
        <v>1</v>
      </c>
      <c r="M489">
        <v>18</v>
      </c>
      <c r="N489">
        <v>2</v>
      </c>
      <c r="O489">
        <v>2</v>
      </c>
      <c r="P489">
        <v>7</v>
      </c>
      <c r="Q489">
        <v>7</v>
      </c>
      <c r="R489">
        <v>0</v>
      </c>
      <c r="S489" t="s">
        <v>23</v>
      </c>
      <c r="T489" t="s">
        <v>37</v>
      </c>
      <c r="U489" t="str">
        <f>IF(Table1[[#This Row],[YearsSince
LastPromotion]]&gt; 4, "Delayed", "Normal")</f>
        <v>Normal</v>
      </c>
      <c r="V489" t="str">
        <f>IF(Table1[[#This Row],[Years
InCurrentRole]]&gt;4, "Role Stagnent", "Normal")</f>
        <v>Role Stagnent</v>
      </c>
      <c r="W489" t="str">
        <f>IF(AND(Table1[[#This Row],[Years
InCurrentRole]]&gt; 4, Table1[[#This Row],[Performance
Rating]]&gt;=3), "High Risk", "Normal")</f>
        <v>High Risk</v>
      </c>
      <c r="X489" t="str">
        <f>IF(Table1[[#This Row],[Performance
Rating]]&gt;=4, "High Performer", "Low Performer")</f>
        <v>Low Performer</v>
      </c>
    </row>
    <row r="490" spans="2:24" x14ac:dyDescent="0.3">
      <c r="B490" t="s">
        <v>27</v>
      </c>
      <c r="C490" t="s">
        <v>25</v>
      </c>
      <c r="D490">
        <v>1</v>
      </c>
      <c r="E490" t="s">
        <v>28</v>
      </c>
      <c r="F490">
        <v>1</v>
      </c>
      <c r="G490" t="s">
        <v>29</v>
      </c>
      <c r="H490">
        <v>1</v>
      </c>
      <c r="I490">
        <v>2119</v>
      </c>
      <c r="J490">
        <v>11</v>
      </c>
      <c r="K490">
        <v>3</v>
      </c>
      <c r="L490">
        <v>0</v>
      </c>
      <c r="M490">
        <v>7</v>
      </c>
      <c r="N490">
        <v>4</v>
      </c>
      <c r="O490">
        <v>2</v>
      </c>
      <c r="P490">
        <v>7</v>
      </c>
      <c r="Q490">
        <v>7</v>
      </c>
      <c r="R490">
        <v>0</v>
      </c>
      <c r="S490" t="s">
        <v>23</v>
      </c>
      <c r="T490" t="s">
        <v>37</v>
      </c>
      <c r="U490" t="str">
        <f>IF(Table1[[#This Row],[YearsSince
LastPromotion]]&gt; 4, "Delayed", "Normal")</f>
        <v>Normal</v>
      </c>
      <c r="V490" t="str">
        <f>IF(Table1[[#This Row],[Years
InCurrentRole]]&gt;4, "Role Stagnent", "Normal")</f>
        <v>Role Stagnent</v>
      </c>
      <c r="W490" t="str">
        <f>IF(AND(Table1[[#This Row],[Years
InCurrentRole]]&gt; 4, Table1[[#This Row],[Performance
Rating]]&gt;=3), "High Risk", "Normal")</f>
        <v>High Risk</v>
      </c>
      <c r="X490" t="str">
        <f>IF(Table1[[#This Row],[Performance
Rating]]&gt;=4, "High Performer", "Low Performer")</f>
        <v>Low Performer</v>
      </c>
    </row>
    <row r="491" spans="2:24" x14ac:dyDescent="0.3">
      <c r="B491" t="s">
        <v>19</v>
      </c>
      <c r="C491" t="s">
        <v>20</v>
      </c>
      <c r="D491">
        <v>1</v>
      </c>
      <c r="E491" t="s">
        <v>28</v>
      </c>
      <c r="F491">
        <v>2</v>
      </c>
      <c r="G491" t="s">
        <v>32</v>
      </c>
      <c r="H491">
        <v>4</v>
      </c>
      <c r="I491">
        <v>4682</v>
      </c>
      <c r="J491">
        <v>14</v>
      </c>
      <c r="K491">
        <v>3</v>
      </c>
      <c r="L491">
        <v>0</v>
      </c>
      <c r="M491">
        <v>9</v>
      </c>
      <c r="N491">
        <v>6</v>
      </c>
      <c r="O491">
        <v>2</v>
      </c>
      <c r="P491">
        <v>7</v>
      </c>
      <c r="Q491">
        <v>7</v>
      </c>
      <c r="R491">
        <v>0</v>
      </c>
      <c r="S491" t="s">
        <v>23</v>
      </c>
      <c r="T491" t="s">
        <v>37</v>
      </c>
      <c r="U491" t="str">
        <f>IF(Table1[[#This Row],[YearsSince
LastPromotion]]&gt; 4, "Delayed", "Normal")</f>
        <v>Normal</v>
      </c>
      <c r="V491" t="str">
        <f>IF(Table1[[#This Row],[Years
InCurrentRole]]&gt;4, "Role Stagnent", "Normal")</f>
        <v>Role Stagnent</v>
      </c>
      <c r="W491" t="str">
        <f>IF(AND(Table1[[#This Row],[Years
InCurrentRole]]&gt; 4, Table1[[#This Row],[Performance
Rating]]&gt;=3), "High Risk", "Normal")</f>
        <v>High Risk</v>
      </c>
      <c r="X491" t="str">
        <f>IF(Table1[[#This Row],[Performance
Rating]]&gt;=4, "High Performer", "Low Performer")</f>
        <v>Low Performer</v>
      </c>
    </row>
    <row r="492" spans="2:24" x14ac:dyDescent="0.3">
      <c r="B492" t="s">
        <v>19</v>
      </c>
      <c r="C492" t="s">
        <v>20</v>
      </c>
      <c r="D492">
        <v>1</v>
      </c>
      <c r="E492" t="s">
        <v>28</v>
      </c>
      <c r="F492">
        <v>2</v>
      </c>
      <c r="G492" t="s">
        <v>32</v>
      </c>
      <c r="H492">
        <v>1</v>
      </c>
      <c r="I492">
        <v>4294</v>
      </c>
      <c r="J492">
        <v>12</v>
      </c>
      <c r="K492">
        <v>3</v>
      </c>
      <c r="L492">
        <v>0</v>
      </c>
      <c r="M492">
        <v>7</v>
      </c>
      <c r="N492">
        <v>2</v>
      </c>
      <c r="O492">
        <v>3</v>
      </c>
      <c r="P492">
        <v>7</v>
      </c>
      <c r="Q492">
        <v>7</v>
      </c>
      <c r="R492">
        <v>0</v>
      </c>
      <c r="S492" t="s">
        <v>34</v>
      </c>
      <c r="T492" t="s">
        <v>37</v>
      </c>
      <c r="U492" t="str">
        <f>IF(Table1[[#This Row],[YearsSince
LastPromotion]]&gt; 4, "Delayed", "Normal")</f>
        <v>Normal</v>
      </c>
      <c r="V492" t="str">
        <f>IF(Table1[[#This Row],[Years
InCurrentRole]]&gt;4, "Role Stagnent", "Normal")</f>
        <v>Role Stagnent</v>
      </c>
      <c r="W492" t="str">
        <f>IF(AND(Table1[[#This Row],[Years
InCurrentRole]]&gt; 4, Table1[[#This Row],[Performance
Rating]]&gt;=3), "High Risk", "Normal")</f>
        <v>High Risk</v>
      </c>
      <c r="X492" t="str">
        <f>IF(Table1[[#This Row],[Performance
Rating]]&gt;=4, "High Performer", "Low Performer")</f>
        <v>Low Performer</v>
      </c>
    </row>
    <row r="493" spans="2:24" x14ac:dyDescent="0.3">
      <c r="B493" t="s">
        <v>19</v>
      </c>
      <c r="C493" t="s">
        <v>20</v>
      </c>
      <c r="D493">
        <v>1</v>
      </c>
      <c r="E493" t="s">
        <v>21</v>
      </c>
      <c r="F493">
        <v>2</v>
      </c>
      <c r="G493" t="s">
        <v>32</v>
      </c>
      <c r="H493">
        <v>3</v>
      </c>
      <c r="I493">
        <v>9981</v>
      </c>
      <c r="J493">
        <v>14</v>
      </c>
      <c r="K493">
        <v>3</v>
      </c>
      <c r="L493">
        <v>0</v>
      </c>
      <c r="M493">
        <v>7</v>
      </c>
      <c r="N493">
        <v>2</v>
      </c>
      <c r="O493">
        <v>3</v>
      </c>
      <c r="P493">
        <v>7</v>
      </c>
      <c r="Q493">
        <v>7</v>
      </c>
      <c r="R493">
        <v>0</v>
      </c>
      <c r="S493" t="s">
        <v>34</v>
      </c>
      <c r="T493" t="s">
        <v>37</v>
      </c>
      <c r="U493" t="str">
        <f>IF(Table1[[#This Row],[YearsSince
LastPromotion]]&gt; 4, "Delayed", "Normal")</f>
        <v>Normal</v>
      </c>
      <c r="V493" t="str">
        <f>IF(Table1[[#This Row],[Years
InCurrentRole]]&gt;4, "Role Stagnent", "Normal")</f>
        <v>Role Stagnent</v>
      </c>
      <c r="W493" t="str">
        <f>IF(AND(Table1[[#This Row],[Years
InCurrentRole]]&gt; 4, Table1[[#This Row],[Performance
Rating]]&gt;=3), "High Risk", "Normal")</f>
        <v>High Risk</v>
      </c>
      <c r="X493" t="str">
        <f>IF(Table1[[#This Row],[Performance
Rating]]&gt;=4, "High Performer", "Low Performer")</f>
        <v>Low Performer</v>
      </c>
    </row>
    <row r="494" spans="2:24" x14ac:dyDescent="0.3">
      <c r="B494" t="s">
        <v>19</v>
      </c>
      <c r="C494" t="s">
        <v>20</v>
      </c>
      <c r="D494">
        <v>1</v>
      </c>
      <c r="E494" t="s">
        <v>28</v>
      </c>
      <c r="F494">
        <v>2</v>
      </c>
      <c r="G494" t="s">
        <v>32</v>
      </c>
      <c r="H494">
        <v>4</v>
      </c>
      <c r="I494">
        <v>6834</v>
      </c>
      <c r="J494">
        <v>12</v>
      </c>
      <c r="K494">
        <v>3</v>
      </c>
      <c r="L494">
        <v>1</v>
      </c>
      <c r="M494">
        <v>7</v>
      </c>
      <c r="N494">
        <v>2</v>
      </c>
      <c r="O494">
        <v>3</v>
      </c>
      <c r="P494">
        <v>7</v>
      </c>
      <c r="Q494">
        <v>7</v>
      </c>
      <c r="R494">
        <v>0</v>
      </c>
      <c r="S494" t="s">
        <v>34</v>
      </c>
      <c r="T494" t="s">
        <v>37</v>
      </c>
      <c r="U494" t="str">
        <f>IF(Table1[[#This Row],[YearsSince
LastPromotion]]&gt; 4, "Delayed", "Normal")</f>
        <v>Normal</v>
      </c>
      <c r="V494" t="str">
        <f>IF(Table1[[#This Row],[Years
InCurrentRole]]&gt;4, "Role Stagnent", "Normal")</f>
        <v>Role Stagnent</v>
      </c>
      <c r="W494" t="str">
        <f>IF(AND(Table1[[#This Row],[Years
InCurrentRole]]&gt; 4, Table1[[#This Row],[Performance
Rating]]&gt;=3), "High Risk", "Normal")</f>
        <v>High Risk</v>
      </c>
      <c r="X494" t="str">
        <f>IF(Table1[[#This Row],[Performance
Rating]]&gt;=4, "High Performer", "Low Performer")</f>
        <v>Low Performer</v>
      </c>
    </row>
    <row r="495" spans="2:24" x14ac:dyDescent="0.3">
      <c r="B495" t="s">
        <v>19</v>
      </c>
      <c r="C495" t="s">
        <v>25</v>
      </c>
      <c r="D495">
        <v>1</v>
      </c>
      <c r="E495" t="s">
        <v>28</v>
      </c>
      <c r="F495">
        <v>1</v>
      </c>
      <c r="G495" t="s">
        <v>29</v>
      </c>
      <c r="H495">
        <v>1</v>
      </c>
      <c r="I495">
        <v>3578</v>
      </c>
      <c r="J495">
        <v>12</v>
      </c>
      <c r="K495">
        <v>3</v>
      </c>
      <c r="L495">
        <v>0</v>
      </c>
      <c r="M495">
        <v>8</v>
      </c>
      <c r="N495">
        <v>2</v>
      </c>
      <c r="O495">
        <v>3</v>
      </c>
      <c r="P495">
        <v>7</v>
      </c>
      <c r="Q495">
        <v>7</v>
      </c>
      <c r="R495">
        <v>0</v>
      </c>
      <c r="S495" t="s">
        <v>34</v>
      </c>
      <c r="T495" t="s">
        <v>37</v>
      </c>
      <c r="U495" t="str">
        <f>IF(Table1[[#This Row],[YearsSince
LastPromotion]]&gt; 4, "Delayed", "Normal")</f>
        <v>Normal</v>
      </c>
      <c r="V495" t="str">
        <f>IF(Table1[[#This Row],[Years
InCurrentRole]]&gt;4, "Role Stagnent", "Normal")</f>
        <v>Role Stagnent</v>
      </c>
      <c r="W495" t="str">
        <f>IF(AND(Table1[[#This Row],[Years
InCurrentRole]]&gt; 4, Table1[[#This Row],[Performance
Rating]]&gt;=3), "High Risk", "Normal")</f>
        <v>High Risk</v>
      </c>
      <c r="X495" t="str">
        <f>IF(Table1[[#This Row],[Performance
Rating]]&gt;=4, "High Performer", "Low Performer")</f>
        <v>Low Performer</v>
      </c>
    </row>
    <row r="496" spans="2:24" x14ac:dyDescent="0.3">
      <c r="B496" t="s">
        <v>19</v>
      </c>
      <c r="C496" t="s">
        <v>20</v>
      </c>
      <c r="D496">
        <v>1</v>
      </c>
      <c r="E496" t="s">
        <v>21</v>
      </c>
      <c r="F496">
        <v>2</v>
      </c>
      <c r="G496" t="s">
        <v>32</v>
      </c>
      <c r="H496">
        <v>4</v>
      </c>
      <c r="I496">
        <v>4028</v>
      </c>
      <c r="J496">
        <v>20</v>
      </c>
      <c r="K496">
        <v>4</v>
      </c>
      <c r="L496">
        <v>0</v>
      </c>
      <c r="M496">
        <v>8</v>
      </c>
      <c r="N496">
        <v>2</v>
      </c>
      <c r="O496">
        <v>3</v>
      </c>
      <c r="P496">
        <v>7</v>
      </c>
      <c r="Q496">
        <v>7</v>
      </c>
      <c r="R496">
        <v>0</v>
      </c>
      <c r="S496" t="s">
        <v>34</v>
      </c>
      <c r="T496" t="s">
        <v>37</v>
      </c>
      <c r="U496" t="str">
        <f>IF(Table1[[#This Row],[YearsSince
LastPromotion]]&gt; 4, "Delayed", "Normal")</f>
        <v>Normal</v>
      </c>
      <c r="V496" t="str">
        <f>IF(Table1[[#This Row],[Years
InCurrentRole]]&gt;4, "Role Stagnent", "Normal")</f>
        <v>Role Stagnent</v>
      </c>
      <c r="W496" t="str">
        <f>IF(AND(Table1[[#This Row],[Years
InCurrentRole]]&gt; 4, Table1[[#This Row],[Performance
Rating]]&gt;=3), "High Risk", "Normal")</f>
        <v>High Risk</v>
      </c>
      <c r="X496" t="str">
        <f>IF(Table1[[#This Row],[Performance
Rating]]&gt;=4, "High Performer", "Low Performer")</f>
        <v>High Performer</v>
      </c>
    </row>
    <row r="497" spans="2:24" x14ac:dyDescent="0.3">
      <c r="B497" t="s">
        <v>19</v>
      </c>
      <c r="C497" t="s">
        <v>25</v>
      </c>
      <c r="D497">
        <v>1</v>
      </c>
      <c r="E497" t="s">
        <v>28</v>
      </c>
      <c r="F497">
        <v>3</v>
      </c>
      <c r="G497" t="s">
        <v>31</v>
      </c>
      <c r="H497">
        <v>1</v>
      </c>
      <c r="I497">
        <v>10851</v>
      </c>
      <c r="J497">
        <v>18</v>
      </c>
      <c r="K497">
        <v>3</v>
      </c>
      <c r="L497">
        <v>1</v>
      </c>
      <c r="M497">
        <v>24</v>
      </c>
      <c r="N497">
        <v>2</v>
      </c>
      <c r="O497">
        <v>3</v>
      </c>
      <c r="P497">
        <v>7</v>
      </c>
      <c r="Q497">
        <v>7</v>
      </c>
      <c r="R497">
        <v>0</v>
      </c>
      <c r="S497" t="s">
        <v>34</v>
      </c>
      <c r="T497" t="s">
        <v>37</v>
      </c>
      <c r="U497" t="str">
        <f>IF(Table1[[#This Row],[YearsSince
LastPromotion]]&gt; 4, "Delayed", "Normal")</f>
        <v>Normal</v>
      </c>
      <c r="V497" t="str">
        <f>IF(Table1[[#This Row],[Years
InCurrentRole]]&gt;4, "Role Stagnent", "Normal")</f>
        <v>Role Stagnent</v>
      </c>
      <c r="W497" t="str">
        <f>IF(AND(Table1[[#This Row],[Years
InCurrentRole]]&gt; 4, Table1[[#This Row],[Performance
Rating]]&gt;=3), "High Risk", "Normal")</f>
        <v>High Risk</v>
      </c>
      <c r="X497" t="str">
        <f>IF(Table1[[#This Row],[Performance
Rating]]&gt;=4, "High Performer", "Low Performer")</f>
        <v>Low Performer</v>
      </c>
    </row>
    <row r="498" spans="2:24" x14ac:dyDescent="0.3">
      <c r="B498" t="s">
        <v>19</v>
      </c>
      <c r="C498" t="s">
        <v>25</v>
      </c>
      <c r="D498">
        <v>1</v>
      </c>
      <c r="E498" t="s">
        <v>28</v>
      </c>
      <c r="F498">
        <v>1</v>
      </c>
      <c r="G498" t="s">
        <v>29</v>
      </c>
      <c r="H498">
        <v>1</v>
      </c>
      <c r="I498">
        <v>4066</v>
      </c>
      <c r="J498">
        <v>11</v>
      </c>
      <c r="K498">
        <v>3</v>
      </c>
      <c r="L498">
        <v>2</v>
      </c>
      <c r="M498">
        <v>7</v>
      </c>
      <c r="N498">
        <v>3</v>
      </c>
      <c r="O498">
        <v>3</v>
      </c>
      <c r="P498">
        <v>7</v>
      </c>
      <c r="Q498">
        <v>7</v>
      </c>
      <c r="R498">
        <v>0</v>
      </c>
      <c r="S498" t="s">
        <v>34</v>
      </c>
      <c r="T498" t="s">
        <v>37</v>
      </c>
      <c r="U498" t="str">
        <f>IF(Table1[[#This Row],[YearsSince
LastPromotion]]&gt; 4, "Delayed", "Normal")</f>
        <v>Normal</v>
      </c>
      <c r="V498" t="str">
        <f>IF(Table1[[#This Row],[Years
InCurrentRole]]&gt;4, "Role Stagnent", "Normal")</f>
        <v>Role Stagnent</v>
      </c>
      <c r="W498" t="str">
        <f>IF(AND(Table1[[#This Row],[Years
InCurrentRole]]&gt; 4, Table1[[#This Row],[Performance
Rating]]&gt;=3), "High Risk", "Normal")</f>
        <v>High Risk</v>
      </c>
      <c r="X498" t="str">
        <f>IF(Table1[[#This Row],[Performance
Rating]]&gt;=4, "High Performer", "Low Performer")</f>
        <v>Low Performer</v>
      </c>
    </row>
    <row r="499" spans="2:24" x14ac:dyDescent="0.3">
      <c r="B499" t="s">
        <v>19</v>
      </c>
      <c r="C499" t="s">
        <v>25</v>
      </c>
      <c r="D499">
        <v>1</v>
      </c>
      <c r="E499" t="s">
        <v>21</v>
      </c>
      <c r="F499">
        <v>3</v>
      </c>
      <c r="G499" t="s">
        <v>33</v>
      </c>
      <c r="H499">
        <v>3</v>
      </c>
      <c r="I499">
        <v>9667</v>
      </c>
      <c r="J499">
        <v>14</v>
      </c>
      <c r="K499">
        <v>3</v>
      </c>
      <c r="L499">
        <v>0</v>
      </c>
      <c r="M499">
        <v>9</v>
      </c>
      <c r="N499">
        <v>3</v>
      </c>
      <c r="O499">
        <v>3</v>
      </c>
      <c r="P499">
        <v>7</v>
      </c>
      <c r="Q499">
        <v>7</v>
      </c>
      <c r="R499">
        <v>0</v>
      </c>
      <c r="S499" t="s">
        <v>34</v>
      </c>
      <c r="T499" t="s">
        <v>37</v>
      </c>
      <c r="U499" t="str">
        <f>IF(Table1[[#This Row],[YearsSince
LastPromotion]]&gt; 4, "Delayed", "Normal")</f>
        <v>Normal</v>
      </c>
      <c r="V499" t="str">
        <f>IF(Table1[[#This Row],[Years
InCurrentRole]]&gt;4, "Role Stagnent", "Normal")</f>
        <v>Role Stagnent</v>
      </c>
      <c r="W499" t="str">
        <f>IF(AND(Table1[[#This Row],[Years
InCurrentRole]]&gt; 4, Table1[[#This Row],[Performance
Rating]]&gt;=3), "High Risk", "Normal")</f>
        <v>High Risk</v>
      </c>
      <c r="X499" t="str">
        <f>IF(Table1[[#This Row],[Performance
Rating]]&gt;=4, "High Performer", "Low Performer")</f>
        <v>Low Performer</v>
      </c>
    </row>
    <row r="500" spans="2:24" x14ac:dyDescent="0.3">
      <c r="B500" t="s">
        <v>19</v>
      </c>
      <c r="C500" t="s">
        <v>25</v>
      </c>
      <c r="D500">
        <v>1</v>
      </c>
      <c r="E500" t="s">
        <v>21</v>
      </c>
      <c r="F500">
        <v>2</v>
      </c>
      <c r="G500" t="s">
        <v>31</v>
      </c>
      <c r="H500">
        <v>1</v>
      </c>
      <c r="I500">
        <v>9715</v>
      </c>
      <c r="J500">
        <v>13</v>
      </c>
      <c r="K500">
        <v>3</v>
      </c>
      <c r="L500">
        <v>1</v>
      </c>
      <c r="M500">
        <v>9</v>
      </c>
      <c r="N500">
        <v>3</v>
      </c>
      <c r="O500">
        <v>3</v>
      </c>
      <c r="P500">
        <v>7</v>
      </c>
      <c r="Q500">
        <v>7</v>
      </c>
      <c r="R500">
        <v>0</v>
      </c>
      <c r="S500" t="s">
        <v>34</v>
      </c>
      <c r="T500" t="s">
        <v>37</v>
      </c>
      <c r="U500" t="str">
        <f>IF(Table1[[#This Row],[YearsSince
LastPromotion]]&gt; 4, "Delayed", "Normal")</f>
        <v>Normal</v>
      </c>
      <c r="V500" t="str">
        <f>IF(Table1[[#This Row],[Years
InCurrentRole]]&gt;4, "Role Stagnent", "Normal")</f>
        <v>Role Stagnent</v>
      </c>
      <c r="W500" t="str">
        <f>IF(AND(Table1[[#This Row],[Years
InCurrentRole]]&gt; 4, Table1[[#This Row],[Performance
Rating]]&gt;=3), "High Risk", "Normal")</f>
        <v>High Risk</v>
      </c>
      <c r="X500" t="str">
        <f>IF(Table1[[#This Row],[Performance
Rating]]&gt;=4, "High Performer", "Low Performer")</f>
        <v>Low Performer</v>
      </c>
    </row>
    <row r="501" spans="2:24" x14ac:dyDescent="0.3">
      <c r="B501" t="s">
        <v>19</v>
      </c>
      <c r="C501" t="s">
        <v>25</v>
      </c>
      <c r="D501">
        <v>1</v>
      </c>
      <c r="E501" t="s">
        <v>28</v>
      </c>
      <c r="F501">
        <v>1</v>
      </c>
      <c r="G501" t="s">
        <v>26</v>
      </c>
      <c r="H501">
        <v>2</v>
      </c>
      <c r="I501">
        <v>2718</v>
      </c>
      <c r="J501">
        <v>14</v>
      </c>
      <c r="K501">
        <v>3</v>
      </c>
      <c r="L501">
        <v>0</v>
      </c>
      <c r="M501">
        <v>12</v>
      </c>
      <c r="N501">
        <v>3</v>
      </c>
      <c r="O501">
        <v>3</v>
      </c>
      <c r="P501">
        <v>7</v>
      </c>
      <c r="Q501">
        <v>7</v>
      </c>
      <c r="R501">
        <v>0</v>
      </c>
      <c r="S501" t="s">
        <v>34</v>
      </c>
      <c r="T501" t="s">
        <v>37</v>
      </c>
      <c r="U501" t="str">
        <f>IF(Table1[[#This Row],[YearsSince
LastPromotion]]&gt; 4, "Delayed", "Normal")</f>
        <v>Normal</v>
      </c>
      <c r="V501" t="str">
        <f>IF(Table1[[#This Row],[Years
InCurrentRole]]&gt;4, "Role Stagnent", "Normal")</f>
        <v>Role Stagnent</v>
      </c>
      <c r="W501" t="str">
        <f>IF(AND(Table1[[#This Row],[Years
InCurrentRole]]&gt; 4, Table1[[#This Row],[Performance
Rating]]&gt;=3), "High Risk", "Normal")</f>
        <v>High Risk</v>
      </c>
      <c r="X501" t="str">
        <f>IF(Table1[[#This Row],[Performance
Rating]]&gt;=4, "High Performer", "Low Performer")</f>
        <v>Low Performer</v>
      </c>
    </row>
    <row r="502" spans="2:24" x14ac:dyDescent="0.3">
      <c r="B502" t="s">
        <v>19</v>
      </c>
      <c r="C502" t="s">
        <v>20</v>
      </c>
      <c r="D502">
        <v>1</v>
      </c>
      <c r="E502" t="s">
        <v>28</v>
      </c>
      <c r="F502">
        <v>2</v>
      </c>
      <c r="G502" t="s">
        <v>32</v>
      </c>
      <c r="H502">
        <v>4</v>
      </c>
      <c r="I502">
        <v>5079</v>
      </c>
      <c r="J502">
        <v>13</v>
      </c>
      <c r="K502">
        <v>3</v>
      </c>
      <c r="L502">
        <v>2</v>
      </c>
      <c r="M502">
        <v>12</v>
      </c>
      <c r="N502">
        <v>3</v>
      </c>
      <c r="O502">
        <v>3</v>
      </c>
      <c r="P502">
        <v>7</v>
      </c>
      <c r="Q502">
        <v>7</v>
      </c>
      <c r="R502">
        <v>0</v>
      </c>
      <c r="S502" t="s">
        <v>34</v>
      </c>
      <c r="T502" t="s">
        <v>37</v>
      </c>
      <c r="U502" t="str">
        <f>IF(Table1[[#This Row],[YearsSince
LastPromotion]]&gt; 4, "Delayed", "Normal")</f>
        <v>Normal</v>
      </c>
      <c r="V502" t="str">
        <f>IF(Table1[[#This Row],[Years
InCurrentRole]]&gt;4, "Role Stagnent", "Normal")</f>
        <v>Role Stagnent</v>
      </c>
      <c r="W502" t="str">
        <f>IF(AND(Table1[[#This Row],[Years
InCurrentRole]]&gt; 4, Table1[[#This Row],[Performance
Rating]]&gt;=3), "High Risk", "Normal")</f>
        <v>High Risk</v>
      </c>
      <c r="X502" t="str">
        <f>IF(Table1[[#This Row],[Performance
Rating]]&gt;=4, "High Performer", "Low Performer")</f>
        <v>Low Performer</v>
      </c>
    </row>
    <row r="503" spans="2:24" x14ac:dyDescent="0.3">
      <c r="B503" t="s">
        <v>19</v>
      </c>
      <c r="C503" t="s">
        <v>25</v>
      </c>
      <c r="D503">
        <v>1</v>
      </c>
      <c r="E503" t="s">
        <v>28</v>
      </c>
      <c r="F503">
        <v>2</v>
      </c>
      <c r="G503" t="s">
        <v>33</v>
      </c>
      <c r="H503">
        <v>3</v>
      </c>
      <c r="I503">
        <v>6883</v>
      </c>
      <c r="J503">
        <v>16</v>
      </c>
      <c r="K503">
        <v>3</v>
      </c>
      <c r="L503">
        <v>1</v>
      </c>
      <c r="M503">
        <v>17</v>
      </c>
      <c r="N503">
        <v>3</v>
      </c>
      <c r="O503">
        <v>3</v>
      </c>
      <c r="P503">
        <v>7</v>
      </c>
      <c r="Q503">
        <v>7</v>
      </c>
      <c r="R503">
        <v>0</v>
      </c>
      <c r="S503" t="s">
        <v>34</v>
      </c>
      <c r="T503" t="s">
        <v>37</v>
      </c>
      <c r="U503" t="str">
        <f>IF(Table1[[#This Row],[YearsSince
LastPromotion]]&gt; 4, "Delayed", "Normal")</f>
        <v>Normal</v>
      </c>
      <c r="V503" t="str">
        <f>IF(Table1[[#This Row],[Years
InCurrentRole]]&gt;4, "Role Stagnent", "Normal")</f>
        <v>Role Stagnent</v>
      </c>
      <c r="W503" t="str">
        <f>IF(AND(Table1[[#This Row],[Years
InCurrentRole]]&gt; 4, Table1[[#This Row],[Performance
Rating]]&gt;=3), "High Risk", "Normal")</f>
        <v>High Risk</v>
      </c>
      <c r="X503" t="str">
        <f>IF(Table1[[#This Row],[Performance
Rating]]&gt;=4, "High Performer", "Low Performer")</f>
        <v>Low Performer</v>
      </c>
    </row>
    <row r="504" spans="2:24" x14ac:dyDescent="0.3">
      <c r="B504" t="s">
        <v>19</v>
      </c>
      <c r="C504" t="s">
        <v>20</v>
      </c>
      <c r="D504">
        <v>1</v>
      </c>
      <c r="E504" t="s">
        <v>28</v>
      </c>
      <c r="F504">
        <v>2</v>
      </c>
      <c r="G504" t="s">
        <v>32</v>
      </c>
      <c r="H504">
        <v>4</v>
      </c>
      <c r="I504">
        <v>4105</v>
      </c>
      <c r="J504">
        <v>14</v>
      </c>
      <c r="K504">
        <v>3</v>
      </c>
      <c r="L504">
        <v>0</v>
      </c>
      <c r="M504">
        <v>7</v>
      </c>
      <c r="N504">
        <v>5</v>
      </c>
      <c r="O504">
        <v>3</v>
      </c>
      <c r="P504">
        <v>7</v>
      </c>
      <c r="Q504">
        <v>7</v>
      </c>
      <c r="R504">
        <v>0</v>
      </c>
      <c r="S504" t="s">
        <v>34</v>
      </c>
      <c r="T504" t="s">
        <v>37</v>
      </c>
      <c r="U504" t="str">
        <f>IF(Table1[[#This Row],[YearsSince
LastPromotion]]&gt; 4, "Delayed", "Normal")</f>
        <v>Normal</v>
      </c>
      <c r="V504" t="str">
        <f>IF(Table1[[#This Row],[Years
InCurrentRole]]&gt;4, "Role Stagnent", "Normal")</f>
        <v>Role Stagnent</v>
      </c>
      <c r="W504" t="str">
        <f>IF(AND(Table1[[#This Row],[Years
InCurrentRole]]&gt; 4, Table1[[#This Row],[Performance
Rating]]&gt;=3), "High Risk", "Normal")</f>
        <v>High Risk</v>
      </c>
      <c r="X504" t="str">
        <f>IF(Table1[[#This Row],[Performance
Rating]]&gt;=4, "High Performer", "Low Performer")</f>
        <v>Low Performer</v>
      </c>
    </row>
    <row r="505" spans="2:24" x14ac:dyDescent="0.3">
      <c r="B505" t="s">
        <v>19</v>
      </c>
      <c r="C505" t="s">
        <v>25</v>
      </c>
      <c r="D505">
        <v>1</v>
      </c>
      <c r="E505" t="s">
        <v>28</v>
      </c>
      <c r="F505">
        <v>2</v>
      </c>
      <c r="G505" t="s">
        <v>33</v>
      </c>
      <c r="H505">
        <v>3</v>
      </c>
      <c r="I505">
        <v>5206</v>
      </c>
      <c r="J505">
        <v>17</v>
      </c>
      <c r="K505">
        <v>3</v>
      </c>
      <c r="L505">
        <v>2</v>
      </c>
      <c r="M505">
        <v>7</v>
      </c>
      <c r="N505">
        <v>6</v>
      </c>
      <c r="O505">
        <v>3</v>
      </c>
      <c r="P505">
        <v>7</v>
      </c>
      <c r="Q505">
        <v>7</v>
      </c>
      <c r="R505">
        <v>0</v>
      </c>
      <c r="S505" t="s">
        <v>34</v>
      </c>
      <c r="T505" t="s">
        <v>37</v>
      </c>
      <c r="U505" t="str">
        <f>IF(Table1[[#This Row],[YearsSince
LastPromotion]]&gt; 4, "Delayed", "Normal")</f>
        <v>Normal</v>
      </c>
      <c r="V505" t="str">
        <f>IF(Table1[[#This Row],[Years
InCurrentRole]]&gt;4, "Role Stagnent", "Normal")</f>
        <v>Role Stagnent</v>
      </c>
      <c r="W505" t="str">
        <f>IF(AND(Table1[[#This Row],[Years
InCurrentRole]]&gt; 4, Table1[[#This Row],[Performance
Rating]]&gt;=3), "High Risk", "Normal")</f>
        <v>High Risk</v>
      </c>
      <c r="X505" t="str">
        <f>IF(Table1[[#This Row],[Performance
Rating]]&gt;=4, "High Performer", "Low Performer")</f>
        <v>Low Performer</v>
      </c>
    </row>
    <row r="506" spans="2:24" x14ac:dyDescent="0.3">
      <c r="B506" t="s">
        <v>19</v>
      </c>
      <c r="C506" t="s">
        <v>20</v>
      </c>
      <c r="D506">
        <v>1</v>
      </c>
      <c r="E506" t="s">
        <v>28</v>
      </c>
      <c r="F506">
        <v>2</v>
      </c>
      <c r="G506" t="s">
        <v>32</v>
      </c>
      <c r="H506">
        <v>2</v>
      </c>
      <c r="I506">
        <v>6146</v>
      </c>
      <c r="J506">
        <v>13</v>
      </c>
      <c r="K506">
        <v>3</v>
      </c>
      <c r="L506">
        <v>1</v>
      </c>
      <c r="M506">
        <v>8</v>
      </c>
      <c r="N506">
        <v>2</v>
      </c>
      <c r="O506">
        <v>4</v>
      </c>
      <c r="P506">
        <v>7</v>
      </c>
      <c r="Q506">
        <v>7</v>
      </c>
      <c r="R506">
        <v>0</v>
      </c>
      <c r="S506" t="s">
        <v>34</v>
      </c>
      <c r="T506" t="s">
        <v>37</v>
      </c>
      <c r="U506" t="str">
        <f>IF(Table1[[#This Row],[YearsSince
LastPromotion]]&gt; 4, "Delayed", "Normal")</f>
        <v>Normal</v>
      </c>
      <c r="V506" t="str">
        <f>IF(Table1[[#This Row],[Years
InCurrentRole]]&gt;4, "Role Stagnent", "Normal")</f>
        <v>Role Stagnent</v>
      </c>
      <c r="W506" t="str">
        <f>IF(AND(Table1[[#This Row],[Years
InCurrentRole]]&gt; 4, Table1[[#This Row],[Performance
Rating]]&gt;=3), "High Risk", "Normal")</f>
        <v>High Risk</v>
      </c>
      <c r="X506" t="str">
        <f>IF(Table1[[#This Row],[Performance
Rating]]&gt;=4, "High Performer", "Low Performer")</f>
        <v>Low Performer</v>
      </c>
    </row>
    <row r="507" spans="2:24" x14ac:dyDescent="0.3">
      <c r="B507" t="s">
        <v>19</v>
      </c>
      <c r="C507" t="s">
        <v>25</v>
      </c>
      <c r="D507">
        <v>1</v>
      </c>
      <c r="E507" t="s">
        <v>28</v>
      </c>
      <c r="F507">
        <v>4</v>
      </c>
      <c r="G507" t="s">
        <v>35</v>
      </c>
      <c r="H507">
        <v>4</v>
      </c>
      <c r="I507">
        <v>14732</v>
      </c>
      <c r="J507">
        <v>13</v>
      </c>
      <c r="K507">
        <v>3</v>
      </c>
      <c r="L507">
        <v>2</v>
      </c>
      <c r="M507">
        <v>31</v>
      </c>
      <c r="N507">
        <v>4</v>
      </c>
      <c r="O507">
        <v>4</v>
      </c>
      <c r="P507">
        <v>7</v>
      </c>
      <c r="Q507">
        <v>7</v>
      </c>
      <c r="R507">
        <v>0</v>
      </c>
      <c r="S507" t="s">
        <v>34</v>
      </c>
      <c r="T507" t="s">
        <v>37</v>
      </c>
      <c r="U507" t="str">
        <f>IF(Table1[[#This Row],[YearsSince
LastPromotion]]&gt; 4, "Delayed", "Normal")</f>
        <v>Normal</v>
      </c>
      <c r="V507" t="str">
        <f>IF(Table1[[#This Row],[Years
InCurrentRole]]&gt;4, "Role Stagnent", "Normal")</f>
        <v>Role Stagnent</v>
      </c>
      <c r="W507" t="str">
        <f>IF(AND(Table1[[#This Row],[Years
InCurrentRole]]&gt; 4, Table1[[#This Row],[Performance
Rating]]&gt;=3), "High Risk", "Normal")</f>
        <v>High Risk</v>
      </c>
      <c r="X507" t="str">
        <f>IF(Table1[[#This Row],[Performance
Rating]]&gt;=4, "High Performer", "Low Performer")</f>
        <v>Low Performer</v>
      </c>
    </row>
    <row r="508" spans="2:24" x14ac:dyDescent="0.3">
      <c r="B508" t="s">
        <v>19</v>
      </c>
      <c r="C508" t="s">
        <v>20</v>
      </c>
      <c r="D508">
        <v>1</v>
      </c>
      <c r="E508" t="s">
        <v>21</v>
      </c>
      <c r="F508">
        <v>2</v>
      </c>
      <c r="G508" t="s">
        <v>32</v>
      </c>
      <c r="H508">
        <v>3</v>
      </c>
      <c r="I508">
        <v>6500</v>
      </c>
      <c r="J508">
        <v>14</v>
      </c>
      <c r="K508">
        <v>3</v>
      </c>
      <c r="L508">
        <v>0</v>
      </c>
      <c r="M508">
        <v>9</v>
      </c>
      <c r="N508">
        <v>5</v>
      </c>
      <c r="O508">
        <v>2</v>
      </c>
      <c r="P508">
        <v>8</v>
      </c>
      <c r="Q508">
        <v>7</v>
      </c>
      <c r="R508">
        <v>0</v>
      </c>
      <c r="S508" t="s">
        <v>23</v>
      </c>
      <c r="T508" t="s">
        <v>37</v>
      </c>
      <c r="U508" t="str">
        <f>IF(Table1[[#This Row],[YearsSince
LastPromotion]]&gt; 4, "Delayed", "Normal")</f>
        <v>Normal</v>
      </c>
      <c r="V508" t="str">
        <f>IF(Table1[[#This Row],[Years
InCurrentRole]]&gt;4, "Role Stagnent", "Normal")</f>
        <v>Role Stagnent</v>
      </c>
      <c r="W508" t="str">
        <f>IF(AND(Table1[[#This Row],[Years
InCurrentRole]]&gt; 4, Table1[[#This Row],[Performance
Rating]]&gt;=3), "High Risk", "Normal")</f>
        <v>High Risk</v>
      </c>
      <c r="X508" t="str">
        <f>IF(Table1[[#This Row],[Performance
Rating]]&gt;=4, "High Performer", "Low Performer")</f>
        <v>Low Performer</v>
      </c>
    </row>
    <row r="509" spans="2:24" x14ac:dyDescent="0.3">
      <c r="B509" t="s">
        <v>19</v>
      </c>
      <c r="C509" t="s">
        <v>25</v>
      </c>
      <c r="D509">
        <v>1</v>
      </c>
      <c r="E509" t="s">
        <v>21</v>
      </c>
      <c r="F509">
        <v>3</v>
      </c>
      <c r="G509" t="s">
        <v>33</v>
      </c>
      <c r="H509">
        <v>1</v>
      </c>
      <c r="I509">
        <v>10820</v>
      </c>
      <c r="J509">
        <v>11</v>
      </c>
      <c r="K509">
        <v>3</v>
      </c>
      <c r="L509">
        <v>1</v>
      </c>
      <c r="M509">
        <v>18</v>
      </c>
      <c r="N509">
        <v>1</v>
      </c>
      <c r="O509">
        <v>3</v>
      </c>
      <c r="P509">
        <v>8</v>
      </c>
      <c r="Q509">
        <v>7</v>
      </c>
      <c r="R509">
        <v>0</v>
      </c>
      <c r="S509" t="s">
        <v>34</v>
      </c>
      <c r="T509" t="s">
        <v>37</v>
      </c>
      <c r="U509" t="str">
        <f>IF(Table1[[#This Row],[YearsSince
LastPromotion]]&gt; 4, "Delayed", "Normal")</f>
        <v>Normal</v>
      </c>
      <c r="V509" t="str">
        <f>IF(Table1[[#This Row],[Years
InCurrentRole]]&gt;4, "Role Stagnent", "Normal")</f>
        <v>Role Stagnent</v>
      </c>
      <c r="W509" t="str">
        <f>IF(AND(Table1[[#This Row],[Years
InCurrentRole]]&gt; 4, Table1[[#This Row],[Performance
Rating]]&gt;=3), "High Risk", "Normal")</f>
        <v>High Risk</v>
      </c>
      <c r="X509" t="str">
        <f>IF(Table1[[#This Row],[Performance
Rating]]&gt;=4, "High Performer", "Low Performer")</f>
        <v>Low Performer</v>
      </c>
    </row>
    <row r="510" spans="2:24" x14ac:dyDescent="0.3">
      <c r="B510" t="s">
        <v>19</v>
      </c>
      <c r="C510" t="s">
        <v>25</v>
      </c>
      <c r="D510">
        <v>1</v>
      </c>
      <c r="E510" t="s">
        <v>28</v>
      </c>
      <c r="F510">
        <v>1</v>
      </c>
      <c r="G510" t="s">
        <v>29</v>
      </c>
      <c r="H510">
        <v>4</v>
      </c>
      <c r="I510">
        <v>4420</v>
      </c>
      <c r="J510">
        <v>22</v>
      </c>
      <c r="K510">
        <v>4</v>
      </c>
      <c r="L510">
        <v>1</v>
      </c>
      <c r="M510">
        <v>8</v>
      </c>
      <c r="N510">
        <v>2</v>
      </c>
      <c r="O510">
        <v>3</v>
      </c>
      <c r="P510">
        <v>8</v>
      </c>
      <c r="Q510">
        <v>7</v>
      </c>
      <c r="R510">
        <v>0</v>
      </c>
      <c r="S510" t="s">
        <v>34</v>
      </c>
      <c r="T510" t="s">
        <v>37</v>
      </c>
      <c r="U510" t="str">
        <f>IF(Table1[[#This Row],[YearsSince
LastPromotion]]&gt; 4, "Delayed", "Normal")</f>
        <v>Normal</v>
      </c>
      <c r="V510" t="str">
        <f>IF(Table1[[#This Row],[Years
InCurrentRole]]&gt;4, "Role Stagnent", "Normal")</f>
        <v>Role Stagnent</v>
      </c>
      <c r="W510" t="str">
        <f>IF(AND(Table1[[#This Row],[Years
InCurrentRole]]&gt; 4, Table1[[#This Row],[Performance
Rating]]&gt;=3), "High Risk", "Normal")</f>
        <v>High Risk</v>
      </c>
      <c r="X510" t="str">
        <f>IF(Table1[[#This Row],[Performance
Rating]]&gt;=4, "High Performer", "Low Performer")</f>
        <v>High Performer</v>
      </c>
    </row>
    <row r="511" spans="2:24" x14ac:dyDescent="0.3">
      <c r="B511" t="s">
        <v>19</v>
      </c>
      <c r="C511" t="s">
        <v>25</v>
      </c>
      <c r="D511">
        <v>1</v>
      </c>
      <c r="E511" t="s">
        <v>28</v>
      </c>
      <c r="F511">
        <v>3</v>
      </c>
      <c r="G511" t="s">
        <v>31</v>
      </c>
      <c r="H511">
        <v>3</v>
      </c>
      <c r="I511">
        <v>7632</v>
      </c>
      <c r="J511">
        <v>12</v>
      </c>
      <c r="K511">
        <v>3</v>
      </c>
      <c r="L511">
        <v>0</v>
      </c>
      <c r="M511">
        <v>10</v>
      </c>
      <c r="N511">
        <v>2</v>
      </c>
      <c r="O511">
        <v>3</v>
      </c>
      <c r="P511">
        <v>8</v>
      </c>
      <c r="Q511">
        <v>7</v>
      </c>
      <c r="R511">
        <v>0</v>
      </c>
      <c r="S511" t="s">
        <v>34</v>
      </c>
      <c r="T511" t="s">
        <v>37</v>
      </c>
      <c r="U511" t="str">
        <f>IF(Table1[[#This Row],[YearsSince
LastPromotion]]&gt; 4, "Delayed", "Normal")</f>
        <v>Normal</v>
      </c>
      <c r="V511" t="str">
        <f>IF(Table1[[#This Row],[Years
InCurrentRole]]&gt;4, "Role Stagnent", "Normal")</f>
        <v>Role Stagnent</v>
      </c>
      <c r="W511" t="str">
        <f>IF(AND(Table1[[#This Row],[Years
InCurrentRole]]&gt; 4, Table1[[#This Row],[Performance
Rating]]&gt;=3), "High Risk", "Normal")</f>
        <v>High Risk</v>
      </c>
      <c r="X511" t="str">
        <f>IF(Table1[[#This Row],[Performance
Rating]]&gt;=4, "High Performer", "Low Performer")</f>
        <v>Low Performer</v>
      </c>
    </row>
    <row r="512" spans="2:24" x14ac:dyDescent="0.3">
      <c r="B512" t="s">
        <v>19</v>
      </c>
      <c r="C512" t="s">
        <v>25</v>
      </c>
      <c r="D512">
        <v>1</v>
      </c>
      <c r="E512" t="s">
        <v>21</v>
      </c>
      <c r="F512">
        <v>2</v>
      </c>
      <c r="G512" t="s">
        <v>26</v>
      </c>
      <c r="H512">
        <v>3</v>
      </c>
      <c r="I512">
        <v>4998</v>
      </c>
      <c r="J512">
        <v>14</v>
      </c>
      <c r="K512">
        <v>3</v>
      </c>
      <c r="L512">
        <v>0</v>
      </c>
      <c r="M512">
        <v>10</v>
      </c>
      <c r="N512">
        <v>2</v>
      </c>
      <c r="O512">
        <v>3</v>
      </c>
      <c r="P512">
        <v>8</v>
      </c>
      <c r="Q512">
        <v>7</v>
      </c>
      <c r="R512">
        <v>0</v>
      </c>
      <c r="S512" t="s">
        <v>34</v>
      </c>
      <c r="T512" t="s">
        <v>37</v>
      </c>
      <c r="U512" t="str">
        <f>IF(Table1[[#This Row],[YearsSince
LastPromotion]]&gt; 4, "Delayed", "Normal")</f>
        <v>Normal</v>
      </c>
      <c r="V512" t="str">
        <f>IF(Table1[[#This Row],[Years
InCurrentRole]]&gt;4, "Role Stagnent", "Normal")</f>
        <v>Role Stagnent</v>
      </c>
      <c r="W512" t="str">
        <f>IF(AND(Table1[[#This Row],[Years
InCurrentRole]]&gt; 4, Table1[[#This Row],[Performance
Rating]]&gt;=3), "High Risk", "Normal")</f>
        <v>High Risk</v>
      </c>
      <c r="X512" t="str">
        <f>IF(Table1[[#This Row],[Performance
Rating]]&gt;=4, "High Performer", "Low Performer")</f>
        <v>Low Performer</v>
      </c>
    </row>
    <row r="513" spans="2:24" x14ac:dyDescent="0.3">
      <c r="B513" t="s">
        <v>19</v>
      </c>
      <c r="C513" t="s">
        <v>25</v>
      </c>
      <c r="D513">
        <v>1</v>
      </c>
      <c r="E513" t="s">
        <v>21</v>
      </c>
      <c r="F513">
        <v>3</v>
      </c>
      <c r="G513" t="s">
        <v>35</v>
      </c>
      <c r="H513">
        <v>1</v>
      </c>
      <c r="I513">
        <v>11713</v>
      </c>
      <c r="J513">
        <v>14</v>
      </c>
      <c r="K513">
        <v>3</v>
      </c>
      <c r="L513">
        <v>1</v>
      </c>
      <c r="M513">
        <v>10</v>
      </c>
      <c r="N513">
        <v>2</v>
      </c>
      <c r="O513">
        <v>3</v>
      </c>
      <c r="P513">
        <v>8</v>
      </c>
      <c r="Q513">
        <v>7</v>
      </c>
      <c r="R513">
        <v>0</v>
      </c>
      <c r="S513" t="s">
        <v>34</v>
      </c>
      <c r="T513" t="s">
        <v>37</v>
      </c>
      <c r="U513" t="str">
        <f>IF(Table1[[#This Row],[YearsSince
LastPromotion]]&gt; 4, "Delayed", "Normal")</f>
        <v>Normal</v>
      </c>
      <c r="V513" t="str">
        <f>IF(Table1[[#This Row],[Years
InCurrentRole]]&gt;4, "Role Stagnent", "Normal")</f>
        <v>Role Stagnent</v>
      </c>
      <c r="W513" t="str">
        <f>IF(AND(Table1[[#This Row],[Years
InCurrentRole]]&gt; 4, Table1[[#This Row],[Performance
Rating]]&gt;=3), "High Risk", "Normal")</f>
        <v>High Risk</v>
      </c>
      <c r="X513" t="str">
        <f>IF(Table1[[#This Row],[Performance
Rating]]&gt;=4, "High Performer", "Low Performer")</f>
        <v>Low Performer</v>
      </c>
    </row>
    <row r="514" spans="2:24" x14ac:dyDescent="0.3">
      <c r="B514" t="s">
        <v>27</v>
      </c>
      <c r="C514" t="s">
        <v>20</v>
      </c>
      <c r="D514">
        <v>1</v>
      </c>
      <c r="E514" t="s">
        <v>21</v>
      </c>
      <c r="F514">
        <v>3</v>
      </c>
      <c r="G514" t="s">
        <v>32</v>
      </c>
      <c r="H514">
        <v>2</v>
      </c>
      <c r="I514">
        <v>7314</v>
      </c>
      <c r="J514">
        <v>21</v>
      </c>
      <c r="K514">
        <v>4</v>
      </c>
      <c r="L514">
        <v>3</v>
      </c>
      <c r="M514">
        <v>14</v>
      </c>
      <c r="N514">
        <v>2</v>
      </c>
      <c r="O514">
        <v>3</v>
      </c>
      <c r="P514">
        <v>8</v>
      </c>
      <c r="Q514">
        <v>7</v>
      </c>
      <c r="R514">
        <v>0</v>
      </c>
      <c r="S514" t="s">
        <v>34</v>
      </c>
      <c r="T514" t="s">
        <v>37</v>
      </c>
      <c r="U514" t="str">
        <f>IF(Table1[[#This Row],[YearsSince
LastPromotion]]&gt; 4, "Delayed", "Normal")</f>
        <v>Normal</v>
      </c>
      <c r="V514" t="str">
        <f>IF(Table1[[#This Row],[Years
InCurrentRole]]&gt;4, "Role Stagnent", "Normal")</f>
        <v>Role Stagnent</v>
      </c>
      <c r="W514" t="str">
        <f>IF(AND(Table1[[#This Row],[Years
InCurrentRole]]&gt; 4, Table1[[#This Row],[Performance
Rating]]&gt;=3), "High Risk", "Normal")</f>
        <v>High Risk</v>
      </c>
      <c r="X514" t="str">
        <f>IF(Table1[[#This Row],[Performance
Rating]]&gt;=4, "High Performer", "Low Performer")</f>
        <v>High Performer</v>
      </c>
    </row>
    <row r="515" spans="2:24" x14ac:dyDescent="0.3">
      <c r="B515" t="s">
        <v>19</v>
      </c>
      <c r="C515" t="s">
        <v>25</v>
      </c>
      <c r="D515">
        <v>1</v>
      </c>
      <c r="E515" t="s">
        <v>28</v>
      </c>
      <c r="F515">
        <v>4</v>
      </c>
      <c r="G515" t="s">
        <v>22</v>
      </c>
      <c r="H515">
        <v>3</v>
      </c>
      <c r="I515">
        <v>15379</v>
      </c>
      <c r="J515">
        <v>14</v>
      </c>
      <c r="K515">
        <v>3</v>
      </c>
      <c r="L515">
        <v>0</v>
      </c>
      <c r="M515">
        <v>23</v>
      </c>
      <c r="N515">
        <v>2</v>
      </c>
      <c r="O515">
        <v>3</v>
      </c>
      <c r="P515">
        <v>8</v>
      </c>
      <c r="Q515">
        <v>7</v>
      </c>
      <c r="R515">
        <v>0</v>
      </c>
      <c r="S515" t="s">
        <v>34</v>
      </c>
      <c r="T515" t="s">
        <v>37</v>
      </c>
      <c r="U515" t="str">
        <f>IF(Table1[[#This Row],[YearsSince
LastPromotion]]&gt; 4, "Delayed", "Normal")</f>
        <v>Normal</v>
      </c>
      <c r="V515" t="str">
        <f>IF(Table1[[#This Row],[Years
InCurrentRole]]&gt;4, "Role Stagnent", "Normal")</f>
        <v>Role Stagnent</v>
      </c>
      <c r="W515" t="str">
        <f>IF(AND(Table1[[#This Row],[Years
InCurrentRole]]&gt; 4, Table1[[#This Row],[Performance
Rating]]&gt;=3), "High Risk", "Normal")</f>
        <v>High Risk</v>
      </c>
      <c r="X515" t="str">
        <f>IF(Table1[[#This Row],[Performance
Rating]]&gt;=4, "High Performer", "Low Performer")</f>
        <v>Low Performer</v>
      </c>
    </row>
    <row r="516" spans="2:24" x14ac:dyDescent="0.3">
      <c r="B516" t="s">
        <v>19</v>
      </c>
      <c r="C516" t="s">
        <v>25</v>
      </c>
      <c r="D516">
        <v>1</v>
      </c>
      <c r="E516" t="s">
        <v>28</v>
      </c>
      <c r="F516">
        <v>5</v>
      </c>
      <c r="G516" t="s">
        <v>35</v>
      </c>
      <c r="H516">
        <v>4</v>
      </c>
      <c r="I516">
        <v>19740</v>
      </c>
      <c r="J516">
        <v>14</v>
      </c>
      <c r="K516">
        <v>3</v>
      </c>
      <c r="L516">
        <v>1</v>
      </c>
      <c r="M516">
        <v>25</v>
      </c>
      <c r="N516">
        <v>2</v>
      </c>
      <c r="O516">
        <v>3</v>
      </c>
      <c r="P516">
        <v>8</v>
      </c>
      <c r="Q516">
        <v>7</v>
      </c>
      <c r="R516">
        <v>0</v>
      </c>
      <c r="S516" t="s">
        <v>34</v>
      </c>
      <c r="T516" t="s">
        <v>37</v>
      </c>
      <c r="U516" t="str">
        <f>IF(Table1[[#This Row],[YearsSince
LastPromotion]]&gt; 4, "Delayed", "Normal")</f>
        <v>Normal</v>
      </c>
      <c r="V516" t="str">
        <f>IF(Table1[[#This Row],[Years
InCurrentRole]]&gt;4, "Role Stagnent", "Normal")</f>
        <v>Role Stagnent</v>
      </c>
      <c r="W516" t="str">
        <f>IF(AND(Table1[[#This Row],[Years
InCurrentRole]]&gt; 4, Table1[[#This Row],[Performance
Rating]]&gt;=3), "High Risk", "Normal")</f>
        <v>High Risk</v>
      </c>
      <c r="X516" t="str">
        <f>IF(Table1[[#This Row],[Performance
Rating]]&gt;=4, "High Performer", "Low Performer")</f>
        <v>Low Performer</v>
      </c>
    </row>
    <row r="517" spans="2:24" x14ac:dyDescent="0.3">
      <c r="B517" t="s">
        <v>19</v>
      </c>
      <c r="C517" t="s">
        <v>20</v>
      </c>
      <c r="D517">
        <v>1</v>
      </c>
      <c r="E517" t="s">
        <v>21</v>
      </c>
      <c r="F517">
        <v>2</v>
      </c>
      <c r="G517" t="s">
        <v>32</v>
      </c>
      <c r="H517">
        <v>2</v>
      </c>
      <c r="I517">
        <v>6214</v>
      </c>
      <c r="J517">
        <v>18</v>
      </c>
      <c r="K517">
        <v>3</v>
      </c>
      <c r="L517">
        <v>1</v>
      </c>
      <c r="M517">
        <v>8</v>
      </c>
      <c r="N517">
        <v>3</v>
      </c>
      <c r="O517">
        <v>3</v>
      </c>
      <c r="P517">
        <v>8</v>
      </c>
      <c r="Q517">
        <v>7</v>
      </c>
      <c r="R517">
        <v>0</v>
      </c>
      <c r="S517" t="s">
        <v>34</v>
      </c>
      <c r="T517" t="s">
        <v>37</v>
      </c>
      <c r="U517" t="str">
        <f>IF(Table1[[#This Row],[YearsSince
LastPromotion]]&gt; 4, "Delayed", "Normal")</f>
        <v>Normal</v>
      </c>
      <c r="V517" t="str">
        <f>IF(Table1[[#This Row],[Years
InCurrentRole]]&gt;4, "Role Stagnent", "Normal")</f>
        <v>Role Stagnent</v>
      </c>
      <c r="W517" t="str">
        <f>IF(AND(Table1[[#This Row],[Years
InCurrentRole]]&gt; 4, Table1[[#This Row],[Performance
Rating]]&gt;=3), "High Risk", "Normal")</f>
        <v>High Risk</v>
      </c>
      <c r="X517" t="str">
        <f>IF(Table1[[#This Row],[Performance
Rating]]&gt;=4, "High Performer", "Low Performer")</f>
        <v>Low Performer</v>
      </c>
    </row>
    <row r="518" spans="2:24" x14ac:dyDescent="0.3">
      <c r="B518" t="s">
        <v>19</v>
      </c>
      <c r="C518" t="s">
        <v>20</v>
      </c>
      <c r="D518">
        <v>1</v>
      </c>
      <c r="E518" t="s">
        <v>28</v>
      </c>
      <c r="F518">
        <v>3</v>
      </c>
      <c r="G518" t="s">
        <v>32</v>
      </c>
      <c r="H518">
        <v>3</v>
      </c>
      <c r="I518">
        <v>7880</v>
      </c>
      <c r="J518">
        <v>18</v>
      </c>
      <c r="K518">
        <v>3</v>
      </c>
      <c r="L518">
        <v>0</v>
      </c>
      <c r="M518">
        <v>9</v>
      </c>
      <c r="N518">
        <v>3</v>
      </c>
      <c r="O518">
        <v>3</v>
      </c>
      <c r="P518">
        <v>8</v>
      </c>
      <c r="Q518">
        <v>7</v>
      </c>
      <c r="R518">
        <v>0</v>
      </c>
      <c r="S518" t="s">
        <v>34</v>
      </c>
      <c r="T518" t="s">
        <v>37</v>
      </c>
      <c r="U518" t="str">
        <f>IF(Table1[[#This Row],[YearsSince
LastPromotion]]&gt; 4, "Delayed", "Normal")</f>
        <v>Normal</v>
      </c>
      <c r="V518" t="str">
        <f>IF(Table1[[#This Row],[Years
InCurrentRole]]&gt;4, "Role Stagnent", "Normal")</f>
        <v>Role Stagnent</v>
      </c>
      <c r="W518" t="str">
        <f>IF(AND(Table1[[#This Row],[Years
InCurrentRole]]&gt; 4, Table1[[#This Row],[Performance
Rating]]&gt;=3), "High Risk", "Normal")</f>
        <v>High Risk</v>
      </c>
      <c r="X518" t="str">
        <f>IF(Table1[[#This Row],[Performance
Rating]]&gt;=4, "High Performer", "Low Performer")</f>
        <v>Low Performer</v>
      </c>
    </row>
    <row r="519" spans="2:24" x14ac:dyDescent="0.3">
      <c r="B519" t="s">
        <v>19</v>
      </c>
      <c r="C519" t="s">
        <v>25</v>
      </c>
      <c r="D519">
        <v>1</v>
      </c>
      <c r="E519" t="s">
        <v>21</v>
      </c>
      <c r="F519">
        <v>2</v>
      </c>
      <c r="G519" t="s">
        <v>31</v>
      </c>
      <c r="H519">
        <v>3</v>
      </c>
      <c r="I519">
        <v>6811</v>
      </c>
      <c r="J519">
        <v>17</v>
      </c>
      <c r="K519">
        <v>3</v>
      </c>
      <c r="L519">
        <v>0</v>
      </c>
      <c r="M519">
        <v>10</v>
      </c>
      <c r="N519">
        <v>3</v>
      </c>
      <c r="O519">
        <v>3</v>
      </c>
      <c r="P519">
        <v>8</v>
      </c>
      <c r="Q519">
        <v>7</v>
      </c>
      <c r="R519">
        <v>0</v>
      </c>
      <c r="S519" t="s">
        <v>34</v>
      </c>
      <c r="T519" t="s">
        <v>37</v>
      </c>
      <c r="U519" t="str">
        <f>IF(Table1[[#This Row],[YearsSince
LastPromotion]]&gt; 4, "Delayed", "Normal")</f>
        <v>Normal</v>
      </c>
      <c r="V519" t="str">
        <f>IF(Table1[[#This Row],[Years
InCurrentRole]]&gt;4, "Role Stagnent", "Normal")</f>
        <v>Role Stagnent</v>
      </c>
      <c r="W519" t="str">
        <f>IF(AND(Table1[[#This Row],[Years
InCurrentRole]]&gt; 4, Table1[[#This Row],[Performance
Rating]]&gt;=3), "High Risk", "Normal")</f>
        <v>High Risk</v>
      </c>
      <c r="X519" t="str">
        <f>IF(Table1[[#This Row],[Performance
Rating]]&gt;=4, "High Performer", "Low Performer")</f>
        <v>Low Performer</v>
      </c>
    </row>
    <row r="520" spans="2:24" x14ac:dyDescent="0.3">
      <c r="B520" t="s">
        <v>19</v>
      </c>
      <c r="C520" t="s">
        <v>25</v>
      </c>
      <c r="D520">
        <v>1</v>
      </c>
      <c r="E520" t="s">
        <v>28</v>
      </c>
      <c r="F520">
        <v>3</v>
      </c>
      <c r="G520" t="s">
        <v>33</v>
      </c>
      <c r="H520">
        <v>3</v>
      </c>
      <c r="I520">
        <v>10845</v>
      </c>
      <c r="J520">
        <v>13</v>
      </c>
      <c r="K520">
        <v>3</v>
      </c>
      <c r="L520">
        <v>1</v>
      </c>
      <c r="M520">
        <v>13</v>
      </c>
      <c r="N520">
        <v>3</v>
      </c>
      <c r="O520">
        <v>3</v>
      </c>
      <c r="P520">
        <v>8</v>
      </c>
      <c r="Q520">
        <v>7</v>
      </c>
      <c r="R520">
        <v>0</v>
      </c>
      <c r="S520" t="s">
        <v>34</v>
      </c>
      <c r="T520" t="s">
        <v>37</v>
      </c>
      <c r="U520" t="str">
        <f>IF(Table1[[#This Row],[YearsSince
LastPromotion]]&gt; 4, "Delayed", "Normal")</f>
        <v>Normal</v>
      </c>
      <c r="V520" t="str">
        <f>IF(Table1[[#This Row],[Years
InCurrentRole]]&gt;4, "Role Stagnent", "Normal")</f>
        <v>Role Stagnent</v>
      </c>
      <c r="W520" t="str">
        <f>IF(AND(Table1[[#This Row],[Years
InCurrentRole]]&gt; 4, Table1[[#This Row],[Performance
Rating]]&gt;=3), "High Risk", "Normal")</f>
        <v>High Risk</v>
      </c>
      <c r="X520" t="str">
        <f>IF(Table1[[#This Row],[Performance
Rating]]&gt;=4, "High Performer", "Low Performer")</f>
        <v>Low Performer</v>
      </c>
    </row>
    <row r="521" spans="2:24" x14ac:dyDescent="0.3">
      <c r="B521" t="s">
        <v>19</v>
      </c>
      <c r="C521" t="s">
        <v>25</v>
      </c>
      <c r="D521">
        <v>1</v>
      </c>
      <c r="E521" t="s">
        <v>28</v>
      </c>
      <c r="F521">
        <v>3</v>
      </c>
      <c r="G521" t="s">
        <v>31</v>
      </c>
      <c r="H521">
        <v>2</v>
      </c>
      <c r="I521">
        <v>10466</v>
      </c>
      <c r="J521">
        <v>14</v>
      </c>
      <c r="K521">
        <v>3</v>
      </c>
      <c r="L521">
        <v>2</v>
      </c>
      <c r="M521">
        <v>29</v>
      </c>
      <c r="N521">
        <v>3</v>
      </c>
      <c r="O521">
        <v>3</v>
      </c>
      <c r="P521">
        <v>8</v>
      </c>
      <c r="Q521">
        <v>7</v>
      </c>
      <c r="R521">
        <v>0</v>
      </c>
      <c r="S521" t="s">
        <v>34</v>
      </c>
      <c r="T521" t="s">
        <v>37</v>
      </c>
      <c r="U521" t="str">
        <f>IF(Table1[[#This Row],[YearsSince
LastPromotion]]&gt; 4, "Delayed", "Normal")</f>
        <v>Normal</v>
      </c>
      <c r="V521" t="str">
        <f>IF(Table1[[#This Row],[Years
InCurrentRole]]&gt;4, "Role Stagnent", "Normal")</f>
        <v>Role Stagnent</v>
      </c>
      <c r="W521" t="str">
        <f>IF(AND(Table1[[#This Row],[Years
InCurrentRole]]&gt; 4, Table1[[#This Row],[Performance
Rating]]&gt;=3), "High Risk", "Normal")</f>
        <v>High Risk</v>
      </c>
      <c r="X521" t="str">
        <f>IF(Table1[[#This Row],[Performance
Rating]]&gt;=4, "High Performer", "Low Performer")</f>
        <v>Low Performer</v>
      </c>
    </row>
    <row r="522" spans="2:24" x14ac:dyDescent="0.3">
      <c r="B522" t="s">
        <v>19</v>
      </c>
      <c r="C522" t="s">
        <v>20</v>
      </c>
      <c r="D522">
        <v>1</v>
      </c>
      <c r="E522" t="s">
        <v>28</v>
      </c>
      <c r="F522">
        <v>2</v>
      </c>
      <c r="G522" t="s">
        <v>32</v>
      </c>
      <c r="H522">
        <v>4</v>
      </c>
      <c r="I522">
        <v>4668</v>
      </c>
      <c r="J522">
        <v>17</v>
      </c>
      <c r="K522">
        <v>3</v>
      </c>
      <c r="L522">
        <v>3</v>
      </c>
      <c r="M522">
        <v>9</v>
      </c>
      <c r="N522">
        <v>2</v>
      </c>
      <c r="O522">
        <v>4</v>
      </c>
      <c r="P522">
        <v>8</v>
      </c>
      <c r="Q522">
        <v>7</v>
      </c>
      <c r="R522">
        <v>0</v>
      </c>
      <c r="S522" t="s">
        <v>34</v>
      </c>
      <c r="T522" t="s">
        <v>37</v>
      </c>
      <c r="U522" t="str">
        <f>IF(Table1[[#This Row],[YearsSince
LastPromotion]]&gt; 4, "Delayed", "Normal")</f>
        <v>Normal</v>
      </c>
      <c r="V522" t="str">
        <f>IF(Table1[[#This Row],[Years
InCurrentRole]]&gt;4, "Role Stagnent", "Normal")</f>
        <v>Role Stagnent</v>
      </c>
      <c r="W522" t="str">
        <f>IF(AND(Table1[[#This Row],[Years
InCurrentRole]]&gt; 4, Table1[[#This Row],[Performance
Rating]]&gt;=3), "High Risk", "Normal")</f>
        <v>High Risk</v>
      </c>
      <c r="X522" t="str">
        <f>IF(Table1[[#This Row],[Performance
Rating]]&gt;=4, "High Performer", "Low Performer")</f>
        <v>Low Performer</v>
      </c>
    </row>
    <row r="523" spans="2:24" x14ac:dyDescent="0.3">
      <c r="B523" t="s">
        <v>19</v>
      </c>
      <c r="C523" t="s">
        <v>25</v>
      </c>
      <c r="D523">
        <v>1</v>
      </c>
      <c r="E523" t="s">
        <v>28</v>
      </c>
      <c r="F523">
        <v>2</v>
      </c>
      <c r="G523" t="s">
        <v>29</v>
      </c>
      <c r="H523">
        <v>3</v>
      </c>
      <c r="I523">
        <v>3975</v>
      </c>
      <c r="J523">
        <v>11</v>
      </c>
      <c r="K523">
        <v>3</v>
      </c>
      <c r="L523">
        <v>2</v>
      </c>
      <c r="M523">
        <v>11</v>
      </c>
      <c r="N523">
        <v>2</v>
      </c>
      <c r="O523">
        <v>4</v>
      </c>
      <c r="P523">
        <v>8</v>
      </c>
      <c r="Q523">
        <v>7</v>
      </c>
      <c r="R523">
        <v>0</v>
      </c>
      <c r="S523" t="s">
        <v>34</v>
      </c>
      <c r="T523" t="s">
        <v>37</v>
      </c>
      <c r="U523" t="str">
        <f>IF(Table1[[#This Row],[YearsSince
LastPromotion]]&gt; 4, "Delayed", "Normal")</f>
        <v>Normal</v>
      </c>
      <c r="V523" t="str">
        <f>IF(Table1[[#This Row],[Years
InCurrentRole]]&gt;4, "Role Stagnent", "Normal")</f>
        <v>Role Stagnent</v>
      </c>
      <c r="W523" t="str">
        <f>IF(AND(Table1[[#This Row],[Years
InCurrentRole]]&gt; 4, Table1[[#This Row],[Performance
Rating]]&gt;=3), "High Risk", "Normal")</f>
        <v>High Risk</v>
      </c>
      <c r="X523" t="str">
        <f>IF(Table1[[#This Row],[Performance
Rating]]&gt;=4, "High Performer", "Low Performer")</f>
        <v>Low Performer</v>
      </c>
    </row>
    <row r="524" spans="2:24" x14ac:dyDescent="0.3">
      <c r="B524" t="s">
        <v>27</v>
      </c>
      <c r="C524" t="s">
        <v>25</v>
      </c>
      <c r="D524">
        <v>1</v>
      </c>
      <c r="E524" t="s">
        <v>28</v>
      </c>
      <c r="F524">
        <v>1</v>
      </c>
      <c r="G524" t="s">
        <v>26</v>
      </c>
      <c r="H524">
        <v>1</v>
      </c>
      <c r="I524">
        <v>2362</v>
      </c>
      <c r="J524">
        <v>13</v>
      </c>
      <c r="K524">
        <v>3</v>
      </c>
      <c r="L524">
        <v>0</v>
      </c>
      <c r="M524">
        <v>11</v>
      </c>
      <c r="N524">
        <v>2</v>
      </c>
      <c r="O524">
        <v>1</v>
      </c>
      <c r="P524">
        <v>9</v>
      </c>
      <c r="Q524">
        <v>7</v>
      </c>
      <c r="R524">
        <v>0</v>
      </c>
      <c r="S524" t="s">
        <v>23</v>
      </c>
      <c r="T524" t="s">
        <v>37</v>
      </c>
      <c r="U524" t="str">
        <f>IF(Table1[[#This Row],[YearsSince
LastPromotion]]&gt; 4, "Delayed", "Normal")</f>
        <v>Normal</v>
      </c>
      <c r="V524" t="str">
        <f>IF(Table1[[#This Row],[Years
InCurrentRole]]&gt;4, "Role Stagnent", "Normal")</f>
        <v>Role Stagnent</v>
      </c>
      <c r="W524" t="str">
        <f>IF(AND(Table1[[#This Row],[Years
InCurrentRole]]&gt; 4, Table1[[#This Row],[Performance
Rating]]&gt;=3), "High Risk", "Normal")</f>
        <v>High Risk</v>
      </c>
      <c r="X524" t="str">
        <f>IF(Table1[[#This Row],[Performance
Rating]]&gt;=4, "High Performer", "Low Performer")</f>
        <v>Low Performer</v>
      </c>
    </row>
    <row r="525" spans="2:24" x14ac:dyDescent="0.3">
      <c r="B525" t="s">
        <v>19</v>
      </c>
      <c r="C525" t="s">
        <v>25</v>
      </c>
      <c r="D525">
        <v>1</v>
      </c>
      <c r="E525" t="s">
        <v>28</v>
      </c>
      <c r="F525">
        <v>2</v>
      </c>
      <c r="G525" t="s">
        <v>29</v>
      </c>
      <c r="H525">
        <v>2</v>
      </c>
      <c r="I525">
        <v>4447</v>
      </c>
      <c r="J525">
        <v>12</v>
      </c>
      <c r="K525">
        <v>3</v>
      </c>
      <c r="L525">
        <v>0</v>
      </c>
      <c r="M525">
        <v>9</v>
      </c>
      <c r="N525">
        <v>5</v>
      </c>
      <c r="O525">
        <v>2</v>
      </c>
      <c r="P525">
        <v>9</v>
      </c>
      <c r="Q525">
        <v>7</v>
      </c>
      <c r="R525">
        <v>0</v>
      </c>
      <c r="S525" t="s">
        <v>23</v>
      </c>
      <c r="T525" t="s">
        <v>37</v>
      </c>
      <c r="U525" t="str">
        <f>IF(Table1[[#This Row],[YearsSince
LastPromotion]]&gt; 4, "Delayed", "Normal")</f>
        <v>Normal</v>
      </c>
      <c r="V525" t="str">
        <f>IF(Table1[[#This Row],[Years
InCurrentRole]]&gt;4, "Role Stagnent", "Normal")</f>
        <v>Role Stagnent</v>
      </c>
      <c r="W525" t="str">
        <f>IF(AND(Table1[[#This Row],[Years
InCurrentRole]]&gt; 4, Table1[[#This Row],[Performance
Rating]]&gt;=3), "High Risk", "Normal")</f>
        <v>High Risk</v>
      </c>
      <c r="X525" t="str">
        <f>IF(Table1[[#This Row],[Performance
Rating]]&gt;=4, "High Performer", "Low Performer")</f>
        <v>Low Performer</v>
      </c>
    </row>
    <row r="526" spans="2:24" x14ac:dyDescent="0.3">
      <c r="B526" t="s">
        <v>19</v>
      </c>
      <c r="C526" t="s">
        <v>25</v>
      </c>
      <c r="D526">
        <v>1</v>
      </c>
      <c r="E526" t="s">
        <v>21</v>
      </c>
      <c r="F526">
        <v>2</v>
      </c>
      <c r="G526" t="s">
        <v>29</v>
      </c>
      <c r="H526">
        <v>4</v>
      </c>
      <c r="I526">
        <v>5363</v>
      </c>
      <c r="J526">
        <v>12</v>
      </c>
      <c r="K526">
        <v>3</v>
      </c>
      <c r="L526">
        <v>1</v>
      </c>
      <c r="M526">
        <v>10</v>
      </c>
      <c r="N526">
        <v>0</v>
      </c>
      <c r="O526">
        <v>3</v>
      </c>
      <c r="P526">
        <v>9</v>
      </c>
      <c r="Q526">
        <v>7</v>
      </c>
      <c r="R526">
        <v>0</v>
      </c>
      <c r="S526" t="s">
        <v>34</v>
      </c>
      <c r="T526" t="s">
        <v>37</v>
      </c>
      <c r="U526" t="str">
        <f>IF(Table1[[#This Row],[YearsSince
LastPromotion]]&gt; 4, "Delayed", "Normal")</f>
        <v>Normal</v>
      </c>
      <c r="V526" t="str">
        <f>IF(Table1[[#This Row],[Years
InCurrentRole]]&gt;4, "Role Stagnent", "Normal")</f>
        <v>Role Stagnent</v>
      </c>
      <c r="W526" t="str">
        <f>IF(AND(Table1[[#This Row],[Years
InCurrentRole]]&gt; 4, Table1[[#This Row],[Performance
Rating]]&gt;=3), "High Risk", "Normal")</f>
        <v>High Risk</v>
      </c>
      <c r="X526" t="str">
        <f>IF(Table1[[#This Row],[Performance
Rating]]&gt;=4, "High Performer", "Low Performer")</f>
        <v>Low Performer</v>
      </c>
    </row>
    <row r="527" spans="2:24" x14ac:dyDescent="0.3">
      <c r="B527" t="s">
        <v>19</v>
      </c>
      <c r="C527" t="s">
        <v>25</v>
      </c>
      <c r="D527">
        <v>1</v>
      </c>
      <c r="E527" t="s">
        <v>21</v>
      </c>
      <c r="F527">
        <v>1</v>
      </c>
      <c r="G527" t="s">
        <v>26</v>
      </c>
      <c r="H527">
        <v>1</v>
      </c>
      <c r="I527">
        <v>4968</v>
      </c>
      <c r="J527">
        <v>16</v>
      </c>
      <c r="K527">
        <v>3</v>
      </c>
      <c r="L527">
        <v>0</v>
      </c>
      <c r="M527">
        <v>10</v>
      </c>
      <c r="N527">
        <v>2</v>
      </c>
      <c r="O527">
        <v>3</v>
      </c>
      <c r="P527">
        <v>9</v>
      </c>
      <c r="Q527">
        <v>7</v>
      </c>
      <c r="R527">
        <v>0</v>
      </c>
      <c r="S527" t="s">
        <v>34</v>
      </c>
      <c r="T527" t="s">
        <v>37</v>
      </c>
      <c r="U527" t="str">
        <f>IF(Table1[[#This Row],[YearsSince
LastPromotion]]&gt; 4, "Delayed", "Normal")</f>
        <v>Normal</v>
      </c>
      <c r="V527" t="str">
        <f>IF(Table1[[#This Row],[Years
InCurrentRole]]&gt;4, "Role Stagnent", "Normal")</f>
        <v>Role Stagnent</v>
      </c>
      <c r="W527" t="str">
        <f>IF(AND(Table1[[#This Row],[Years
InCurrentRole]]&gt; 4, Table1[[#This Row],[Performance
Rating]]&gt;=3), "High Risk", "Normal")</f>
        <v>High Risk</v>
      </c>
      <c r="X527" t="str">
        <f>IF(Table1[[#This Row],[Performance
Rating]]&gt;=4, "High Performer", "Low Performer")</f>
        <v>Low Performer</v>
      </c>
    </row>
    <row r="528" spans="2:24" x14ac:dyDescent="0.3">
      <c r="B528" t="s">
        <v>19</v>
      </c>
      <c r="C528" t="s">
        <v>25</v>
      </c>
      <c r="D528">
        <v>1</v>
      </c>
      <c r="E528" t="s">
        <v>21</v>
      </c>
      <c r="F528">
        <v>2</v>
      </c>
      <c r="G528" t="s">
        <v>33</v>
      </c>
      <c r="H528">
        <v>2</v>
      </c>
      <c r="I528">
        <v>5228</v>
      </c>
      <c r="J528">
        <v>15</v>
      </c>
      <c r="K528">
        <v>3</v>
      </c>
      <c r="L528">
        <v>1</v>
      </c>
      <c r="M528">
        <v>10</v>
      </c>
      <c r="N528">
        <v>2</v>
      </c>
      <c r="O528">
        <v>3</v>
      </c>
      <c r="P528">
        <v>9</v>
      </c>
      <c r="Q528">
        <v>7</v>
      </c>
      <c r="R528">
        <v>0</v>
      </c>
      <c r="S528" t="s">
        <v>34</v>
      </c>
      <c r="T528" t="s">
        <v>37</v>
      </c>
      <c r="U528" t="str">
        <f>IF(Table1[[#This Row],[YearsSince
LastPromotion]]&gt; 4, "Delayed", "Normal")</f>
        <v>Normal</v>
      </c>
      <c r="V528" t="str">
        <f>IF(Table1[[#This Row],[Years
InCurrentRole]]&gt;4, "Role Stagnent", "Normal")</f>
        <v>Role Stagnent</v>
      </c>
      <c r="W528" t="str">
        <f>IF(AND(Table1[[#This Row],[Years
InCurrentRole]]&gt; 4, Table1[[#This Row],[Performance
Rating]]&gt;=3), "High Risk", "Normal")</f>
        <v>High Risk</v>
      </c>
      <c r="X528" t="str">
        <f>IF(Table1[[#This Row],[Performance
Rating]]&gt;=4, "High Performer", "Low Performer")</f>
        <v>Low Performer</v>
      </c>
    </row>
    <row r="529" spans="2:24" x14ac:dyDescent="0.3">
      <c r="B529" t="s">
        <v>19</v>
      </c>
      <c r="C529" t="s">
        <v>20</v>
      </c>
      <c r="D529">
        <v>1</v>
      </c>
      <c r="E529" t="s">
        <v>28</v>
      </c>
      <c r="F529">
        <v>3</v>
      </c>
      <c r="G529" t="s">
        <v>32</v>
      </c>
      <c r="H529">
        <v>3</v>
      </c>
      <c r="I529">
        <v>8189</v>
      </c>
      <c r="J529">
        <v>13</v>
      </c>
      <c r="K529">
        <v>3</v>
      </c>
      <c r="L529">
        <v>1</v>
      </c>
      <c r="M529">
        <v>12</v>
      </c>
      <c r="N529">
        <v>2</v>
      </c>
      <c r="O529">
        <v>3</v>
      </c>
      <c r="P529">
        <v>9</v>
      </c>
      <c r="Q529">
        <v>7</v>
      </c>
      <c r="R529">
        <v>0</v>
      </c>
      <c r="S529" t="s">
        <v>34</v>
      </c>
      <c r="T529" t="s">
        <v>37</v>
      </c>
      <c r="U529" t="str">
        <f>IF(Table1[[#This Row],[YearsSince
LastPromotion]]&gt; 4, "Delayed", "Normal")</f>
        <v>Normal</v>
      </c>
      <c r="V529" t="str">
        <f>IF(Table1[[#This Row],[Years
InCurrentRole]]&gt;4, "Role Stagnent", "Normal")</f>
        <v>Role Stagnent</v>
      </c>
      <c r="W529" t="str">
        <f>IF(AND(Table1[[#This Row],[Years
InCurrentRole]]&gt; 4, Table1[[#This Row],[Performance
Rating]]&gt;=3), "High Risk", "Normal")</f>
        <v>High Risk</v>
      </c>
      <c r="X529" t="str">
        <f>IF(Table1[[#This Row],[Performance
Rating]]&gt;=4, "High Performer", "Low Performer")</f>
        <v>Low Performer</v>
      </c>
    </row>
    <row r="530" spans="2:24" x14ac:dyDescent="0.3">
      <c r="B530" t="s">
        <v>19</v>
      </c>
      <c r="C530" t="s">
        <v>25</v>
      </c>
      <c r="D530">
        <v>1</v>
      </c>
      <c r="E530" t="s">
        <v>21</v>
      </c>
      <c r="F530">
        <v>3</v>
      </c>
      <c r="G530" t="s">
        <v>33</v>
      </c>
      <c r="H530">
        <v>1</v>
      </c>
      <c r="I530">
        <v>7412</v>
      </c>
      <c r="J530">
        <v>11</v>
      </c>
      <c r="K530">
        <v>3</v>
      </c>
      <c r="L530">
        <v>0</v>
      </c>
      <c r="M530">
        <v>9</v>
      </c>
      <c r="N530">
        <v>3</v>
      </c>
      <c r="O530">
        <v>3</v>
      </c>
      <c r="P530">
        <v>9</v>
      </c>
      <c r="Q530">
        <v>7</v>
      </c>
      <c r="R530">
        <v>0</v>
      </c>
      <c r="S530" t="s">
        <v>34</v>
      </c>
      <c r="T530" t="s">
        <v>37</v>
      </c>
      <c r="U530" t="str">
        <f>IF(Table1[[#This Row],[YearsSince
LastPromotion]]&gt; 4, "Delayed", "Normal")</f>
        <v>Normal</v>
      </c>
      <c r="V530" t="str">
        <f>IF(Table1[[#This Row],[Years
InCurrentRole]]&gt;4, "Role Stagnent", "Normal")</f>
        <v>Role Stagnent</v>
      </c>
      <c r="W530" t="str">
        <f>IF(AND(Table1[[#This Row],[Years
InCurrentRole]]&gt; 4, Table1[[#This Row],[Performance
Rating]]&gt;=3), "High Risk", "Normal")</f>
        <v>High Risk</v>
      </c>
      <c r="X530" t="str">
        <f>IF(Table1[[#This Row],[Performance
Rating]]&gt;=4, "High Performer", "Low Performer")</f>
        <v>Low Performer</v>
      </c>
    </row>
    <row r="531" spans="2:24" x14ac:dyDescent="0.3">
      <c r="B531" t="s">
        <v>27</v>
      </c>
      <c r="C531" t="s">
        <v>25</v>
      </c>
      <c r="D531">
        <v>1</v>
      </c>
      <c r="E531" t="s">
        <v>28</v>
      </c>
      <c r="F531">
        <v>2</v>
      </c>
      <c r="G531" t="s">
        <v>29</v>
      </c>
      <c r="H531">
        <v>3</v>
      </c>
      <c r="I531">
        <v>6074</v>
      </c>
      <c r="J531">
        <v>24</v>
      </c>
      <c r="K531">
        <v>4</v>
      </c>
      <c r="L531">
        <v>0</v>
      </c>
      <c r="M531">
        <v>9</v>
      </c>
      <c r="N531">
        <v>3</v>
      </c>
      <c r="O531">
        <v>3</v>
      </c>
      <c r="P531">
        <v>9</v>
      </c>
      <c r="Q531">
        <v>7</v>
      </c>
      <c r="R531">
        <v>0</v>
      </c>
      <c r="S531" t="s">
        <v>34</v>
      </c>
      <c r="T531" t="s">
        <v>37</v>
      </c>
      <c r="U531" t="str">
        <f>IF(Table1[[#This Row],[YearsSince
LastPromotion]]&gt; 4, "Delayed", "Normal")</f>
        <v>Normal</v>
      </c>
      <c r="V531" t="str">
        <f>IF(Table1[[#This Row],[Years
InCurrentRole]]&gt;4, "Role Stagnent", "Normal")</f>
        <v>Role Stagnent</v>
      </c>
      <c r="W531" t="str">
        <f>IF(AND(Table1[[#This Row],[Years
InCurrentRole]]&gt; 4, Table1[[#This Row],[Performance
Rating]]&gt;=3), "High Risk", "Normal")</f>
        <v>High Risk</v>
      </c>
      <c r="X531" t="str">
        <f>IF(Table1[[#This Row],[Performance
Rating]]&gt;=4, "High Performer", "Low Performer")</f>
        <v>High Performer</v>
      </c>
    </row>
    <row r="532" spans="2:24" x14ac:dyDescent="0.3">
      <c r="B532" t="s">
        <v>19</v>
      </c>
      <c r="C532" t="s">
        <v>25</v>
      </c>
      <c r="D532">
        <v>1</v>
      </c>
      <c r="E532" t="s">
        <v>21</v>
      </c>
      <c r="F532">
        <v>2</v>
      </c>
      <c r="G532" t="s">
        <v>29</v>
      </c>
      <c r="H532">
        <v>3</v>
      </c>
      <c r="I532">
        <v>5257</v>
      </c>
      <c r="J532">
        <v>11</v>
      </c>
      <c r="K532">
        <v>3</v>
      </c>
      <c r="L532">
        <v>1</v>
      </c>
      <c r="M532">
        <v>9</v>
      </c>
      <c r="N532">
        <v>3</v>
      </c>
      <c r="O532">
        <v>4</v>
      </c>
      <c r="P532">
        <v>9</v>
      </c>
      <c r="Q532">
        <v>7</v>
      </c>
      <c r="R532">
        <v>0</v>
      </c>
      <c r="S532" t="s">
        <v>34</v>
      </c>
      <c r="T532" t="s">
        <v>37</v>
      </c>
      <c r="U532" t="str">
        <f>IF(Table1[[#This Row],[YearsSince
LastPromotion]]&gt; 4, "Delayed", "Normal")</f>
        <v>Normal</v>
      </c>
      <c r="V532" t="str">
        <f>IF(Table1[[#This Row],[Years
InCurrentRole]]&gt;4, "Role Stagnent", "Normal")</f>
        <v>Role Stagnent</v>
      </c>
      <c r="W532" t="str">
        <f>IF(AND(Table1[[#This Row],[Years
InCurrentRole]]&gt; 4, Table1[[#This Row],[Performance
Rating]]&gt;=3), "High Risk", "Normal")</f>
        <v>High Risk</v>
      </c>
      <c r="X532" t="str">
        <f>IF(Table1[[#This Row],[Performance
Rating]]&gt;=4, "High Performer", "Low Performer")</f>
        <v>Low Performer</v>
      </c>
    </row>
    <row r="533" spans="2:24" x14ac:dyDescent="0.3">
      <c r="B533" t="s">
        <v>19</v>
      </c>
      <c r="C533" t="s">
        <v>20</v>
      </c>
      <c r="D533">
        <v>1</v>
      </c>
      <c r="E533" t="s">
        <v>28</v>
      </c>
      <c r="F533">
        <v>2</v>
      </c>
      <c r="G533" t="s">
        <v>32</v>
      </c>
      <c r="H533">
        <v>4</v>
      </c>
      <c r="I533">
        <v>5396</v>
      </c>
      <c r="J533">
        <v>12</v>
      </c>
      <c r="K533">
        <v>3</v>
      </c>
      <c r="L533">
        <v>0</v>
      </c>
      <c r="M533">
        <v>10</v>
      </c>
      <c r="N533">
        <v>2</v>
      </c>
      <c r="O533">
        <v>2</v>
      </c>
      <c r="P533">
        <v>10</v>
      </c>
      <c r="Q533">
        <v>7</v>
      </c>
      <c r="R533">
        <v>0</v>
      </c>
      <c r="S533" t="s">
        <v>23</v>
      </c>
      <c r="T533" t="s">
        <v>37</v>
      </c>
      <c r="U533" t="str">
        <f>IF(Table1[[#This Row],[YearsSince
LastPromotion]]&gt; 4, "Delayed", "Normal")</f>
        <v>Normal</v>
      </c>
      <c r="V533" t="str">
        <f>IF(Table1[[#This Row],[Years
InCurrentRole]]&gt;4, "Role Stagnent", "Normal")</f>
        <v>Role Stagnent</v>
      </c>
      <c r="W533" t="str">
        <f>IF(AND(Table1[[#This Row],[Years
InCurrentRole]]&gt; 4, Table1[[#This Row],[Performance
Rating]]&gt;=3), "High Risk", "Normal")</f>
        <v>High Risk</v>
      </c>
      <c r="X533" t="str">
        <f>IF(Table1[[#This Row],[Performance
Rating]]&gt;=4, "High Performer", "Low Performer")</f>
        <v>Low Performer</v>
      </c>
    </row>
    <row r="534" spans="2:24" x14ac:dyDescent="0.3">
      <c r="B534" t="s">
        <v>19</v>
      </c>
      <c r="C534" t="s">
        <v>25</v>
      </c>
      <c r="D534">
        <v>1</v>
      </c>
      <c r="E534" t="s">
        <v>28</v>
      </c>
      <c r="F534">
        <v>1</v>
      </c>
      <c r="G534" t="s">
        <v>26</v>
      </c>
      <c r="H534">
        <v>3</v>
      </c>
      <c r="I534">
        <v>2613</v>
      </c>
      <c r="J534">
        <v>25</v>
      </c>
      <c r="K534">
        <v>4</v>
      </c>
      <c r="L534">
        <v>3</v>
      </c>
      <c r="M534">
        <v>10</v>
      </c>
      <c r="N534">
        <v>2</v>
      </c>
      <c r="O534">
        <v>2</v>
      </c>
      <c r="P534">
        <v>10</v>
      </c>
      <c r="Q534">
        <v>7</v>
      </c>
      <c r="R534">
        <v>0</v>
      </c>
      <c r="S534" t="s">
        <v>23</v>
      </c>
      <c r="T534" t="s">
        <v>37</v>
      </c>
      <c r="U534" t="str">
        <f>IF(Table1[[#This Row],[YearsSince
LastPromotion]]&gt; 4, "Delayed", "Normal")</f>
        <v>Normal</v>
      </c>
      <c r="V534" t="str">
        <f>IF(Table1[[#This Row],[Years
InCurrentRole]]&gt;4, "Role Stagnent", "Normal")</f>
        <v>Role Stagnent</v>
      </c>
      <c r="W534" t="str">
        <f>IF(AND(Table1[[#This Row],[Years
InCurrentRole]]&gt; 4, Table1[[#This Row],[Performance
Rating]]&gt;=3), "High Risk", "Normal")</f>
        <v>High Risk</v>
      </c>
      <c r="X534" t="str">
        <f>IF(Table1[[#This Row],[Performance
Rating]]&gt;=4, "High Performer", "Low Performer")</f>
        <v>High Performer</v>
      </c>
    </row>
    <row r="535" spans="2:24" x14ac:dyDescent="0.3">
      <c r="B535" t="s">
        <v>19</v>
      </c>
      <c r="C535" t="s">
        <v>20</v>
      </c>
      <c r="D535">
        <v>1</v>
      </c>
      <c r="E535" t="s">
        <v>28</v>
      </c>
      <c r="F535">
        <v>2</v>
      </c>
      <c r="G535" t="s">
        <v>32</v>
      </c>
      <c r="H535">
        <v>4</v>
      </c>
      <c r="I535">
        <v>4554</v>
      </c>
      <c r="J535">
        <v>18</v>
      </c>
      <c r="K535">
        <v>3</v>
      </c>
      <c r="L535">
        <v>0</v>
      </c>
      <c r="M535">
        <v>10</v>
      </c>
      <c r="N535">
        <v>3</v>
      </c>
      <c r="O535">
        <v>2</v>
      </c>
      <c r="P535">
        <v>10</v>
      </c>
      <c r="Q535">
        <v>7</v>
      </c>
      <c r="R535">
        <v>0</v>
      </c>
      <c r="S535" t="s">
        <v>23</v>
      </c>
      <c r="T535" t="s">
        <v>37</v>
      </c>
      <c r="U535" t="str">
        <f>IF(Table1[[#This Row],[YearsSince
LastPromotion]]&gt; 4, "Delayed", "Normal")</f>
        <v>Normal</v>
      </c>
      <c r="V535" t="str">
        <f>IF(Table1[[#This Row],[Years
InCurrentRole]]&gt;4, "Role Stagnent", "Normal")</f>
        <v>Role Stagnent</v>
      </c>
      <c r="W535" t="str">
        <f>IF(AND(Table1[[#This Row],[Years
InCurrentRole]]&gt; 4, Table1[[#This Row],[Performance
Rating]]&gt;=3), "High Risk", "Normal")</f>
        <v>High Risk</v>
      </c>
      <c r="X535" t="str">
        <f>IF(Table1[[#This Row],[Performance
Rating]]&gt;=4, "High Performer", "Low Performer")</f>
        <v>Low Performer</v>
      </c>
    </row>
    <row r="536" spans="2:24" x14ac:dyDescent="0.3">
      <c r="B536" t="s">
        <v>19</v>
      </c>
      <c r="C536" t="s">
        <v>20</v>
      </c>
      <c r="D536">
        <v>1</v>
      </c>
      <c r="E536" t="s">
        <v>21</v>
      </c>
      <c r="F536">
        <v>2</v>
      </c>
      <c r="G536" t="s">
        <v>32</v>
      </c>
      <c r="H536">
        <v>3</v>
      </c>
      <c r="I536">
        <v>4539</v>
      </c>
      <c r="J536">
        <v>12</v>
      </c>
      <c r="K536">
        <v>3</v>
      </c>
      <c r="L536">
        <v>1</v>
      </c>
      <c r="M536">
        <v>10</v>
      </c>
      <c r="N536">
        <v>3</v>
      </c>
      <c r="O536">
        <v>2</v>
      </c>
      <c r="P536">
        <v>10</v>
      </c>
      <c r="Q536">
        <v>7</v>
      </c>
      <c r="R536">
        <v>0</v>
      </c>
      <c r="S536" t="s">
        <v>23</v>
      </c>
      <c r="T536" t="s">
        <v>37</v>
      </c>
      <c r="U536" t="str">
        <f>IF(Table1[[#This Row],[YearsSince
LastPromotion]]&gt; 4, "Delayed", "Normal")</f>
        <v>Normal</v>
      </c>
      <c r="V536" t="str">
        <f>IF(Table1[[#This Row],[Years
InCurrentRole]]&gt;4, "Role Stagnent", "Normal")</f>
        <v>Role Stagnent</v>
      </c>
      <c r="W536" t="str">
        <f>IF(AND(Table1[[#This Row],[Years
InCurrentRole]]&gt; 4, Table1[[#This Row],[Performance
Rating]]&gt;=3), "High Risk", "Normal")</f>
        <v>High Risk</v>
      </c>
      <c r="X536" t="str">
        <f>IF(Table1[[#This Row],[Performance
Rating]]&gt;=4, "High Performer", "Low Performer")</f>
        <v>Low Performer</v>
      </c>
    </row>
    <row r="537" spans="2:24" x14ac:dyDescent="0.3">
      <c r="B537" t="s">
        <v>19</v>
      </c>
      <c r="C537" t="s">
        <v>25</v>
      </c>
      <c r="D537">
        <v>1</v>
      </c>
      <c r="E537" t="s">
        <v>21</v>
      </c>
      <c r="F537">
        <v>2</v>
      </c>
      <c r="G537" t="s">
        <v>33</v>
      </c>
      <c r="H537">
        <v>3</v>
      </c>
      <c r="I537">
        <v>4810</v>
      </c>
      <c r="J537">
        <v>14</v>
      </c>
      <c r="K537">
        <v>3</v>
      </c>
      <c r="L537">
        <v>1</v>
      </c>
      <c r="M537">
        <v>19</v>
      </c>
      <c r="N537">
        <v>5</v>
      </c>
      <c r="O537">
        <v>2</v>
      </c>
      <c r="P537">
        <v>10</v>
      </c>
      <c r="Q537">
        <v>7</v>
      </c>
      <c r="R537">
        <v>0</v>
      </c>
      <c r="S537" t="s">
        <v>23</v>
      </c>
      <c r="T537" t="s">
        <v>37</v>
      </c>
      <c r="U537" t="str">
        <f>IF(Table1[[#This Row],[YearsSince
LastPromotion]]&gt; 4, "Delayed", "Normal")</f>
        <v>Normal</v>
      </c>
      <c r="V537" t="str">
        <f>IF(Table1[[#This Row],[Years
InCurrentRole]]&gt;4, "Role Stagnent", "Normal")</f>
        <v>Role Stagnent</v>
      </c>
      <c r="W537" t="str">
        <f>IF(AND(Table1[[#This Row],[Years
InCurrentRole]]&gt; 4, Table1[[#This Row],[Performance
Rating]]&gt;=3), "High Risk", "Normal")</f>
        <v>High Risk</v>
      </c>
      <c r="X537" t="str">
        <f>IF(Table1[[#This Row],[Performance
Rating]]&gt;=4, "High Performer", "Low Performer")</f>
        <v>Low Performer</v>
      </c>
    </row>
    <row r="538" spans="2:24" x14ac:dyDescent="0.3">
      <c r="B538" t="s">
        <v>19</v>
      </c>
      <c r="C538" t="s">
        <v>20</v>
      </c>
      <c r="D538">
        <v>1</v>
      </c>
      <c r="E538" t="s">
        <v>28</v>
      </c>
      <c r="F538">
        <v>3</v>
      </c>
      <c r="G538" t="s">
        <v>32</v>
      </c>
      <c r="H538">
        <v>1</v>
      </c>
      <c r="I538">
        <v>7587</v>
      </c>
      <c r="J538">
        <v>15</v>
      </c>
      <c r="K538">
        <v>3</v>
      </c>
      <c r="L538">
        <v>0</v>
      </c>
      <c r="M538">
        <v>10</v>
      </c>
      <c r="N538">
        <v>1</v>
      </c>
      <c r="O538">
        <v>3</v>
      </c>
      <c r="P538">
        <v>10</v>
      </c>
      <c r="Q538">
        <v>7</v>
      </c>
      <c r="R538">
        <v>0</v>
      </c>
      <c r="S538" t="s">
        <v>34</v>
      </c>
      <c r="T538" t="s">
        <v>37</v>
      </c>
      <c r="U538" t="str">
        <f>IF(Table1[[#This Row],[YearsSince
LastPromotion]]&gt; 4, "Delayed", "Normal")</f>
        <v>Normal</v>
      </c>
      <c r="V538" t="str">
        <f>IF(Table1[[#This Row],[Years
InCurrentRole]]&gt;4, "Role Stagnent", "Normal")</f>
        <v>Role Stagnent</v>
      </c>
      <c r="W538" t="str">
        <f>IF(AND(Table1[[#This Row],[Years
InCurrentRole]]&gt; 4, Table1[[#This Row],[Performance
Rating]]&gt;=3), "High Risk", "Normal")</f>
        <v>High Risk</v>
      </c>
      <c r="X538" t="str">
        <f>IF(Table1[[#This Row],[Performance
Rating]]&gt;=4, "High Performer", "Low Performer")</f>
        <v>Low Performer</v>
      </c>
    </row>
    <row r="539" spans="2:24" x14ac:dyDescent="0.3">
      <c r="B539" t="s">
        <v>19</v>
      </c>
      <c r="C539" t="s">
        <v>25</v>
      </c>
      <c r="D539">
        <v>1</v>
      </c>
      <c r="E539" t="s">
        <v>28</v>
      </c>
      <c r="F539">
        <v>2</v>
      </c>
      <c r="G539" t="s">
        <v>33</v>
      </c>
      <c r="H539">
        <v>3</v>
      </c>
      <c r="I539">
        <v>4319</v>
      </c>
      <c r="J539">
        <v>13</v>
      </c>
      <c r="K539">
        <v>3</v>
      </c>
      <c r="L539">
        <v>1</v>
      </c>
      <c r="M539">
        <v>10</v>
      </c>
      <c r="N539">
        <v>1</v>
      </c>
      <c r="O539">
        <v>3</v>
      </c>
      <c r="P539">
        <v>10</v>
      </c>
      <c r="Q539">
        <v>7</v>
      </c>
      <c r="R539">
        <v>0</v>
      </c>
      <c r="S539" t="s">
        <v>34</v>
      </c>
      <c r="T539" t="s">
        <v>37</v>
      </c>
      <c r="U539" t="str">
        <f>IF(Table1[[#This Row],[YearsSince
LastPromotion]]&gt; 4, "Delayed", "Normal")</f>
        <v>Normal</v>
      </c>
      <c r="V539" t="str">
        <f>IF(Table1[[#This Row],[Years
InCurrentRole]]&gt;4, "Role Stagnent", "Normal")</f>
        <v>Role Stagnent</v>
      </c>
      <c r="W539" t="str">
        <f>IF(AND(Table1[[#This Row],[Years
InCurrentRole]]&gt; 4, Table1[[#This Row],[Performance
Rating]]&gt;=3), "High Risk", "Normal")</f>
        <v>High Risk</v>
      </c>
      <c r="X539" t="str">
        <f>IF(Table1[[#This Row],[Performance
Rating]]&gt;=4, "High Performer", "Low Performer")</f>
        <v>Low Performer</v>
      </c>
    </row>
    <row r="540" spans="2:24" x14ac:dyDescent="0.3">
      <c r="B540" t="s">
        <v>27</v>
      </c>
      <c r="C540" t="s">
        <v>25</v>
      </c>
      <c r="D540">
        <v>1</v>
      </c>
      <c r="E540" t="s">
        <v>21</v>
      </c>
      <c r="F540">
        <v>3</v>
      </c>
      <c r="G540" t="s">
        <v>31</v>
      </c>
      <c r="H540">
        <v>4</v>
      </c>
      <c r="I540">
        <v>7978</v>
      </c>
      <c r="J540">
        <v>11</v>
      </c>
      <c r="K540">
        <v>3</v>
      </c>
      <c r="L540">
        <v>1</v>
      </c>
      <c r="M540">
        <v>10</v>
      </c>
      <c r="N540">
        <v>2</v>
      </c>
      <c r="O540">
        <v>3</v>
      </c>
      <c r="P540">
        <v>10</v>
      </c>
      <c r="Q540">
        <v>7</v>
      </c>
      <c r="R540">
        <v>0</v>
      </c>
      <c r="S540" t="s">
        <v>34</v>
      </c>
      <c r="T540" t="s">
        <v>37</v>
      </c>
      <c r="U540" t="str">
        <f>IF(Table1[[#This Row],[YearsSince
LastPromotion]]&gt; 4, "Delayed", "Normal")</f>
        <v>Normal</v>
      </c>
      <c r="V540" t="str">
        <f>IF(Table1[[#This Row],[Years
InCurrentRole]]&gt;4, "Role Stagnent", "Normal")</f>
        <v>Role Stagnent</v>
      </c>
      <c r="W540" t="str">
        <f>IF(AND(Table1[[#This Row],[Years
InCurrentRole]]&gt; 4, Table1[[#This Row],[Performance
Rating]]&gt;=3), "High Risk", "Normal")</f>
        <v>High Risk</v>
      </c>
      <c r="X540" t="str">
        <f>IF(Table1[[#This Row],[Performance
Rating]]&gt;=4, "High Performer", "Low Performer")</f>
        <v>Low Performer</v>
      </c>
    </row>
    <row r="541" spans="2:24" x14ac:dyDescent="0.3">
      <c r="B541" t="s">
        <v>19</v>
      </c>
      <c r="C541" t="s">
        <v>20</v>
      </c>
      <c r="D541">
        <v>1</v>
      </c>
      <c r="E541" t="s">
        <v>28</v>
      </c>
      <c r="F541">
        <v>3</v>
      </c>
      <c r="G541" t="s">
        <v>32</v>
      </c>
      <c r="H541">
        <v>1</v>
      </c>
      <c r="I541">
        <v>8392</v>
      </c>
      <c r="J541">
        <v>16</v>
      </c>
      <c r="K541">
        <v>3</v>
      </c>
      <c r="L541">
        <v>1</v>
      </c>
      <c r="M541">
        <v>10</v>
      </c>
      <c r="N541">
        <v>2</v>
      </c>
      <c r="O541">
        <v>3</v>
      </c>
      <c r="P541">
        <v>10</v>
      </c>
      <c r="Q541">
        <v>7</v>
      </c>
      <c r="R541">
        <v>0</v>
      </c>
      <c r="S541" t="s">
        <v>34</v>
      </c>
      <c r="T541" t="s">
        <v>37</v>
      </c>
      <c r="U541" t="str">
        <f>IF(Table1[[#This Row],[YearsSince
LastPromotion]]&gt; 4, "Delayed", "Normal")</f>
        <v>Normal</v>
      </c>
      <c r="V541" t="str">
        <f>IF(Table1[[#This Row],[Years
InCurrentRole]]&gt;4, "Role Stagnent", "Normal")</f>
        <v>Role Stagnent</v>
      </c>
      <c r="W541" t="str">
        <f>IF(AND(Table1[[#This Row],[Years
InCurrentRole]]&gt; 4, Table1[[#This Row],[Performance
Rating]]&gt;=3), "High Risk", "Normal")</f>
        <v>High Risk</v>
      </c>
      <c r="X541" t="str">
        <f>IF(Table1[[#This Row],[Performance
Rating]]&gt;=4, "High Performer", "Low Performer")</f>
        <v>Low Performer</v>
      </c>
    </row>
    <row r="542" spans="2:24" x14ac:dyDescent="0.3">
      <c r="B542" t="s">
        <v>19</v>
      </c>
      <c r="C542" t="s">
        <v>25</v>
      </c>
      <c r="D542">
        <v>1</v>
      </c>
      <c r="E542" t="s">
        <v>21</v>
      </c>
      <c r="F542">
        <v>3</v>
      </c>
      <c r="G542" t="s">
        <v>33</v>
      </c>
      <c r="H542">
        <v>3</v>
      </c>
      <c r="I542">
        <v>10739</v>
      </c>
      <c r="J542">
        <v>11</v>
      </c>
      <c r="K542">
        <v>3</v>
      </c>
      <c r="L542">
        <v>1</v>
      </c>
      <c r="M542">
        <v>22</v>
      </c>
      <c r="N542">
        <v>2</v>
      </c>
      <c r="O542">
        <v>3</v>
      </c>
      <c r="P542">
        <v>10</v>
      </c>
      <c r="Q542">
        <v>7</v>
      </c>
      <c r="R542">
        <v>0</v>
      </c>
      <c r="S542" t="s">
        <v>34</v>
      </c>
      <c r="T542" t="s">
        <v>37</v>
      </c>
      <c r="U542" t="str">
        <f>IF(Table1[[#This Row],[YearsSince
LastPromotion]]&gt; 4, "Delayed", "Normal")</f>
        <v>Normal</v>
      </c>
      <c r="V542" t="str">
        <f>IF(Table1[[#This Row],[Years
InCurrentRole]]&gt;4, "Role Stagnent", "Normal")</f>
        <v>Role Stagnent</v>
      </c>
      <c r="W542" t="str">
        <f>IF(AND(Table1[[#This Row],[Years
InCurrentRole]]&gt; 4, Table1[[#This Row],[Performance
Rating]]&gt;=3), "High Risk", "Normal")</f>
        <v>High Risk</v>
      </c>
      <c r="X542" t="str">
        <f>IF(Table1[[#This Row],[Performance
Rating]]&gt;=4, "High Performer", "Low Performer")</f>
        <v>Low Performer</v>
      </c>
    </row>
    <row r="543" spans="2:24" x14ac:dyDescent="0.3">
      <c r="B543" t="s">
        <v>19</v>
      </c>
      <c r="C543" t="s">
        <v>25</v>
      </c>
      <c r="D543">
        <v>1</v>
      </c>
      <c r="E543" t="s">
        <v>28</v>
      </c>
      <c r="F543">
        <v>1</v>
      </c>
      <c r="G543" t="s">
        <v>26</v>
      </c>
      <c r="H543">
        <v>3</v>
      </c>
      <c r="I543">
        <v>2700</v>
      </c>
      <c r="J543">
        <v>24</v>
      </c>
      <c r="K543">
        <v>4</v>
      </c>
      <c r="L543">
        <v>1</v>
      </c>
      <c r="M543">
        <v>10</v>
      </c>
      <c r="N543">
        <v>3</v>
      </c>
      <c r="O543">
        <v>3</v>
      </c>
      <c r="P543">
        <v>10</v>
      </c>
      <c r="Q543">
        <v>7</v>
      </c>
      <c r="R543">
        <v>0</v>
      </c>
      <c r="S543" t="s">
        <v>34</v>
      </c>
      <c r="T543" t="s">
        <v>37</v>
      </c>
      <c r="U543" t="str">
        <f>IF(Table1[[#This Row],[YearsSince
LastPromotion]]&gt; 4, "Delayed", "Normal")</f>
        <v>Normal</v>
      </c>
      <c r="V543" t="str">
        <f>IF(Table1[[#This Row],[Years
InCurrentRole]]&gt;4, "Role Stagnent", "Normal")</f>
        <v>Role Stagnent</v>
      </c>
      <c r="W543" t="str">
        <f>IF(AND(Table1[[#This Row],[Years
InCurrentRole]]&gt; 4, Table1[[#This Row],[Performance
Rating]]&gt;=3), "High Risk", "Normal")</f>
        <v>High Risk</v>
      </c>
      <c r="X543" t="str">
        <f>IF(Table1[[#This Row],[Performance
Rating]]&gt;=4, "High Performer", "Low Performer")</f>
        <v>High Performer</v>
      </c>
    </row>
    <row r="544" spans="2:24" x14ac:dyDescent="0.3">
      <c r="B544" t="s">
        <v>19</v>
      </c>
      <c r="C544" t="s">
        <v>20</v>
      </c>
      <c r="D544">
        <v>1</v>
      </c>
      <c r="E544" t="s">
        <v>28</v>
      </c>
      <c r="F544">
        <v>2</v>
      </c>
      <c r="G544" t="s">
        <v>32</v>
      </c>
      <c r="H544">
        <v>3</v>
      </c>
      <c r="I544">
        <v>8620</v>
      </c>
      <c r="J544">
        <v>14</v>
      </c>
      <c r="K544">
        <v>3</v>
      </c>
      <c r="L544">
        <v>2</v>
      </c>
      <c r="M544">
        <v>10</v>
      </c>
      <c r="N544">
        <v>3</v>
      </c>
      <c r="O544">
        <v>3</v>
      </c>
      <c r="P544">
        <v>10</v>
      </c>
      <c r="Q544">
        <v>7</v>
      </c>
      <c r="R544">
        <v>0</v>
      </c>
      <c r="S544" t="s">
        <v>34</v>
      </c>
      <c r="T544" t="s">
        <v>37</v>
      </c>
      <c r="U544" t="str">
        <f>IF(Table1[[#This Row],[YearsSince
LastPromotion]]&gt; 4, "Delayed", "Normal")</f>
        <v>Normal</v>
      </c>
      <c r="V544" t="str">
        <f>IF(Table1[[#This Row],[Years
InCurrentRole]]&gt;4, "Role Stagnent", "Normal")</f>
        <v>Role Stagnent</v>
      </c>
      <c r="W544" t="str">
        <f>IF(AND(Table1[[#This Row],[Years
InCurrentRole]]&gt; 4, Table1[[#This Row],[Performance
Rating]]&gt;=3), "High Risk", "Normal")</f>
        <v>High Risk</v>
      </c>
      <c r="X544" t="str">
        <f>IF(Table1[[#This Row],[Performance
Rating]]&gt;=4, "High Performer", "Low Performer")</f>
        <v>Low Performer</v>
      </c>
    </row>
    <row r="545" spans="2:24" x14ac:dyDescent="0.3">
      <c r="B545" t="s">
        <v>19</v>
      </c>
      <c r="C545" t="s">
        <v>36</v>
      </c>
      <c r="D545">
        <v>1</v>
      </c>
      <c r="E545" t="s">
        <v>28</v>
      </c>
      <c r="F545">
        <v>2</v>
      </c>
      <c r="G545" t="s">
        <v>36</v>
      </c>
      <c r="H545">
        <v>4</v>
      </c>
      <c r="I545">
        <v>5743</v>
      </c>
      <c r="J545">
        <v>11</v>
      </c>
      <c r="K545">
        <v>3</v>
      </c>
      <c r="L545">
        <v>0</v>
      </c>
      <c r="M545">
        <v>14</v>
      </c>
      <c r="N545">
        <v>3</v>
      </c>
      <c r="O545">
        <v>3</v>
      </c>
      <c r="P545">
        <v>10</v>
      </c>
      <c r="Q545">
        <v>7</v>
      </c>
      <c r="R545">
        <v>0</v>
      </c>
      <c r="S545" t="s">
        <v>34</v>
      </c>
      <c r="T545" t="s">
        <v>37</v>
      </c>
      <c r="U545" t="str">
        <f>IF(Table1[[#This Row],[YearsSince
LastPromotion]]&gt; 4, "Delayed", "Normal")</f>
        <v>Normal</v>
      </c>
      <c r="V545" t="str">
        <f>IF(Table1[[#This Row],[Years
InCurrentRole]]&gt;4, "Role Stagnent", "Normal")</f>
        <v>Role Stagnent</v>
      </c>
      <c r="W545" t="str">
        <f>IF(AND(Table1[[#This Row],[Years
InCurrentRole]]&gt; 4, Table1[[#This Row],[Performance
Rating]]&gt;=3), "High Risk", "Normal")</f>
        <v>High Risk</v>
      </c>
      <c r="X545" t="str">
        <f>IF(Table1[[#This Row],[Performance
Rating]]&gt;=4, "High Performer", "Low Performer")</f>
        <v>Low Performer</v>
      </c>
    </row>
    <row r="546" spans="2:24" x14ac:dyDescent="0.3">
      <c r="B546" t="s">
        <v>19</v>
      </c>
      <c r="C546" t="s">
        <v>25</v>
      </c>
      <c r="D546">
        <v>1</v>
      </c>
      <c r="E546" t="s">
        <v>28</v>
      </c>
      <c r="F546">
        <v>2</v>
      </c>
      <c r="G546" t="s">
        <v>31</v>
      </c>
      <c r="H546">
        <v>2</v>
      </c>
      <c r="I546">
        <v>5562</v>
      </c>
      <c r="J546">
        <v>14</v>
      </c>
      <c r="K546">
        <v>3</v>
      </c>
      <c r="L546">
        <v>0</v>
      </c>
      <c r="M546">
        <v>19</v>
      </c>
      <c r="N546">
        <v>3</v>
      </c>
      <c r="O546">
        <v>3</v>
      </c>
      <c r="P546">
        <v>10</v>
      </c>
      <c r="Q546">
        <v>7</v>
      </c>
      <c r="R546">
        <v>0</v>
      </c>
      <c r="S546" t="s">
        <v>34</v>
      </c>
      <c r="T546" t="s">
        <v>37</v>
      </c>
      <c r="U546" t="str">
        <f>IF(Table1[[#This Row],[YearsSince
LastPromotion]]&gt; 4, "Delayed", "Normal")</f>
        <v>Normal</v>
      </c>
      <c r="V546" t="str">
        <f>IF(Table1[[#This Row],[Years
InCurrentRole]]&gt;4, "Role Stagnent", "Normal")</f>
        <v>Role Stagnent</v>
      </c>
      <c r="W546" t="str">
        <f>IF(AND(Table1[[#This Row],[Years
InCurrentRole]]&gt; 4, Table1[[#This Row],[Performance
Rating]]&gt;=3), "High Risk", "Normal")</f>
        <v>High Risk</v>
      </c>
      <c r="X546" t="str">
        <f>IF(Table1[[#This Row],[Performance
Rating]]&gt;=4, "High Performer", "Low Performer")</f>
        <v>Low Performer</v>
      </c>
    </row>
    <row r="547" spans="2:24" x14ac:dyDescent="0.3">
      <c r="B547" t="s">
        <v>27</v>
      </c>
      <c r="C547" t="s">
        <v>20</v>
      </c>
      <c r="D547">
        <v>1</v>
      </c>
      <c r="E547" t="s">
        <v>28</v>
      </c>
      <c r="F547">
        <v>2</v>
      </c>
      <c r="G547" t="s">
        <v>32</v>
      </c>
      <c r="H547">
        <v>4</v>
      </c>
      <c r="I547">
        <v>5617</v>
      </c>
      <c r="J547">
        <v>11</v>
      </c>
      <c r="K547">
        <v>3</v>
      </c>
      <c r="L547">
        <v>0</v>
      </c>
      <c r="M547">
        <v>10</v>
      </c>
      <c r="N547">
        <v>4</v>
      </c>
      <c r="O547">
        <v>3</v>
      </c>
      <c r="P547">
        <v>10</v>
      </c>
      <c r="Q547">
        <v>7</v>
      </c>
      <c r="R547">
        <v>0</v>
      </c>
      <c r="S547" t="s">
        <v>34</v>
      </c>
      <c r="T547" t="s">
        <v>37</v>
      </c>
      <c r="U547" t="str">
        <f>IF(Table1[[#This Row],[YearsSince
LastPromotion]]&gt; 4, "Delayed", "Normal")</f>
        <v>Normal</v>
      </c>
      <c r="V547" t="str">
        <f>IF(Table1[[#This Row],[Years
InCurrentRole]]&gt;4, "Role Stagnent", "Normal")</f>
        <v>Role Stagnent</v>
      </c>
      <c r="W547" t="str">
        <f>IF(AND(Table1[[#This Row],[Years
InCurrentRole]]&gt; 4, Table1[[#This Row],[Performance
Rating]]&gt;=3), "High Risk", "Normal")</f>
        <v>High Risk</v>
      </c>
      <c r="X547" t="str">
        <f>IF(Table1[[#This Row],[Performance
Rating]]&gt;=4, "High Performer", "Low Performer")</f>
        <v>Low Performer</v>
      </c>
    </row>
    <row r="548" spans="2:24" x14ac:dyDescent="0.3">
      <c r="B548" t="s">
        <v>19</v>
      </c>
      <c r="C548" t="s">
        <v>25</v>
      </c>
      <c r="D548">
        <v>1</v>
      </c>
      <c r="E548" t="s">
        <v>28</v>
      </c>
      <c r="F548">
        <v>2</v>
      </c>
      <c r="G548" t="s">
        <v>29</v>
      </c>
      <c r="H548">
        <v>4</v>
      </c>
      <c r="I548">
        <v>5415</v>
      </c>
      <c r="J548">
        <v>19</v>
      </c>
      <c r="K548">
        <v>3</v>
      </c>
      <c r="L548">
        <v>1</v>
      </c>
      <c r="M548">
        <v>12</v>
      </c>
      <c r="N548">
        <v>4</v>
      </c>
      <c r="O548">
        <v>3</v>
      </c>
      <c r="P548">
        <v>10</v>
      </c>
      <c r="Q548">
        <v>7</v>
      </c>
      <c r="R548">
        <v>0</v>
      </c>
      <c r="S548" t="s">
        <v>34</v>
      </c>
      <c r="T548" t="s">
        <v>37</v>
      </c>
      <c r="U548" t="str">
        <f>IF(Table1[[#This Row],[YearsSince
LastPromotion]]&gt; 4, "Delayed", "Normal")</f>
        <v>Normal</v>
      </c>
      <c r="V548" t="str">
        <f>IF(Table1[[#This Row],[Years
InCurrentRole]]&gt;4, "Role Stagnent", "Normal")</f>
        <v>Role Stagnent</v>
      </c>
      <c r="W548" t="str">
        <f>IF(AND(Table1[[#This Row],[Years
InCurrentRole]]&gt; 4, Table1[[#This Row],[Performance
Rating]]&gt;=3), "High Risk", "Normal")</f>
        <v>High Risk</v>
      </c>
      <c r="X548" t="str">
        <f>IF(Table1[[#This Row],[Performance
Rating]]&gt;=4, "High Performer", "Low Performer")</f>
        <v>Low Performer</v>
      </c>
    </row>
    <row r="549" spans="2:24" x14ac:dyDescent="0.3">
      <c r="B549" t="s">
        <v>19</v>
      </c>
      <c r="C549" t="s">
        <v>25</v>
      </c>
      <c r="D549">
        <v>1</v>
      </c>
      <c r="E549" t="s">
        <v>28</v>
      </c>
      <c r="F549">
        <v>2</v>
      </c>
      <c r="G549" t="s">
        <v>26</v>
      </c>
      <c r="H549">
        <v>3</v>
      </c>
      <c r="I549">
        <v>5098</v>
      </c>
      <c r="J549">
        <v>19</v>
      </c>
      <c r="K549">
        <v>3</v>
      </c>
      <c r="L549">
        <v>0</v>
      </c>
      <c r="M549">
        <v>10</v>
      </c>
      <c r="N549">
        <v>5</v>
      </c>
      <c r="O549">
        <v>3</v>
      </c>
      <c r="P549">
        <v>10</v>
      </c>
      <c r="Q549">
        <v>7</v>
      </c>
      <c r="R549">
        <v>0</v>
      </c>
      <c r="S549" t="s">
        <v>34</v>
      </c>
      <c r="T549" t="s">
        <v>37</v>
      </c>
      <c r="U549" t="str">
        <f>IF(Table1[[#This Row],[YearsSince
LastPromotion]]&gt; 4, "Delayed", "Normal")</f>
        <v>Normal</v>
      </c>
      <c r="V549" t="str">
        <f>IF(Table1[[#This Row],[Years
InCurrentRole]]&gt;4, "Role Stagnent", "Normal")</f>
        <v>Role Stagnent</v>
      </c>
      <c r="W549" t="str">
        <f>IF(AND(Table1[[#This Row],[Years
InCurrentRole]]&gt; 4, Table1[[#This Row],[Performance
Rating]]&gt;=3), "High Risk", "Normal")</f>
        <v>High Risk</v>
      </c>
      <c r="X549" t="str">
        <f>IF(Table1[[#This Row],[Performance
Rating]]&gt;=4, "High Performer", "Low Performer")</f>
        <v>Low Performer</v>
      </c>
    </row>
    <row r="550" spans="2:24" x14ac:dyDescent="0.3">
      <c r="B550" t="s">
        <v>19</v>
      </c>
      <c r="C550" t="s">
        <v>20</v>
      </c>
      <c r="D550">
        <v>1</v>
      </c>
      <c r="E550" t="s">
        <v>21</v>
      </c>
      <c r="F550">
        <v>3</v>
      </c>
      <c r="G550" t="s">
        <v>32</v>
      </c>
      <c r="H550">
        <v>3</v>
      </c>
      <c r="I550">
        <v>8789</v>
      </c>
      <c r="J550">
        <v>14</v>
      </c>
      <c r="K550">
        <v>3</v>
      </c>
      <c r="L550">
        <v>0</v>
      </c>
      <c r="M550">
        <v>10</v>
      </c>
      <c r="N550">
        <v>3</v>
      </c>
      <c r="O550">
        <v>4</v>
      </c>
      <c r="P550">
        <v>10</v>
      </c>
      <c r="Q550">
        <v>7</v>
      </c>
      <c r="R550">
        <v>0</v>
      </c>
      <c r="S550" t="s">
        <v>34</v>
      </c>
      <c r="T550" t="s">
        <v>37</v>
      </c>
      <c r="U550" t="str">
        <f>IF(Table1[[#This Row],[YearsSince
LastPromotion]]&gt; 4, "Delayed", "Normal")</f>
        <v>Normal</v>
      </c>
      <c r="V550" t="str">
        <f>IF(Table1[[#This Row],[Years
InCurrentRole]]&gt;4, "Role Stagnent", "Normal")</f>
        <v>Role Stagnent</v>
      </c>
      <c r="W550" t="str">
        <f>IF(AND(Table1[[#This Row],[Years
InCurrentRole]]&gt; 4, Table1[[#This Row],[Performance
Rating]]&gt;=3), "High Risk", "Normal")</f>
        <v>High Risk</v>
      </c>
      <c r="X550" t="str">
        <f>IF(Table1[[#This Row],[Performance
Rating]]&gt;=4, "High Performer", "Low Performer")</f>
        <v>Low Performer</v>
      </c>
    </row>
    <row r="551" spans="2:24" x14ac:dyDescent="0.3">
      <c r="B551" t="s">
        <v>19</v>
      </c>
      <c r="C551" t="s">
        <v>20</v>
      </c>
      <c r="D551">
        <v>1</v>
      </c>
      <c r="E551" t="s">
        <v>28</v>
      </c>
      <c r="F551">
        <v>2</v>
      </c>
      <c r="G551" t="s">
        <v>32</v>
      </c>
      <c r="H551">
        <v>4</v>
      </c>
      <c r="I551">
        <v>6209</v>
      </c>
      <c r="J551">
        <v>15</v>
      </c>
      <c r="K551">
        <v>3</v>
      </c>
      <c r="L551">
        <v>2</v>
      </c>
      <c r="M551">
        <v>10</v>
      </c>
      <c r="N551">
        <v>4</v>
      </c>
      <c r="O551">
        <v>4</v>
      </c>
      <c r="P551">
        <v>10</v>
      </c>
      <c r="Q551">
        <v>7</v>
      </c>
      <c r="R551">
        <v>0</v>
      </c>
      <c r="S551" t="s">
        <v>34</v>
      </c>
      <c r="T551" t="s">
        <v>37</v>
      </c>
      <c r="U551" t="str">
        <f>IF(Table1[[#This Row],[YearsSince
LastPromotion]]&gt; 4, "Delayed", "Normal")</f>
        <v>Normal</v>
      </c>
      <c r="V551" t="str">
        <f>IF(Table1[[#This Row],[Years
InCurrentRole]]&gt;4, "Role Stagnent", "Normal")</f>
        <v>Role Stagnent</v>
      </c>
      <c r="W551" t="str">
        <f>IF(AND(Table1[[#This Row],[Years
InCurrentRole]]&gt; 4, Table1[[#This Row],[Performance
Rating]]&gt;=3), "High Risk", "Normal")</f>
        <v>High Risk</v>
      </c>
      <c r="X551" t="str">
        <f>IF(Table1[[#This Row],[Performance
Rating]]&gt;=4, "High Performer", "Low Performer")</f>
        <v>Low Performer</v>
      </c>
    </row>
    <row r="552" spans="2:24" x14ac:dyDescent="0.3">
      <c r="B552" t="s">
        <v>19</v>
      </c>
      <c r="C552" t="s">
        <v>20</v>
      </c>
      <c r="D552">
        <v>1</v>
      </c>
      <c r="E552" t="s">
        <v>21</v>
      </c>
      <c r="F552">
        <v>2</v>
      </c>
      <c r="G552" t="s">
        <v>32</v>
      </c>
      <c r="H552">
        <v>3</v>
      </c>
      <c r="I552">
        <v>6347</v>
      </c>
      <c r="J552">
        <v>12</v>
      </c>
      <c r="K552">
        <v>3</v>
      </c>
      <c r="L552">
        <v>1</v>
      </c>
      <c r="M552">
        <v>19</v>
      </c>
      <c r="N552">
        <v>3</v>
      </c>
      <c r="O552">
        <v>3</v>
      </c>
      <c r="P552">
        <v>18</v>
      </c>
      <c r="Q552">
        <v>7</v>
      </c>
      <c r="R552">
        <v>0</v>
      </c>
      <c r="S552" t="s">
        <v>34</v>
      </c>
      <c r="T552" t="s">
        <v>37</v>
      </c>
      <c r="U552" t="str">
        <f>IF(Table1[[#This Row],[YearsSince
LastPromotion]]&gt; 4, "Delayed", "Normal")</f>
        <v>Normal</v>
      </c>
      <c r="V552" t="str">
        <f>IF(Table1[[#This Row],[Years
InCurrentRole]]&gt;4, "Role Stagnent", "Normal")</f>
        <v>Role Stagnent</v>
      </c>
      <c r="W552" t="str">
        <f>IF(AND(Table1[[#This Row],[Years
InCurrentRole]]&gt; 4, Table1[[#This Row],[Performance
Rating]]&gt;=3), "High Risk", "Normal")</f>
        <v>High Risk</v>
      </c>
      <c r="X552" t="str">
        <f>IF(Table1[[#This Row],[Performance
Rating]]&gt;=4, "High Performer", "Low Performer")</f>
        <v>Low Performer</v>
      </c>
    </row>
    <row r="553" spans="2:24" x14ac:dyDescent="0.3">
      <c r="B553" t="s">
        <v>19</v>
      </c>
      <c r="C553" t="s">
        <v>25</v>
      </c>
      <c r="D553">
        <v>1</v>
      </c>
      <c r="E553" t="s">
        <v>21</v>
      </c>
      <c r="F553">
        <v>4</v>
      </c>
      <c r="G553" t="s">
        <v>33</v>
      </c>
      <c r="H553">
        <v>2</v>
      </c>
      <c r="I553">
        <v>13570</v>
      </c>
      <c r="J553">
        <v>23</v>
      </c>
      <c r="K553">
        <v>4</v>
      </c>
      <c r="L553">
        <v>1</v>
      </c>
      <c r="M553">
        <v>21</v>
      </c>
      <c r="N553">
        <v>3</v>
      </c>
      <c r="O553">
        <v>3</v>
      </c>
      <c r="P553">
        <v>20</v>
      </c>
      <c r="Q553">
        <v>7</v>
      </c>
      <c r="R553">
        <v>0</v>
      </c>
      <c r="S553" t="s">
        <v>34</v>
      </c>
      <c r="T553" t="s">
        <v>37</v>
      </c>
      <c r="U553" t="str">
        <f>IF(Table1[[#This Row],[YearsSince
LastPromotion]]&gt; 4, "Delayed", "Normal")</f>
        <v>Normal</v>
      </c>
      <c r="V553" t="str">
        <f>IF(Table1[[#This Row],[Years
InCurrentRole]]&gt;4, "Role Stagnent", "Normal")</f>
        <v>Role Stagnent</v>
      </c>
      <c r="W553" t="str">
        <f>IF(AND(Table1[[#This Row],[Years
InCurrentRole]]&gt; 4, Table1[[#This Row],[Performance
Rating]]&gt;=3), "High Risk", "Normal")</f>
        <v>High Risk</v>
      </c>
      <c r="X553" t="str">
        <f>IF(Table1[[#This Row],[Performance
Rating]]&gt;=4, "High Performer", "Low Performer")</f>
        <v>High Performer</v>
      </c>
    </row>
    <row r="554" spans="2:24" x14ac:dyDescent="0.3">
      <c r="B554" t="s">
        <v>19</v>
      </c>
      <c r="C554" t="s">
        <v>36</v>
      </c>
      <c r="D554">
        <v>1</v>
      </c>
      <c r="E554" t="s">
        <v>21</v>
      </c>
      <c r="F554">
        <v>4</v>
      </c>
      <c r="G554" t="s">
        <v>22</v>
      </c>
      <c r="H554">
        <v>1</v>
      </c>
      <c r="I554">
        <v>16799</v>
      </c>
      <c r="J554">
        <v>14</v>
      </c>
      <c r="K554">
        <v>3</v>
      </c>
      <c r="L554">
        <v>1</v>
      </c>
      <c r="M554">
        <v>21</v>
      </c>
      <c r="N554">
        <v>5</v>
      </c>
      <c r="O554">
        <v>3</v>
      </c>
      <c r="P554">
        <v>20</v>
      </c>
      <c r="Q554">
        <v>7</v>
      </c>
      <c r="R554">
        <v>0</v>
      </c>
      <c r="S554" t="s">
        <v>34</v>
      </c>
      <c r="T554" t="s">
        <v>37</v>
      </c>
      <c r="U554" t="str">
        <f>IF(Table1[[#This Row],[YearsSince
LastPromotion]]&gt; 4, "Delayed", "Normal")</f>
        <v>Normal</v>
      </c>
      <c r="V554" t="str">
        <f>IF(Table1[[#This Row],[Years
InCurrentRole]]&gt;4, "Role Stagnent", "Normal")</f>
        <v>Role Stagnent</v>
      </c>
      <c r="W554" t="str">
        <f>IF(AND(Table1[[#This Row],[Years
InCurrentRole]]&gt; 4, Table1[[#This Row],[Performance
Rating]]&gt;=3), "High Risk", "Normal")</f>
        <v>High Risk</v>
      </c>
      <c r="X554" t="str">
        <f>IF(Table1[[#This Row],[Performance
Rating]]&gt;=4, "High Performer", "Low Performer")</f>
        <v>Low Performer</v>
      </c>
    </row>
    <row r="555" spans="2:24" x14ac:dyDescent="0.3">
      <c r="B555" t="s">
        <v>19</v>
      </c>
      <c r="C555" t="s">
        <v>20</v>
      </c>
      <c r="D555">
        <v>1</v>
      </c>
      <c r="E555" t="s">
        <v>21</v>
      </c>
      <c r="F555">
        <v>2</v>
      </c>
      <c r="G555" t="s">
        <v>32</v>
      </c>
      <c r="H555">
        <v>3</v>
      </c>
      <c r="I555">
        <v>6932</v>
      </c>
      <c r="J555">
        <v>13</v>
      </c>
      <c r="K555">
        <v>3</v>
      </c>
      <c r="L555">
        <v>1</v>
      </c>
      <c r="M555">
        <v>9</v>
      </c>
      <c r="N555">
        <v>2</v>
      </c>
      <c r="O555">
        <v>2</v>
      </c>
      <c r="P555">
        <v>9</v>
      </c>
      <c r="Q555">
        <v>8</v>
      </c>
      <c r="R555">
        <v>0</v>
      </c>
      <c r="S555" t="s">
        <v>23</v>
      </c>
      <c r="T555" t="s">
        <v>37</v>
      </c>
      <c r="U555" t="str">
        <f>IF(Table1[[#This Row],[YearsSince
LastPromotion]]&gt; 4, "Delayed", "Normal")</f>
        <v>Normal</v>
      </c>
      <c r="V555" t="str">
        <f>IF(Table1[[#This Row],[Years
InCurrentRole]]&gt;4, "Role Stagnent", "Normal")</f>
        <v>Role Stagnent</v>
      </c>
      <c r="W555" t="str">
        <f>IF(AND(Table1[[#This Row],[Years
InCurrentRole]]&gt; 4, Table1[[#This Row],[Performance
Rating]]&gt;=3), "High Risk", "Normal")</f>
        <v>High Risk</v>
      </c>
      <c r="X555" t="str">
        <f>IF(Table1[[#This Row],[Performance
Rating]]&gt;=4, "High Performer", "Low Performer")</f>
        <v>Low Performer</v>
      </c>
    </row>
    <row r="556" spans="2:24" x14ac:dyDescent="0.3">
      <c r="B556" t="s">
        <v>19</v>
      </c>
      <c r="C556" t="s">
        <v>20</v>
      </c>
      <c r="D556">
        <v>1</v>
      </c>
      <c r="E556" t="s">
        <v>28</v>
      </c>
      <c r="F556">
        <v>1</v>
      </c>
      <c r="G556" t="s">
        <v>30</v>
      </c>
      <c r="H556">
        <v>4</v>
      </c>
      <c r="I556">
        <v>3482</v>
      </c>
      <c r="J556">
        <v>15</v>
      </c>
      <c r="K556">
        <v>3</v>
      </c>
      <c r="L556">
        <v>2</v>
      </c>
      <c r="M556">
        <v>16</v>
      </c>
      <c r="N556">
        <v>3</v>
      </c>
      <c r="O556">
        <v>2</v>
      </c>
      <c r="P556">
        <v>9</v>
      </c>
      <c r="Q556">
        <v>8</v>
      </c>
      <c r="R556">
        <v>0</v>
      </c>
      <c r="S556" t="s">
        <v>23</v>
      </c>
      <c r="T556" t="s">
        <v>37</v>
      </c>
      <c r="U556" t="str">
        <f>IF(Table1[[#This Row],[YearsSince
LastPromotion]]&gt; 4, "Delayed", "Normal")</f>
        <v>Normal</v>
      </c>
      <c r="V556" t="str">
        <f>IF(Table1[[#This Row],[Years
InCurrentRole]]&gt;4, "Role Stagnent", "Normal")</f>
        <v>Role Stagnent</v>
      </c>
      <c r="W556" t="str">
        <f>IF(AND(Table1[[#This Row],[Years
InCurrentRole]]&gt; 4, Table1[[#This Row],[Performance
Rating]]&gt;=3), "High Risk", "Normal")</f>
        <v>High Risk</v>
      </c>
      <c r="X556" t="str">
        <f>IF(Table1[[#This Row],[Performance
Rating]]&gt;=4, "High Performer", "Low Performer")</f>
        <v>Low Performer</v>
      </c>
    </row>
    <row r="557" spans="2:24" x14ac:dyDescent="0.3">
      <c r="B557" t="s">
        <v>19</v>
      </c>
      <c r="C557" t="s">
        <v>25</v>
      </c>
      <c r="D557">
        <v>1</v>
      </c>
      <c r="E557" t="s">
        <v>28</v>
      </c>
      <c r="F557">
        <v>2</v>
      </c>
      <c r="G557" t="s">
        <v>29</v>
      </c>
      <c r="H557">
        <v>1</v>
      </c>
      <c r="I557">
        <v>3633</v>
      </c>
      <c r="J557">
        <v>15</v>
      </c>
      <c r="K557">
        <v>3</v>
      </c>
      <c r="L557">
        <v>1</v>
      </c>
      <c r="M557">
        <v>9</v>
      </c>
      <c r="N557">
        <v>2</v>
      </c>
      <c r="O557">
        <v>3</v>
      </c>
      <c r="P557">
        <v>9</v>
      </c>
      <c r="Q557">
        <v>8</v>
      </c>
      <c r="R557">
        <v>0</v>
      </c>
      <c r="S557" t="s">
        <v>34</v>
      </c>
      <c r="T557" t="s">
        <v>37</v>
      </c>
      <c r="U557" t="str">
        <f>IF(Table1[[#This Row],[YearsSince
LastPromotion]]&gt; 4, "Delayed", "Normal")</f>
        <v>Normal</v>
      </c>
      <c r="V557" t="str">
        <f>IF(Table1[[#This Row],[Years
InCurrentRole]]&gt;4, "Role Stagnent", "Normal")</f>
        <v>Role Stagnent</v>
      </c>
      <c r="W557" t="str">
        <f>IF(AND(Table1[[#This Row],[Years
InCurrentRole]]&gt; 4, Table1[[#This Row],[Performance
Rating]]&gt;=3), "High Risk", "Normal")</f>
        <v>High Risk</v>
      </c>
      <c r="X557" t="str">
        <f>IF(Table1[[#This Row],[Performance
Rating]]&gt;=4, "High Performer", "Low Performer")</f>
        <v>Low Performer</v>
      </c>
    </row>
    <row r="558" spans="2:24" x14ac:dyDescent="0.3">
      <c r="B558" t="s">
        <v>19</v>
      </c>
      <c r="C558" t="s">
        <v>25</v>
      </c>
      <c r="D558">
        <v>1</v>
      </c>
      <c r="E558" t="s">
        <v>28</v>
      </c>
      <c r="F558">
        <v>3</v>
      </c>
      <c r="G558" t="s">
        <v>35</v>
      </c>
      <c r="H558">
        <v>4</v>
      </c>
      <c r="I558">
        <v>12808</v>
      </c>
      <c r="J558">
        <v>16</v>
      </c>
      <c r="K558">
        <v>3</v>
      </c>
      <c r="L558">
        <v>1</v>
      </c>
      <c r="M558">
        <v>9</v>
      </c>
      <c r="N558">
        <v>3</v>
      </c>
      <c r="O558">
        <v>3</v>
      </c>
      <c r="P558">
        <v>9</v>
      </c>
      <c r="Q558">
        <v>8</v>
      </c>
      <c r="R558">
        <v>0</v>
      </c>
      <c r="S558" t="s">
        <v>34</v>
      </c>
      <c r="T558" t="s">
        <v>37</v>
      </c>
      <c r="U558" t="str">
        <f>IF(Table1[[#This Row],[YearsSince
LastPromotion]]&gt; 4, "Delayed", "Normal")</f>
        <v>Normal</v>
      </c>
      <c r="V558" t="str">
        <f>IF(Table1[[#This Row],[Years
InCurrentRole]]&gt;4, "Role Stagnent", "Normal")</f>
        <v>Role Stagnent</v>
      </c>
      <c r="W558" t="str">
        <f>IF(AND(Table1[[#This Row],[Years
InCurrentRole]]&gt; 4, Table1[[#This Row],[Performance
Rating]]&gt;=3), "High Risk", "Normal")</f>
        <v>High Risk</v>
      </c>
      <c r="X558" t="str">
        <f>IF(Table1[[#This Row],[Performance
Rating]]&gt;=4, "High Performer", "Low Performer")</f>
        <v>Low Performer</v>
      </c>
    </row>
    <row r="559" spans="2:24" x14ac:dyDescent="0.3">
      <c r="B559" t="s">
        <v>19</v>
      </c>
      <c r="C559" t="s">
        <v>20</v>
      </c>
      <c r="D559">
        <v>1</v>
      </c>
      <c r="E559" t="s">
        <v>28</v>
      </c>
      <c r="F559">
        <v>3</v>
      </c>
      <c r="G559" t="s">
        <v>32</v>
      </c>
      <c r="H559">
        <v>3</v>
      </c>
      <c r="I559">
        <v>8380</v>
      </c>
      <c r="J559">
        <v>14</v>
      </c>
      <c r="K559">
        <v>3</v>
      </c>
      <c r="L559">
        <v>2</v>
      </c>
      <c r="M559">
        <v>10</v>
      </c>
      <c r="N559">
        <v>3</v>
      </c>
      <c r="O559">
        <v>3</v>
      </c>
      <c r="P559">
        <v>9</v>
      </c>
      <c r="Q559">
        <v>8</v>
      </c>
      <c r="R559">
        <v>0</v>
      </c>
      <c r="S559" t="s">
        <v>34</v>
      </c>
      <c r="T559" t="s">
        <v>37</v>
      </c>
      <c r="U559" t="str">
        <f>IF(Table1[[#This Row],[YearsSince
LastPromotion]]&gt; 4, "Delayed", "Normal")</f>
        <v>Normal</v>
      </c>
      <c r="V559" t="str">
        <f>IF(Table1[[#This Row],[Years
InCurrentRole]]&gt;4, "Role Stagnent", "Normal")</f>
        <v>Role Stagnent</v>
      </c>
      <c r="W559" t="str">
        <f>IF(AND(Table1[[#This Row],[Years
InCurrentRole]]&gt; 4, Table1[[#This Row],[Performance
Rating]]&gt;=3), "High Risk", "Normal")</f>
        <v>High Risk</v>
      </c>
      <c r="X559" t="str">
        <f>IF(Table1[[#This Row],[Performance
Rating]]&gt;=4, "High Performer", "Low Performer")</f>
        <v>Low Performer</v>
      </c>
    </row>
    <row r="560" spans="2:24" x14ac:dyDescent="0.3">
      <c r="B560" t="s">
        <v>19</v>
      </c>
      <c r="C560" t="s">
        <v>25</v>
      </c>
      <c r="D560">
        <v>1</v>
      </c>
      <c r="E560" t="s">
        <v>21</v>
      </c>
      <c r="F560">
        <v>2</v>
      </c>
      <c r="G560" t="s">
        <v>29</v>
      </c>
      <c r="H560">
        <v>2</v>
      </c>
      <c r="I560">
        <v>5674</v>
      </c>
      <c r="J560">
        <v>15</v>
      </c>
      <c r="K560">
        <v>3</v>
      </c>
      <c r="L560">
        <v>1</v>
      </c>
      <c r="M560">
        <v>11</v>
      </c>
      <c r="N560">
        <v>3</v>
      </c>
      <c r="O560">
        <v>3</v>
      </c>
      <c r="P560">
        <v>9</v>
      </c>
      <c r="Q560">
        <v>8</v>
      </c>
      <c r="R560">
        <v>0</v>
      </c>
      <c r="S560" t="s">
        <v>34</v>
      </c>
      <c r="T560" t="s">
        <v>37</v>
      </c>
      <c r="U560" t="str">
        <f>IF(Table1[[#This Row],[YearsSince
LastPromotion]]&gt; 4, "Delayed", "Normal")</f>
        <v>Normal</v>
      </c>
      <c r="V560" t="str">
        <f>IF(Table1[[#This Row],[Years
InCurrentRole]]&gt;4, "Role Stagnent", "Normal")</f>
        <v>Role Stagnent</v>
      </c>
      <c r="W560" t="str">
        <f>IF(AND(Table1[[#This Row],[Years
InCurrentRole]]&gt; 4, Table1[[#This Row],[Performance
Rating]]&gt;=3), "High Risk", "Normal")</f>
        <v>High Risk</v>
      </c>
      <c r="X560" t="str">
        <f>IF(Table1[[#This Row],[Performance
Rating]]&gt;=4, "High Performer", "Low Performer")</f>
        <v>Low Performer</v>
      </c>
    </row>
    <row r="561" spans="2:24" x14ac:dyDescent="0.3">
      <c r="B561" t="s">
        <v>19</v>
      </c>
      <c r="C561" t="s">
        <v>25</v>
      </c>
      <c r="D561">
        <v>1</v>
      </c>
      <c r="E561" t="s">
        <v>21</v>
      </c>
      <c r="F561">
        <v>4</v>
      </c>
      <c r="G561" t="s">
        <v>33</v>
      </c>
      <c r="H561">
        <v>4</v>
      </c>
      <c r="I561">
        <v>13826</v>
      </c>
      <c r="J561">
        <v>22</v>
      </c>
      <c r="K561">
        <v>4</v>
      </c>
      <c r="L561">
        <v>0</v>
      </c>
      <c r="M561">
        <v>31</v>
      </c>
      <c r="N561">
        <v>3</v>
      </c>
      <c r="O561">
        <v>3</v>
      </c>
      <c r="P561">
        <v>9</v>
      </c>
      <c r="Q561">
        <v>8</v>
      </c>
      <c r="R561">
        <v>0</v>
      </c>
      <c r="S561" t="s">
        <v>34</v>
      </c>
      <c r="T561" t="s">
        <v>37</v>
      </c>
      <c r="U561" t="str">
        <f>IF(Table1[[#This Row],[YearsSince
LastPromotion]]&gt; 4, "Delayed", "Normal")</f>
        <v>Normal</v>
      </c>
      <c r="V561" t="str">
        <f>IF(Table1[[#This Row],[Years
InCurrentRole]]&gt;4, "Role Stagnent", "Normal")</f>
        <v>Role Stagnent</v>
      </c>
      <c r="W561" t="str">
        <f>IF(AND(Table1[[#This Row],[Years
InCurrentRole]]&gt; 4, Table1[[#This Row],[Performance
Rating]]&gt;=3), "High Risk", "Normal")</f>
        <v>High Risk</v>
      </c>
      <c r="X561" t="str">
        <f>IF(Table1[[#This Row],[Performance
Rating]]&gt;=4, "High Performer", "Low Performer")</f>
        <v>High Performer</v>
      </c>
    </row>
    <row r="562" spans="2:24" x14ac:dyDescent="0.3">
      <c r="B562" t="s">
        <v>19</v>
      </c>
      <c r="C562" t="s">
        <v>20</v>
      </c>
      <c r="D562">
        <v>1</v>
      </c>
      <c r="E562" t="s">
        <v>28</v>
      </c>
      <c r="F562">
        <v>2</v>
      </c>
      <c r="G562" t="s">
        <v>32</v>
      </c>
      <c r="H562">
        <v>1</v>
      </c>
      <c r="I562">
        <v>4037</v>
      </c>
      <c r="J562">
        <v>22</v>
      </c>
      <c r="K562">
        <v>4</v>
      </c>
      <c r="L562">
        <v>1</v>
      </c>
      <c r="M562">
        <v>9</v>
      </c>
      <c r="N562">
        <v>5</v>
      </c>
      <c r="O562">
        <v>3</v>
      </c>
      <c r="P562">
        <v>9</v>
      </c>
      <c r="Q562">
        <v>8</v>
      </c>
      <c r="R562">
        <v>0</v>
      </c>
      <c r="S562" t="s">
        <v>34</v>
      </c>
      <c r="T562" t="s">
        <v>37</v>
      </c>
      <c r="U562" t="str">
        <f>IF(Table1[[#This Row],[YearsSince
LastPromotion]]&gt; 4, "Delayed", "Normal")</f>
        <v>Normal</v>
      </c>
      <c r="V562" t="str">
        <f>IF(Table1[[#This Row],[Years
InCurrentRole]]&gt;4, "Role Stagnent", "Normal")</f>
        <v>Role Stagnent</v>
      </c>
      <c r="W562" t="str">
        <f>IF(AND(Table1[[#This Row],[Years
InCurrentRole]]&gt; 4, Table1[[#This Row],[Performance
Rating]]&gt;=3), "High Risk", "Normal")</f>
        <v>High Risk</v>
      </c>
      <c r="X562" t="str">
        <f>IF(Table1[[#This Row],[Performance
Rating]]&gt;=4, "High Performer", "Low Performer")</f>
        <v>High Performer</v>
      </c>
    </row>
    <row r="563" spans="2:24" x14ac:dyDescent="0.3">
      <c r="B563" t="s">
        <v>19</v>
      </c>
      <c r="C563" t="s">
        <v>25</v>
      </c>
      <c r="D563">
        <v>1</v>
      </c>
      <c r="E563" t="s">
        <v>28</v>
      </c>
      <c r="F563">
        <v>3</v>
      </c>
      <c r="G563" t="s">
        <v>35</v>
      </c>
      <c r="H563">
        <v>4</v>
      </c>
      <c r="I563">
        <v>12185</v>
      </c>
      <c r="J563">
        <v>14</v>
      </c>
      <c r="K563">
        <v>3</v>
      </c>
      <c r="L563">
        <v>3</v>
      </c>
      <c r="M563">
        <v>10</v>
      </c>
      <c r="N563">
        <v>1</v>
      </c>
      <c r="O563">
        <v>3</v>
      </c>
      <c r="P563">
        <v>10</v>
      </c>
      <c r="Q563">
        <v>8</v>
      </c>
      <c r="R563">
        <v>0</v>
      </c>
      <c r="S563" t="s">
        <v>34</v>
      </c>
      <c r="T563" t="s">
        <v>37</v>
      </c>
      <c r="U563" t="str">
        <f>IF(Table1[[#This Row],[YearsSince
LastPromotion]]&gt; 4, "Delayed", "Normal")</f>
        <v>Normal</v>
      </c>
      <c r="V563" t="str">
        <f>IF(Table1[[#This Row],[Years
InCurrentRole]]&gt;4, "Role Stagnent", "Normal")</f>
        <v>Role Stagnent</v>
      </c>
      <c r="W563" t="str">
        <f>IF(AND(Table1[[#This Row],[Years
InCurrentRole]]&gt; 4, Table1[[#This Row],[Performance
Rating]]&gt;=3), "High Risk", "Normal")</f>
        <v>High Risk</v>
      </c>
      <c r="X563" t="str">
        <f>IF(Table1[[#This Row],[Performance
Rating]]&gt;=4, "High Performer", "Low Performer")</f>
        <v>Low Performer</v>
      </c>
    </row>
    <row r="564" spans="2:24" x14ac:dyDescent="0.3">
      <c r="B564" t="s">
        <v>19</v>
      </c>
      <c r="C564" t="s">
        <v>20</v>
      </c>
      <c r="D564">
        <v>1</v>
      </c>
      <c r="E564" t="s">
        <v>21</v>
      </c>
      <c r="F564">
        <v>2</v>
      </c>
      <c r="G564" t="s">
        <v>32</v>
      </c>
      <c r="H564">
        <v>4</v>
      </c>
      <c r="I564">
        <v>5204</v>
      </c>
      <c r="J564">
        <v>11</v>
      </c>
      <c r="K564">
        <v>3</v>
      </c>
      <c r="L564">
        <v>0</v>
      </c>
      <c r="M564">
        <v>10</v>
      </c>
      <c r="N564">
        <v>2</v>
      </c>
      <c r="O564">
        <v>3</v>
      </c>
      <c r="P564">
        <v>10</v>
      </c>
      <c r="Q564">
        <v>8</v>
      </c>
      <c r="R564">
        <v>0</v>
      </c>
      <c r="S564" t="s">
        <v>34</v>
      </c>
      <c r="T564" t="s">
        <v>37</v>
      </c>
      <c r="U564" t="str">
        <f>IF(Table1[[#This Row],[YearsSince
LastPromotion]]&gt; 4, "Delayed", "Normal")</f>
        <v>Normal</v>
      </c>
      <c r="V564" t="str">
        <f>IF(Table1[[#This Row],[Years
InCurrentRole]]&gt;4, "Role Stagnent", "Normal")</f>
        <v>Role Stagnent</v>
      </c>
      <c r="W564" t="str">
        <f>IF(AND(Table1[[#This Row],[Years
InCurrentRole]]&gt; 4, Table1[[#This Row],[Performance
Rating]]&gt;=3), "High Risk", "Normal")</f>
        <v>High Risk</v>
      </c>
      <c r="X564" t="str">
        <f>IF(Table1[[#This Row],[Performance
Rating]]&gt;=4, "High Performer", "Low Performer")</f>
        <v>Low Performer</v>
      </c>
    </row>
    <row r="565" spans="2:24" x14ac:dyDescent="0.3">
      <c r="B565" t="s">
        <v>19</v>
      </c>
      <c r="C565" t="s">
        <v>25</v>
      </c>
      <c r="D565">
        <v>1</v>
      </c>
      <c r="E565" t="s">
        <v>28</v>
      </c>
      <c r="F565">
        <v>2</v>
      </c>
      <c r="G565" t="s">
        <v>29</v>
      </c>
      <c r="H565">
        <v>3</v>
      </c>
      <c r="I565">
        <v>4197</v>
      </c>
      <c r="J565">
        <v>11</v>
      </c>
      <c r="K565">
        <v>3</v>
      </c>
      <c r="L565">
        <v>1</v>
      </c>
      <c r="M565">
        <v>10</v>
      </c>
      <c r="N565">
        <v>2</v>
      </c>
      <c r="O565">
        <v>3</v>
      </c>
      <c r="P565">
        <v>10</v>
      </c>
      <c r="Q565">
        <v>8</v>
      </c>
      <c r="R565">
        <v>0</v>
      </c>
      <c r="S565" t="s">
        <v>34</v>
      </c>
      <c r="T565" t="s">
        <v>37</v>
      </c>
      <c r="U565" t="str">
        <f>IF(Table1[[#This Row],[YearsSince
LastPromotion]]&gt; 4, "Delayed", "Normal")</f>
        <v>Normal</v>
      </c>
      <c r="V565" t="str">
        <f>IF(Table1[[#This Row],[Years
InCurrentRole]]&gt;4, "Role Stagnent", "Normal")</f>
        <v>Role Stagnent</v>
      </c>
      <c r="W565" t="str">
        <f>IF(AND(Table1[[#This Row],[Years
InCurrentRole]]&gt; 4, Table1[[#This Row],[Performance
Rating]]&gt;=3), "High Risk", "Normal")</f>
        <v>High Risk</v>
      </c>
      <c r="X565" t="str">
        <f>IF(Table1[[#This Row],[Performance
Rating]]&gt;=4, "High Performer", "Low Performer")</f>
        <v>Low Performer</v>
      </c>
    </row>
    <row r="566" spans="2:24" x14ac:dyDescent="0.3">
      <c r="B566" t="s">
        <v>19</v>
      </c>
      <c r="C566" t="s">
        <v>25</v>
      </c>
      <c r="D566">
        <v>1</v>
      </c>
      <c r="E566" t="s">
        <v>21</v>
      </c>
      <c r="F566">
        <v>3</v>
      </c>
      <c r="G566" t="s">
        <v>35</v>
      </c>
      <c r="H566">
        <v>2</v>
      </c>
      <c r="I566">
        <v>12061</v>
      </c>
      <c r="J566">
        <v>17</v>
      </c>
      <c r="K566">
        <v>3</v>
      </c>
      <c r="L566">
        <v>1</v>
      </c>
      <c r="M566">
        <v>19</v>
      </c>
      <c r="N566">
        <v>2</v>
      </c>
      <c r="O566">
        <v>3</v>
      </c>
      <c r="P566">
        <v>10</v>
      </c>
      <c r="Q566">
        <v>8</v>
      </c>
      <c r="R566">
        <v>0</v>
      </c>
      <c r="S566" t="s">
        <v>34</v>
      </c>
      <c r="T566" t="s">
        <v>37</v>
      </c>
      <c r="U566" t="str">
        <f>IF(Table1[[#This Row],[YearsSince
LastPromotion]]&gt; 4, "Delayed", "Normal")</f>
        <v>Normal</v>
      </c>
      <c r="V566" t="str">
        <f>IF(Table1[[#This Row],[Years
InCurrentRole]]&gt;4, "Role Stagnent", "Normal")</f>
        <v>Role Stagnent</v>
      </c>
      <c r="W566" t="str">
        <f>IF(AND(Table1[[#This Row],[Years
InCurrentRole]]&gt; 4, Table1[[#This Row],[Performance
Rating]]&gt;=3), "High Risk", "Normal")</f>
        <v>High Risk</v>
      </c>
      <c r="X566" t="str">
        <f>IF(Table1[[#This Row],[Performance
Rating]]&gt;=4, "High Performer", "Low Performer")</f>
        <v>Low Performer</v>
      </c>
    </row>
    <row r="567" spans="2:24" x14ac:dyDescent="0.3">
      <c r="B567" t="s">
        <v>19</v>
      </c>
      <c r="C567" t="s">
        <v>20</v>
      </c>
      <c r="D567">
        <v>1</v>
      </c>
      <c r="E567" t="s">
        <v>28</v>
      </c>
      <c r="F567">
        <v>3</v>
      </c>
      <c r="G567" t="s">
        <v>32</v>
      </c>
      <c r="H567">
        <v>2</v>
      </c>
      <c r="I567">
        <v>7295</v>
      </c>
      <c r="J567">
        <v>13</v>
      </c>
      <c r="K567">
        <v>3</v>
      </c>
      <c r="L567">
        <v>2</v>
      </c>
      <c r="M567">
        <v>10</v>
      </c>
      <c r="N567">
        <v>3</v>
      </c>
      <c r="O567">
        <v>3</v>
      </c>
      <c r="P567">
        <v>10</v>
      </c>
      <c r="Q567">
        <v>8</v>
      </c>
      <c r="R567">
        <v>0</v>
      </c>
      <c r="S567" t="s">
        <v>34</v>
      </c>
      <c r="T567" t="s">
        <v>37</v>
      </c>
      <c r="U567" t="str">
        <f>IF(Table1[[#This Row],[YearsSince
LastPromotion]]&gt; 4, "Delayed", "Normal")</f>
        <v>Normal</v>
      </c>
      <c r="V567" t="str">
        <f>IF(Table1[[#This Row],[Years
InCurrentRole]]&gt;4, "Role Stagnent", "Normal")</f>
        <v>Role Stagnent</v>
      </c>
      <c r="W567" t="str">
        <f>IF(AND(Table1[[#This Row],[Years
InCurrentRole]]&gt; 4, Table1[[#This Row],[Performance
Rating]]&gt;=3), "High Risk", "Normal")</f>
        <v>High Risk</v>
      </c>
      <c r="X567" t="str">
        <f>IF(Table1[[#This Row],[Performance
Rating]]&gt;=4, "High Performer", "Low Performer")</f>
        <v>Low Performer</v>
      </c>
    </row>
    <row r="568" spans="2:24" x14ac:dyDescent="0.3">
      <c r="B568" t="s">
        <v>19</v>
      </c>
      <c r="C568" t="s">
        <v>25</v>
      </c>
      <c r="D568">
        <v>1</v>
      </c>
      <c r="E568" t="s">
        <v>28</v>
      </c>
      <c r="F568">
        <v>2</v>
      </c>
      <c r="G568" t="s">
        <v>29</v>
      </c>
      <c r="H568">
        <v>3</v>
      </c>
      <c r="I568">
        <v>3069</v>
      </c>
      <c r="J568">
        <v>15</v>
      </c>
      <c r="K568">
        <v>3</v>
      </c>
      <c r="L568">
        <v>1</v>
      </c>
      <c r="M568">
        <v>11</v>
      </c>
      <c r="N568">
        <v>3</v>
      </c>
      <c r="O568">
        <v>3</v>
      </c>
      <c r="P568">
        <v>10</v>
      </c>
      <c r="Q568">
        <v>8</v>
      </c>
      <c r="R568">
        <v>0</v>
      </c>
      <c r="S568" t="s">
        <v>34</v>
      </c>
      <c r="T568" t="s">
        <v>37</v>
      </c>
      <c r="U568" t="str">
        <f>IF(Table1[[#This Row],[YearsSince
LastPromotion]]&gt; 4, "Delayed", "Normal")</f>
        <v>Normal</v>
      </c>
      <c r="V568" t="str">
        <f>IF(Table1[[#This Row],[Years
InCurrentRole]]&gt;4, "Role Stagnent", "Normal")</f>
        <v>Role Stagnent</v>
      </c>
      <c r="W568" t="str">
        <f>IF(AND(Table1[[#This Row],[Years
InCurrentRole]]&gt; 4, Table1[[#This Row],[Performance
Rating]]&gt;=3), "High Risk", "Normal")</f>
        <v>High Risk</v>
      </c>
      <c r="X568" t="str">
        <f>IF(Table1[[#This Row],[Performance
Rating]]&gt;=4, "High Performer", "Low Performer")</f>
        <v>Low Performer</v>
      </c>
    </row>
    <row r="569" spans="2:24" x14ac:dyDescent="0.3">
      <c r="B569" t="s">
        <v>19</v>
      </c>
      <c r="C569" t="s">
        <v>25</v>
      </c>
      <c r="D569">
        <v>1</v>
      </c>
      <c r="E569" t="s">
        <v>21</v>
      </c>
      <c r="F569">
        <v>1</v>
      </c>
      <c r="G569" t="s">
        <v>29</v>
      </c>
      <c r="H569">
        <v>4</v>
      </c>
      <c r="I569">
        <v>3131</v>
      </c>
      <c r="J569">
        <v>13</v>
      </c>
      <c r="K569">
        <v>3</v>
      </c>
      <c r="L569">
        <v>1</v>
      </c>
      <c r="M569">
        <v>10</v>
      </c>
      <c r="N569">
        <v>5</v>
      </c>
      <c r="O569">
        <v>3</v>
      </c>
      <c r="P569">
        <v>10</v>
      </c>
      <c r="Q569">
        <v>8</v>
      </c>
      <c r="R569">
        <v>0</v>
      </c>
      <c r="S569" t="s">
        <v>34</v>
      </c>
      <c r="T569" t="s">
        <v>37</v>
      </c>
      <c r="U569" t="str">
        <f>IF(Table1[[#This Row],[YearsSince
LastPromotion]]&gt; 4, "Delayed", "Normal")</f>
        <v>Normal</v>
      </c>
      <c r="V569" t="str">
        <f>IF(Table1[[#This Row],[Years
InCurrentRole]]&gt;4, "Role Stagnent", "Normal")</f>
        <v>Role Stagnent</v>
      </c>
      <c r="W569" t="str">
        <f>IF(AND(Table1[[#This Row],[Years
InCurrentRole]]&gt; 4, Table1[[#This Row],[Performance
Rating]]&gt;=3), "High Risk", "Normal")</f>
        <v>High Risk</v>
      </c>
      <c r="X569" t="str">
        <f>IF(Table1[[#This Row],[Performance
Rating]]&gt;=4, "High Performer", "Low Performer")</f>
        <v>Low Performer</v>
      </c>
    </row>
    <row r="570" spans="2:24" x14ac:dyDescent="0.3">
      <c r="B570" t="s">
        <v>19</v>
      </c>
      <c r="C570" t="s">
        <v>25</v>
      </c>
      <c r="D570">
        <v>1</v>
      </c>
      <c r="E570" t="s">
        <v>28</v>
      </c>
      <c r="F570">
        <v>3</v>
      </c>
      <c r="G570" t="s">
        <v>33</v>
      </c>
      <c r="H570">
        <v>2</v>
      </c>
      <c r="I570">
        <v>10648</v>
      </c>
      <c r="J570">
        <v>25</v>
      </c>
      <c r="K570">
        <v>4</v>
      </c>
      <c r="L570">
        <v>1</v>
      </c>
      <c r="M570">
        <v>13</v>
      </c>
      <c r="N570">
        <v>6</v>
      </c>
      <c r="O570">
        <v>4</v>
      </c>
      <c r="P570">
        <v>13</v>
      </c>
      <c r="Q570">
        <v>8</v>
      </c>
      <c r="R570">
        <v>0</v>
      </c>
      <c r="S570" t="s">
        <v>34</v>
      </c>
      <c r="T570" t="s">
        <v>37</v>
      </c>
      <c r="U570" t="str">
        <f>IF(Table1[[#This Row],[YearsSince
LastPromotion]]&gt; 4, "Delayed", "Normal")</f>
        <v>Normal</v>
      </c>
      <c r="V570" t="str">
        <f>IF(Table1[[#This Row],[Years
InCurrentRole]]&gt;4, "Role Stagnent", "Normal")</f>
        <v>Role Stagnent</v>
      </c>
      <c r="W570" t="str">
        <f>IF(AND(Table1[[#This Row],[Years
InCurrentRole]]&gt; 4, Table1[[#This Row],[Performance
Rating]]&gt;=3), "High Risk", "Normal")</f>
        <v>High Risk</v>
      </c>
      <c r="X570" t="str">
        <f>IF(Table1[[#This Row],[Performance
Rating]]&gt;=4, "High Performer", "Low Performer")</f>
        <v>High Performer</v>
      </c>
    </row>
    <row r="571" spans="2:24" x14ac:dyDescent="0.3">
      <c r="B571" t="s">
        <v>19</v>
      </c>
      <c r="C571" t="s">
        <v>36</v>
      </c>
      <c r="D571">
        <v>1</v>
      </c>
      <c r="E571" t="s">
        <v>28</v>
      </c>
      <c r="F571">
        <v>3</v>
      </c>
      <c r="G571" t="s">
        <v>36</v>
      </c>
      <c r="H571">
        <v>1</v>
      </c>
      <c r="I571">
        <v>7988</v>
      </c>
      <c r="J571">
        <v>13</v>
      </c>
      <c r="K571">
        <v>3</v>
      </c>
      <c r="L571">
        <v>0</v>
      </c>
      <c r="M571">
        <v>10</v>
      </c>
      <c r="N571">
        <v>3</v>
      </c>
      <c r="O571">
        <v>2</v>
      </c>
      <c r="P571">
        <v>10</v>
      </c>
      <c r="Q571">
        <v>9</v>
      </c>
      <c r="R571">
        <v>0</v>
      </c>
      <c r="S571" t="s">
        <v>23</v>
      </c>
      <c r="T571" t="s">
        <v>37</v>
      </c>
      <c r="U571" t="str">
        <f>IF(Table1[[#This Row],[YearsSince
LastPromotion]]&gt; 4, "Delayed", "Normal")</f>
        <v>Normal</v>
      </c>
      <c r="V571" t="str">
        <f>IF(Table1[[#This Row],[Years
InCurrentRole]]&gt;4, "Role Stagnent", "Normal")</f>
        <v>Role Stagnent</v>
      </c>
      <c r="W571" t="str">
        <f>IF(AND(Table1[[#This Row],[Years
InCurrentRole]]&gt; 4, Table1[[#This Row],[Performance
Rating]]&gt;=3), "High Risk", "Normal")</f>
        <v>High Risk</v>
      </c>
      <c r="X571" t="str">
        <f>IF(Table1[[#This Row],[Performance
Rating]]&gt;=4, "High Performer", "Low Performer")</f>
        <v>Low Performer</v>
      </c>
    </row>
    <row r="572" spans="2:24" x14ac:dyDescent="0.3">
      <c r="B572" t="s">
        <v>19</v>
      </c>
      <c r="C572" t="s">
        <v>25</v>
      </c>
      <c r="D572">
        <v>1</v>
      </c>
      <c r="E572" t="s">
        <v>28</v>
      </c>
      <c r="F572">
        <v>3</v>
      </c>
      <c r="G572" t="s">
        <v>31</v>
      </c>
      <c r="H572">
        <v>3</v>
      </c>
      <c r="I572">
        <v>7510</v>
      </c>
      <c r="J572">
        <v>17</v>
      </c>
      <c r="K572">
        <v>3</v>
      </c>
      <c r="L572">
        <v>1</v>
      </c>
      <c r="M572">
        <v>10</v>
      </c>
      <c r="N572">
        <v>1</v>
      </c>
      <c r="O572">
        <v>3</v>
      </c>
      <c r="P572">
        <v>10</v>
      </c>
      <c r="Q572">
        <v>9</v>
      </c>
      <c r="R572">
        <v>0</v>
      </c>
      <c r="S572" t="s">
        <v>34</v>
      </c>
      <c r="T572" t="s">
        <v>37</v>
      </c>
      <c r="U572" t="str">
        <f>IF(Table1[[#This Row],[YearsSince
LastPromotion]]&gt; 4, "Delayed", "Normal")</f>
        <v>Normal</v>
      </c>
      <c r="V572" t="str">
        <f>IF(Table1[[#This Row],[Years
InCurrentRole]]&gt;4, "Role Stagnent", "Normal")</f>
        <v>Role Stagnent</v>
      </c>
      <c r="W572" t="str">
        <f>IF(AND(Table1[[#This Row],[Years
InCurrentRole]]&gt; 4, Table1[[#This Row],[Performance
Rating]]&gt;=3), "High Risk", "Normal")</f>
        <v>High Risk</v>
      </c>
      <c r="X572" t="str">
        <f>IF(Table1[[#This Row],[Performance
Rating]]&gt;=4, "High Performer", "Low Performer")</f>
        <v>Low Performer</v>
      </c>
    </row>
    <row r="573" spans="2:24" x14ac:dyDescent="0.3">
      <c r="B573" t="s">
        <v>19</v>
      </c>
      <c r="C573" t="s">
        <v>25</v>
      </c>
      <c r="D573">
        <v>1</v>
      </c>
      <c r="E573" t="s">
        <v>28</v>
      </c>
      <c r="F573">
        <v>3</v>
      </c>
      <c r="G573" t="s">
        <v>33</v>
      </c>
      <c r="H573">
        <v>4</v>
      </c>
      <c r="I573">
        <v>7898</v>
      </c>
      <c r="J573">
        <v>11</v>
      </c>
      <c r="K573">
        <v>3</v>
      </c>
      <c r="L573">
        <v>0</v>
      </c>
      <c r="M573">
        <v>11</v>
      </c>
      <c r="N573">
        <v>2</v>
      </c>
      <c r="O573">
        <v>3</v>
      </c>
      <c r="P573">
        <v>10</v>
      </c>
      <c r="Q573">
        <v>9</v>
      </c>
      <c r="R573">
        <v>0</v>
      </c>
      <c r="S573" t="s">
        <v>34</v>
      </c>
      <c r="T573" t="s">
        <v>37</v>
      </c>
      <c r="U573" t="str">
        <f>IF(Table1[[#This Row],[YearsSince
LastPromotion]]&gt; 4, "Delayed", "Normal")</f>
        <v>Normal</v>
      </c>
      <c r="V573" t="str">
        <f>IF(Table1[[#This Row],[Years
InCurrentRole]]&gt;4, "Role Stagnent", "Normal")</f>
        <v>Role Stagnent</v>
      </c>
      <c r="W573" t="str">
        <f>IF(AND(Table1[[#This Row],[Years
InCurrentRole]]&gt; 4, Table1[[#This Row],[Performance
Rating]]&gt;=3), "High Risk", "Normal")</f>
        <v>High Risk</v>
      </c>
      <c r="X573" t="str">
        <f>IF(Table1[[#This Row],[Performance
Rating]]&gt;=4, "High Performer", "Low Performer")</f>
        <v>Low Performer</v>
      </c>
    </row>
    <row r="574" spans="2:24" x14ac:dyDescent="0.3">
      <c r="B574" t="s">
        <v>19</v>
      </c>
      <c r="C574" t="s">
        <v>20</v>
      </c>
      <c r="D574">
        <v>1</v>
      </c>
      <c r="E574" t="s">
        <v>28</v>
      </c>
      <c r="F574">
        <v>3</v>
      </c>
      <c r="G574" t="s">
        <v>32</v>
      </c>
      <c r="H574">
        <v>4</v>
      </c>
      <c r="I574">
        <v>7823</v>
      </c>
      <c r="J574">
        <v>13</v>
      </c>
      <c r="K574">
        <v>3</v>
      </c>
      <c r="L574">
        <v>1</v>
      </c>
      <c r="M574">
        <v>12</v>
      </c>
      <c r="N574">
        <v>2</v>
      </c>
      <c r="O574">
        <v>3</v>
      </c>
      <c r="P574">
        <v>10</v>
      </c>
      <c r="Q574">
        <v>9</v>
      </c>
      <c r="R574">
        <v>0</v>
      </c>
      <c r="S574" t="s">
        <v>34</v>
      </c>
      <c r="T574" t="s">
        <v>37</v>
      </c>
      <c r="U574" t="str">
        <f>IF(Table1[[#This Row],[YearsSince
LastPromotion]]&gt; 4, "Delayed", "Normal")</f>
        <v>Normal</v>
      </c>
      <c r="V574" t="str">
        <f>IF(Table1[[#This Row],[Years
InCurrentRole]]&gt;4, "Role Stagnent", "Normal")</f>
        <v>Role Stagnent</v>
      </c>
      <c r="W574" t="str">
        <f>IF(AND(Table1[[#This Row],[Years
InCurrentRole]]&gt; 4, Table1[[#This Row],[Performance
Rating]]&gt;=3), "High Risk", "Normal")</f>
        <v>High Risk</v>
      </c>
      <c r="X574" t="str">
        <f>IF(Table1[[#This Row],[Performance
Rating]]&gt;=4, "High Performer", "Low Performer")</f>
        <v>Low Performer</v>
      </c>
    </row>
    <row r="575" spans="2:24" x14ac:dyDescent="0.3">
      <c r="B575" t="s">
        <v>19</v>
      </c>
      <c r="C575" t="s">
        <v>25</v>
      </c>
      <c r="D575">
        <v>1</v>
      </c>
      <c r="E575" t="s">
        <v>28</v>
      </c>
      <c r="F575">
        <v>4</v>
      </c>
      <c r="G575" t="s">
        <v>35</v>
      </c>
      <c r="H575">
        <v>4</v>
      </c>
      <c r="I575">
        <v>17779</v>
      </c>
      <c r="J575">
        <v>14</v>
      </c>
      <c r="K575">
        <v>3</v>
      </c>
      <c r="L575">
        <v>0</v>
      </c>
      <c r="M575">
        <v>36</v>
      </c>
      <c r="N575">
        <v>2</v>
      </c>
      <c r="O575">
        <v>3</v>
      </c>
      <c r="P575">
        <v>10</v>
      </c>
      <c r="Q575">
        <v>9</v>
      </c>
      <c r="R575">
        <v>0</v>
      </c>
      <c r="S575" t="s">
        <v>34</v>
      </c>
      <c r="T575" t="s">
        <v>37</v>
      </c>
      <c r="U575" t="str">
        <f>IF(Table1[[#This Row],[YearsSince
LastPromotion]]&gt; 4, "Delayed", "Normal")</f>
        <v>Normal</v>
      </c>
      <c r="V575" t="str">
        <f>IF(Table1[[#This Row],[Years
InCurrentRole]]&gt;4, "Role Stagnent", "Normal")</f>
        <v>Role Stagnent</v>
      </c>
      <c r="W575" t="str">
        <f>IF(AND(Table1[[#This Row],[Years
InCurrentRole]]&gt; 4, Table1[[#This Row],[Performance
Rating]]&gt;=3), "High Risk", "Normal")</f>
        <v>High Risk</v>
      </c>
      <c r="X575" t="str">
        <f>IF(Table1[[#This Row],[Performance
Rating]]&gt;=4, "High Performer", "Low Performer")</f>
        <v>Low Performer</v>
      </c>
    </row>
    <row r="576" spans="2:24" x14ac:dyDescent="0.3">
      <c r="B576" t="s">
        <v>19</v>
      </c>
      <c r="C576" t="s">
        <v>25</v>
      </c>
      <c r="D576">
        <v>1</v>
      </c>
      <c r="E576" t="s">
        <v>28</v>
      </c>
      <c r="F576">
        <v>2</v>
      </c>
      <c r="G576" t="s">
        <v>33</v>
      </c>
      <c r="H576">
        <v>4</v>
      </c>
      <c r="I576">
        <v>7779</v>
      </c>
      <c r="J576">
        <v>20</v>
      </c>
      <c r="K576">
        <v>4</v>
      </c>
      <c r="L576">
        <v>0</v>
      </c>
      <c r="M576">
        <v>18</v>
      </c>
      <c r="N576">
        <v>0</v>
      </c>
      <c r="O576">
        <v>3</v>
      </c>
      <c r="P576">
        <v>11</v>
      </c>
      <c r="Q576">
        <v>9</v>
      </c>
      <c r="R576">
        <v>0</v>
      </c>
      <c r="S576" t="s">
        <v>34</v>
      </c>
      <c r="T576" t="s">
        <v>37</v>
      </c>
      <c r="U576" t="str">
        <f>IF(Table1[[#This Row],[YearsSince
LastPromotion]]&gt; 4, "Delayed", "Normal")</f>
        <v>Normal</v>
      </c>
      <c r="V576" t="str">
        <f>IF(Table1[[#This Row],[Years
InCurrentRole]]&gt;4, "Role Stagnent", "Normal")</f>
        <v>Role Stagnent</v>
      </c>
      <c r="W576" t="str">
        <f>IF(AND(Table1[[#This Row],[Years
InCurrentRole]]&gt; 4, Table1[[#This Row],[Performance
Rating]]&gt;=3), "High Risk", "Normal")</f>
        <v>High Risk</v>
      </c>
      <c r="X576" t="str">
        <f>IF(Table1[[#This Row],[Performance
Rating]]&gt;=4, "High Performer", "Low Performer")</f>
        <v>High Performer</v>
      </c>
    </row>
    <row r="577" spans="2:24" x14ac:dyDescent="0.3">
      <c r="B577" t="s">
        <v>19</v>
      </c>
      <c r="C577" t="s">
        <v>25</v>
      </c>
      <c r="D577">
        <v>1</v>
      </c>
      <c r="E577" t="s">
        <v>28</v>
      </c>
      <c r="F577">
        <v>2</v>
      </c>
      <c r="G577" t="s">
        <v>29</v>
      </c>
      <c r="H577">
        <v>2</v>
      </c>
      <c r="I577">
        <v>2348</v>
      </c>
      <c r="J577">
        <v>18</v>
      </c>
      <c r="K577">
        <v>3</v>
      </c>
      <c r="L577">
        <v>1</v>
      </c>
      <c r="M577">
        <v>20</v>
      </c>
      <c r="N577">
        <v>2</v>
      </c>
      <c r="O577">
        <v>1</v>
      </c>
      <c r="P577">
        <v>17</v>
      </c>
      <c r="Q577">
        <v>9</v>
      </c>
      <c r="R577">
        <v>0</v>
      </c>
      <c r="S577" t="s">
        <v>23</v>
      </c>
      <c r="T577" t="s">
        <v>37</v>
      </c>
      <c r="U577" t="str">
        <f>IF(Table1[[#This Row],[YearsSince
LastPromotion]]&gt; 4, "Delayed", "Normal")</f>
        <v>Normal</v>
      </c>
      <c r="V577" t="str">
        <f>IF(Table1[[#This Row],[Years
InCurrentRole]]&gt;4, "Role Stagnent", "Normal")</f>
        <v>Role Stagnent</v>
      </c>
      <c r="W577" t="str">
        <f>IF(AND(Table1[[#This Row],[Years
InCurrentRole]]&gt; 4, Table1[[#This Row],[Performance
Rating]]&gt;=3), "High Risk", "Normal")</f>
        <v>High Risk</v>
      </c>
      <c r="X577" t="str">
        <f>IF(Table1[[#This Row],[Performance
Rating]]&gt;=4, "High Performer", "Low Performer")</f>
        <v>Low Performer</v>
      </c>
    </row>
    <row r="578" spans="2:24" x14ac:dyDescent="0.3">
      <c r="B578" t="s">
        <v>19</v>
      </c>
      <c r="C578" t="s">
        <v>25</v>
      </c>
      <c r="D578">
        <v>1</v>
      </c>
      <c r="E578" t="s">
        <v>28</v>
      </c>
      <c r="F578">
        <v>5</v>
      </c>
      <c r="G578" t="s">
        <v>35</v>
      </c>
      <c r="H578">
        <v>3</v>
      </c>
      <c r="I578">
        <v>19502</v>
      </c>
      <c r="J578">
        <v>17</v>
      </c>
      <c r="K578">
        <v>3</v>
      </c>
      <c r="L578">
        <v>1</v>
      </c>
      <c r="M578">
        <v>31</v>
      </c>
      <c r="N578">
        <v>5</v>
      </c>
      <c r="O578">
        <v>3</v>
      </c>
      <c r="P578">
        <v>31</v>
      </c>
      <c r="Q578">
        <v>9</v>
      </c>
      <c r="R578">
        <v>0</v>
      </c>
      <c r="S578" t="s">
        <v>34</v>
      </c>
      <c r="T578" t="s">
        <v>37</v>
      </c>
      <c r="U578" t="str">
        <f>IF(Table1[[#This Row],[YearsSince
LastPromotion]]&gt; 4, "Delayed", "Normal")</f>
        <v>Normal</v>
      </c>
      <c r="V578" t="str">
        <f>IF(Table1[[#This Row],[Years
InCurrentRole]]&gt;4, "Role Stagnent", "Normal")</f>
        <v>Role Stagnent</v>
      </c>
      <c r="W578" t="str">
        <f>IF(AND(Table1[[#This Row],[Years
InCurrentRole]]&gt; 4, Table1[[#This Row],[Performance
Rating]]&gt;=3), "High Risk", "Normal")</f>
        <v>High Risk</v>
      </c>
      <c r="X578" t="str">
        <f>IF(Table1[[#This Row],[Performance
Rating]]&gt;=4, "High Performer", "Low Performer")</f>
        <v>Low Performer</v>
      </c>
    </row>
    <row r="579" spans="2:24" x14ac:dyDescent="0.3">
      <c r="B579" t="s">
        <v>19</v>
      </c>
      <c r="C579" t="s">
        <v>36</v>
      </c>
      <c r="D579">
        <v>1</v>
      </c>
      <c r="E579" t="s">
        <v>28</v>
      </c>
      <c r="F579">
        <v>4</v>
      </c>
      <c r="G579" t="s">
        <v>22</v>
      </c>
      <c r="H579">
        <v>2</v>
      </c>
      <c r="I579">
        <v>14026</v>
      </c>
      <c r="J579">
        <v>11</v>
      </c>
      <c r="K579">
        <v>3</v>
      </c>
      <c r="L579">
        <v>1</v>
      </c>
      <c r="M579">
        <v>33</v>
      </c>
      <c r="N579">
        <v>2</v>
      </c>
      <c r="O579">
        <v>3</v>
      </c>
      <c r="P579">
        <v>33</v>
      </c>
      <c r="Q579">
        <v>9</v>
      </c>
      <c r="R579">
        <v>0</v>
      </c>
      <c r="S579" t="s">
        <v>34</v>
      </c>
      <c r="T579" t="s">
        <v>37</v>
      </c>
      <c r="U579" t="str">
        <f>IF(Table1[[#This Row],[YearsSince
LastPromotion]]&gt; 4, "Delayed", "Normal")</f>
        <v>Normal</v>
      </c>
      <c r="V579" t="str">
        <f>IF(Table1[[#This Row],[Years
InCurrentRole]]&gt;4, "Role Stagnent", "Normal")</f>
        <v>Role Stagnent</v>
      </c>
      <c r="W579" t="str">
        <f>IF(AND(Table1[[#This Row],[Years
InCurrentRole]]&gt; 4, Table1[[#This Row],[Performance
Rating]]&gt;=3), "High Risk", "Normal")</f>
        <v>High Risk</v>
      </c>
      <c r="X579" t="str">
        <f>IF(Table1[[#This Row],[Performance
Rating]]&gt;=4, "High Performer", "Low Performer")</f>
        <v>Low Performer</v>
      </c>
    </row>
    <row r="580" spans="2:24" x14ac:dyDescent="0.3">
      <c r="B580" t="s">
        <v>19</v>
      </c>
      <c r="C580" t="s">
        <v>25</v>
      </c>
      <c r="D580">
        <v>1</v>
      </c>
      <c r="E580" t="s">
        <v>28</v>
      </c>
      <c r="F580">
        <v>1</v>
      </c>
      <c r="G580" t="s">
        <v>26</v>
      </c>
      <c r="H580">
        <v>2</v>
      </c>
      <c r="I580">
        <v>3692</v>
      </c>
      <c r="J580">
        <v>12</v>
      </c>
      <c r="K580">
        <v>3</v>
      </c>
      <c r="L580">
        <v>0</v>
      </c>
      <c r="M580">
        <v>12</v>
      </c>
      <c r="N580">
        <v>2</v>
      </c>
      <c r="O580">
        <v>2</v>
      </c>
      <c r="P580">
        <v>11</v>
      </c>
      <c r="Q580">
        <v>10</v>
      </c>
      <c r="R580">
        <v>0</v>
      </c>
      <c r="S580" t="s">
        <v>23</v>
      </c>
      <c r="T580" t="s">
        <v>37</v>
      </c>
      <c r="U580" t="str">
        <f>IF(Table1[[#This Row],[YearsSince
LastPromotion]]&gt; 4, "Delayed", "Normal")</f>
        <v>Normal</v>
      </c>
      <c r="V580" t="str">
        <f>IF(Table1[[#This Row],[Years
InCurrentRole]]&gt;4, "Role Stagnent", "Normal")</f>
        <v>Role Stagnent</v>
      </c>
      <c r="W580" t="str">
        <f>IF(AND(Table1[[#This Row],[Years
InCurrentRole]]&gt; 4, Table1[[#This Row],[Performance
Rating]]&gt;=3), "High Risk", "Normal")</f>
        <v>High Risk</v>
      </c>
      <c r="X580" t="str">
        <f>IF(Table1[[#This Row],[Performance
Rating]]&gt;=4, "High Performer", "Low Performer")</f>
        <v>Low Performer</v>
      </c>
    </row>
    <row r="581" spans="2:24" x14ac:dyDescent="0.3">
      <c r="B581" t="s">
        <v>19</v>
      </c>
      <c r="C581" t="s">
        <v>20</v>
      </c>
      <c r="D581">
        <v>1</v>
      </c>
      <c r="E581" t="s">
        <v>28</v>
      </c>
      <c r="F581">
        <v>4</v>
      </c>
      <c r="G581" t="s">
        <v>22</v>
      </c>
      <c r="H581">
        <v>2</v>
      </c>
      <c r="I581">
        <v>16015</v>
      </c>
      <c r="J581">
        <v>19</v>
      </c>
      <c r="K581">
        <v>3</v>
      </c>
      <c r="L581">
        <v>0</v>
      </c>
      <c r="M581">
        <v>22</v>
      </c>
      <c r="N581">
        <v>2</v>
      </c>
      <c r="O581">
        <v>3</v>
      </c>
      <c r="P581">
        <v>22</v>
      </c>
      <c r="Q581">
        <v>10</v>
      </c>
      <c r="R581">
        <v>0</v>
      </c>
      <c r="S581" t="s">
        <v>34</v>
      </c>
      <c r="T581" t="s">
        <v>37</v>
      </c>
      <c r="U581" t="str">
        <f>IF(Table1[[#This Row],[YearsSince
LastPromotion]]&gt; 4, "Delayed", "Normal")</f>
        <v>Normal</v>
      </c>
      <c r="V581" t="str">
        <f>IF(Table1[[#This Row],[Years
InCurrentRole]]&gt;4, "Role Stagnent", "Normal")</f>
        <v>Role Stagnent</v>
      </c>
      <c r="W581" t="str">
        <f>IF(AND(Table1[[#This Row],[Years
InCurrentRole]]&gt; 4, Table1[[#This Row],[Performance
Rating]]&gt;=3), "High Risk", "Normal")</f>
        <v>High Risk</v>
      </c>
      <c r="X581" t="str">
        <f>IF(Table1[[#This Row],[Performance
Rating]]&gt;=4, "High Performer", "Low Performer")</f>
        <v>Low Performer</v>
      </c>
    </row>
    <row r="582" spans="2:24" x14ac:dyDescent="0.3">
      <c r="B582" t="s">
        <v>19</v>
      </c>
      <c r="C582" t="s">
        <v>25</v>
      </c>
      <c r="D582">
        <v>1</v>
      </c>
      <c r="E582" t="s">
        <v>21</v>
      </c>
      <c r="F582">
        <v>2</v>
      </c>
      <c r="G582" t="s">
        <v>26</v>
      </c>
      <c r="H582">
        <v>2</v>
      </c>
      <c r="I582">
        <v>2133</v>
      </c>
      <c r="J582">
        <v>16</v>
      </c>
      <c r="K582">
        <v>3</v>
      </c>
      <c r="L582">
        <v>1</v>
      </c>
      <c r="M582">
        <v>20</v>
      </c>
      <c r="N582">
        <v>3</v>
      </c>
      <c r="O582">
        <v>3</v>
      </c>
      <c r="P582">
        <v>20</v>
      </c>
      <c r="Q582">
        <v>11</v>
      </c>
      <c r="R582">
        <v>0</v>
      </c>
      <c r="S582" t="s">
        <v>34</v>
      </c>
      <c r="T582" t="s">
        <v>37</v>
      </c>
      <c r="U582" t="str">
        <f>IF(Table1[[#This Row],[YearsSince
LastPromotion]]&gt; 4, "Delayed", "Normal")</f>
        <v>Normal</v>
      </c>
      <c r="V582" t="str">
        <f>IF(Table1[[#This Row],[Years
InCurrentRole]]&gt;4, "Role Stagnent", "Normal")</f>
        <v>Role Stagnent</v>
      </c>
      <c r="W582" t="str">
        <f>IF(AND(Table1[[#This Row],[Years
InCurrentRole]]&gt; 4, Table1[[#This Row],[Performance
Rating]]&gt;=3), "High Risk", "Normal")</f>
        <v>High Risk</v>
      </c>
      <c r="X582" t="str">
        <f>IF(Table1[[#This Row],[Performance
Rating]]&gt;=4, "High Performer", "Low Performer")</f>
        <v>Low Performer</v>
      </c>
    </row>
    <row r="583" spans="2:24" x14ac:dyDescent="0.3">
      <c r="B583" t="s">
        <v>19</v>
      </c>
      <c r="C583" t="s">
        <v>20</v>
      </c>
      <c r="D583">
        <v>1</v>
      </c>
      <c r="E583" t="s">
        <v>28</v>
      </c>
      <c r="F583">
        <v>2</v>
      </c>
      <c r="G583" t="s">
        <v>32</v>
      </c>
      <c r="H583">
        <v>3</v>
      </c>
      <c r="I583">
        <v>4001</v>
      </c>
      <c r="J583">
        <v>14</v>
      </c>
      <c r="K583">
        <v>3</v>
      </c>
      <c r="L583">
        <v>1</v>
      </c>
      <c r="M583">
        <v>15</v>
      </c>
      <c r="N583">
        <v>3</v>
      </c>
      <c r="O583">
        <v>3</v>
      </c>
      <c r="P583">
        <v>15</v>
      </c>
      <c r="Q583">
        <v>14</v>
      </c>
      <c r="R583">
        <v>0</v>
      </c>
      <c r="S583" t="s">
        <v>34</v>
      </c>
      <c r="T583" t="s">
        <v>37</v>
      </c>
      <c r="U583" t="str">
        <f>IF(Table1[[#This Row],[YearsSince
LastPromotion]]&gt; 4, "Delayed", "Normal")</f>
        <v>Normal</v>
      </c>
      <c r="V583" t="str">
        <f>IF(Table1[[#This Row],[Years
InCurrentRole]]&gt;4, "Role Stagnent", "Normal")</f>
        <v>Role Stagnent</v>
      </c>
      <c r="W583" t="str">
        <f>IF(AND(Table1[[#This Row],[Years
InCurrentRole]]&gt; 4, Table1[[#This Row],[Performance
Rating]]&gt;=3), "High Risk", "Normal")</f>
        <v>High Risk</v>
      </c>
      <c r="X583" t="str">
        <f>IF(Table1[[#This Row],[Performance
Rating]]&gt;=4, "High Performer", "Low Performer")</f>
        <v>Low Performer</v>
      </c>
    </row>
    <row r="584" spans="2:24" x14ac:dyDescent="0.3">
      <c r="B584" t="s">
        <v>19</v>
      </c>
      <c r="C584" t="s">
        <v>25</v>
      </c>
      <c r="D584">
        <v>1</v>
      </c>
      <c r="E584" t="s">
        <v>28</v>
      </c>
      <c r="F584">
        <v>5</v>
      </c>
      <c r="G584" t="s">
        <v>35</v>
      </c>
      <c r="H584">
        <v>3</v>
      </c>
      <c r="I584">
        <v>19419</v>
      </c>
      <c r="J584">
        <v>17</v>
      </c>
      <c r="K584">
        <v>3</v>
      </c>
      <c r="L584">
        <v>1</v>
      </c>
      <c r="M584">
        <v>21</v>
      </c>
      <c r="N584">
        <v>2</v>
      </c>
      <c r="O584">
        <v>4</v>
      </c>
      <c r="P584">
        <v>18</v>
      </c>
      <c r="Q584">
        <v>16</v>
      </c>
      <c r="R584">
        <v>0</v>
      </c>
      <c r="S584" t="s">
        <v>34</v>
      </c>
      <c r="T584" t="s">
        <v>37</v>
      </c>
      <c r="U584" t="str">
        <f>IF(Table1[[#This Row],[YearsSince
LastPromotion]]&gt; 4, "Delayed", "Normal")</f>
        <v>Normal</v>
      </c>
      <c r="V584" t="str">
        <f>IF(Table1[[#This Row],[Years
InCurrentRole]]&gt;4, "Role Stagnent", "Normal")</f>
        <v>Role Stagnent</v>
      </c>
      <c r="W584" t="str">
        <f>IF(AND(Table1[[#This Row],[Years
InCurrentRole]]&gt; 4, Table1[[#This Row],[Performance
Rating]]&gt;=3), "High Risk", "Normal")</f>
        <v>High Risk</v>
      </c>
      <c r="X584" t="str">
        <f>IF(Table1[[#This Row],[Performance
Rating]]&gt;=4, "High Performer", "Low Performer")</f>
        <v>Low Performer</v>
      </c>
    </row>
    <row r="585" spans="2:24" x14ac:dyDescent="0.3">
      <c r="B585" t="s">
        <v>27</v>
      </c>
      <c r="C585" t="s">
        <v>25</v>
      </c>
      <c r="D585">
        <v>1</v>
      </c>
      <c r="E585" t="s">
        <v>28</v>
      </c>
      <c r="F585">
        <v>1</v>
      </c>
      <c r="G585" t="s">
        <v>29</v>
      </c>
      <c r="H585">
        <v>4</v>
      </c>
      <c r="I585">
        <v>1102</v>
      </c>
      <c r="J585">
        <v>22</v>
      </c>
      <c r="K585">
        <v>4</v>
      </c>
      <c r="L585">
        <v>0</v>
      </c>
      <c r="M585">
        <v>1</v>
      </c>
      <c r="N585">
        <v>3</v>
      </c>
      <c r="O585">
        <v>2</v>
      </c>
      <c r="P585">
        <v>1</v>
      </c>
      <c r="Q585">
        <v>0</v>
      </c>
      <c r="R585">
        <v>1</v>
      </c>
      <c r="S585" t="s">
        <v>23</v>
      </c>
      <c r="T585" t="s">
        <v>24</v>
      </c>
      <c r="U585" t="str">
        <f>IF(Table1[[#This Row],[YearsSince
LastPromotion]]&gt; 4, "Delayed", "Normal")</f>
        <v>Normal</v>
      </c>
      <c r="V585" t="str">
        <f>IF(Table1[[#This Row],[Years
InCurrentRole]]&gt;4, "Role Stagnent", "Normal")</f>
        <v>Normal</v>
      </c>
      <c r="W585" t="str">
        <f>IF(AND(Table1[[#This Row],[Years
InCurrentRole]]&gt; 4, Table1[[#This Row],[Performance
Rating]]&gt;=3), "High Risk", "Normal")</f>
        <v>Normal</v>
      </c>
      <c r="X585" t="str">
        <f>IF(Table1[[#This Row],[Performance
Rating]]&gt;=4, "High Performer", "Low Performer")</f>
        <v>High Performer</v>
      </c>
    </row>
    <row r="586" spans="2:24" x14ac:dyDescent="0.3">
      <c r="B586" t="s">
        <v>27</v>
      </c>
      <c r="C586" t="s">
        <v>25</v>
      </c>
      <c r="D586">
        <v>1</v>
      </c>
      <c r="E586" t="s">
        <v>28</v>
      </c>
      <c r="F586">
        <v>1</v>
      </c>
      <c r="G586" t="s">
        <v>26</v>
      </c>
      <c r="H586">
        <v>4</v>
      </c>
      <c r="I586">
        <v>2439</v>
      </c>
      <c r="J586">
        <v>24</v>
      </c>
      <c r="K586">
        <v>4</v>
      </c>
      <c r="L586">
        <v>0</v>
      </c>
      <c r="M586">
        <v>1</v>
      </c>
      <c r="N586">
        <v>3</v>
      </c>
      <c r="O586">
        <v>2</v>
      </c>
      <c r="P586">
        <v>1</v>
      </c>
      <c r="Q586">
        <v>0</v>
      </c>
      <c r="R586">
        <v>1</v>
      </c>
      <c r="S586" t="s">
        <v>23</v>
      </c>
      <c r="T586" t="s">
        <v>24</v>
      </c>
      <c r="U586" t="str">
        <f>IF(Table1[[#This Row],[YearsSince
LastPromotion]]&gt; 4, "Delayed", "Normal")</f>
        <v>Normal</v>
      </c>
      <c r="V586" t="str">
        <f>IF(Table1[[#This Row],[Years
InCurrentRole]]&gt;4, "Role Stagnent", "Normal")</f>
        <v>Normal</v>
      </c>
      <c r="W586" t="str">
        <f>IF(AND(Table1[[#This Row],[Years
InCurrentRole]]&gt; 4, Table1[[#This Row],[Performance
Rating]]&gt;=3), "High Risk", "Normal")</f>
        <v>Normal</v>
      </c>
      <c r="X586" t="str">
        <f>IF(Table1[[#This Row],[Performance
Rating]]&gt;=4, "High Performer", "Low Performer")</f>
        <v>High Performer</v>
      </c>
    </row>
    <row r="587" spans="2:24" x14ac:dyDescent="0.3">
      <c r="B587" t="s">
        <v>19</v>
      </c>
      <c r="C587" t="s">
        <v>25</v>
      </c>
      <c r="D587">
        <v>1</v>
      </c>
      <c r="E587" t="s">
        <v>21</v>
      </c>
      <c r="F587">
        <v>1</v>
      </c>
      <c r="G587" t="s">
        <v>26</v>
      </c>
      <c r="H587">
        <v>3</v>
      </c>
      <c r="I587">
        <v>2933</v>
      </c>
      <c r="J587">
        <v>13</v>
      </c>
      <c r="K587">
        <v>3</v>
      </c>
      <c r="L587">
        <v>1</v>
      </c>
      <c r="M587">
        <v>1</v>
      </c>
      <c r="N587">
        <v>3</v>
      </c>
      <c r="O587">
        <v>2</v>
      </c>
      <c r="P587">
        <v>1</v>
      </c>
      <c r="Q587">
        <v>0</v>
      </c>
      <c r="R587">
        <v>1</v>
      </c>
      <c r="S587" t="s">
        <v>23</v>
      </c>
      <c r="T587" t="s">
        <v>24</v>
      </c>
      <c r="U587" t="str">
        <f>IF(Table1[[#This Row],[YearsSince
LastPromotion]]&gt; 4, "Delayed", "Normal")</f>
        <v>Normal</v>
      </c>
      <c r="V587" t="str">
        <f>IF(Table1[[#This Row],[Years
InCurrentRole]]&gt;4, "Role Stagnent", "Normal")</f>
        <v>Normal</v>
      </c>
      <c r="W587" t="str">
        <f>IF(AND(Table1[[#This Row],[Years
InCurrentRole]]&gt; 4, Table1[[#This Row],[Performance
Rating]]&gt;=3), "High Risk", "Normal")</f>
        <v>Normal</v>
      </c>
      <c r="X587" t="str">
        <f>IF(Table1[[#This Row],[Performance
Rating]]&gt;=4, "High Performer", "Low Performer")</f>
        <v>Low Performer</v>
      </c>
    </row>
    <row r="588" spans="2:24" x14ac:dyDescent="0.3">
      <c r="B588" t="s">
        <v>27</v>
      </c>
      <c r="C588" t="s">
        <v>20</v>
      </c>
      <c r="D588">
        <v>1</v>
      </c>
      <c r="E588" t="s">
        <v>28</v>
      </c>
      <c r="F588">
        <v>1</v>
      </c>
      <c r="G588" t="s">
        <v>30</v>
      </c>
      <c r="H588">
        <v>1</v>
      </c>
      <c r="I588">
        <v>1790</v>
      </c>
      <c r="J588">
        <v>19</v>
      </c>
      <c r="K588">
        <v>3</v>
      </c>
      <c r="L588">
        <v>1</v>
      </c>
      <c r="M588">
        <v>1</v>
      </c>
      <c r="N588">
        <v>3</v>
      </c>
      <c r="O588">
        <v>2</v>
      </c>
      <c r="P588">
        <v>1</v>
      </c>
      <c r="Q588">
        <v>0</v>
      </c>
      <c r="R588">
        <v>1</v>
      </c>
      <c r="S588" t="s">
        <v>23</v>
      </c>
      <c r="T588" t="s">
        <v>24</v>
      </c>
      <c r="U588" t="str">
        <f>IF(Table1[[#This Row],[YearsSince
LastPromotion]]&gt; 4, "Delayed", "Normal")</f>
        <v>Normal</v>
      </c>
      <c r="V588" t="str">
        <f>IF(Table1[[#This Row],[Years
InCurrentRole]]&gt;4, "Role Stagnent", "Normal")</f>
        <v>Normal</v>
      </c>
      <c r="W588" t="str">
        <f>IF(AND(Table1[[#This Row],[Years
InCurrentRole]]&gt; 4, Table1[[#This Row],[Performance
Rating]]&gt;=3), "High Risk", "Normal")</f>
        <v>Normal</v>
      </c>
      <c r="X588" t="str">
        <f>IF(Table1[[#This Row],[Performance
Rating]]&gt;=4, "High Performer", "Low Performer")</f>
        <v>Low Performer</v>
      </c>
    </row>
    <row r="589" spans="2:24" x14ac:dyDescent="0.3">
      <c r="B589" t="s">
        <v>27</v>
      </c>
      <c r="C589" t="s">
        <v>25</v>
      </c>
      <c r="D589">
        <v>1</v>
      </c>
      <c r="E589" t="s">
        <v>21</v>
      </c>
      <c r="F589">
        <v>1</v>
      </c>
      <c r="G589" t="s">
        <v>29</v>
      </c>
      <c r="H589">
        <v>1</v>
      </c>
      <c r="I589">
        <v>1416</v>
      </c>
      <c r="J589">
        <v>13</v>
      </c>
      <c r="K589">
        <v>3</v>
      </c>
      <c r="L589">
        <v>0</v>
      </c>
      <c r="M589">
        <v>1</v>
      </c>
      <c r="N589">
        <v>6</v>
      </c>
      <c r="O589">
        <v>2</v>
      </c>
      <c r="P589">
        <v>1</v>
      </c>
      <c r="Q589">
        <v>0</v>
      </c>
      <c r="R589">
        <v>1</v>
      </c>
      <c r="S589" t="s">
        <v>23</v>
      </c>
      <c r="T589" t="s">
        <v>24</v>
      </c>
      <c r="U589" t="str">
        <f>IF(Table1[[#This Row],[YearsSince
LastPromotion]]&gt; 4, "Delayed", "Normal")</f>
        <v>Normal</v>
      </c>
      <c r="V589" t="str">
        <f>IF(Table1[[#This Row],[Years
InCurrentRole]]&gt;4, "Role Stagnent", "Normal")</f>
        <v>Normal</v>
      </c>
      <c r="W589" t="str">
        <f>IF(AND(Table1[[#This Row],[Years
InCurrentRole]]&gt; 4, Table1[[#This Row],[Performance
Rating]]&gt;=3), "High Risk", "Normal")</f>
        <v>Normal</v>
      </c>
      <c r="X589" t="str">
        <f>IF(Table1[[#This Row],[Performance
Rating]]&gt;=4, "High Performer", "Low Performer")</f>
        <v>Low Performer</v>
      </c>
    </row>
    <row r="590" spans="2:24" x14ac:dyDescent="0.3">
      <c r="B590" t="s">
        <v>19</v>
      </c>
      <c r="C590" t="s">
        <v>25</v>
      </c>
      <c r="D590">
        <v>1</v>
      </c>
      <c r="E590" t="s">
        <v>28</v>
      </c>
      <c r="F590">
        <v>2</v>
      </c>
      <c r="G590" t="s">
        <v>31</v>
      </c>
      <c r="H590">
        <v>4</v>
      </c>
      <c r="I590">
        <v>5811</v>
      </c>
      <c r="J590">
        <v>16</v>
      </c>
      <c r="K590">
        <v>3</v>
      </c>
      <c r="L590">
        <v>1</v>
      </c>
      <c r="M590">
        <v>15</v>
      </c>
      <c r="N590">
        <v>2</v>
      </c>
      <c r="O590">
        <v>3</v>
      </c>
      <c r="P590">
        <v>1</v>
      </c>
      <c r="Q590">
        <v>0</v>
      </c>
      <c r="R590">
        <v>1</v>
      </c>
      <c r="S590" t="s">
        <v>34</v>
      </c>
      <c r="T590" t="s">
        <v>24</v>
      </c>
      <c r="U590" t="str">
        <f>IF(Table1[[#This Row],[YearsSince
LastPromotion]]&gt; 4, "Delayed", "Normal")</f>
        <v>Normal</v>
      </c>
      <c r="V590" t="str">
        <f>IF(Table1[[#This Row],[Years
InCurrentRole]]&gt;4, "Role Stagnent", "Normal")</f>
        <v>Normal</v>
      </c>
      <c r="W590" t="str">
        <f>IF(AND(Table1[[#This Row],[Years
InCurrentRole]]&gt; 4, Table1[[#This Row],[Performance
Rating]]&gt;=3), "High Risk", "Normal")</f>
        <v>Normal</v>
      </c>
      <c r="X590" t="str">
        <f>IF(Table1[[#This Row],[Performance
Rating]]&gt;=4, "High Performer", "Low Performer")</f>
        <v>Low Performer</v>
      </c>
    </row>
    <row r="591" spans="2:24" x14ac:dyDescent="0.3">
      <c r="B591" t="s">
        <v>27</v>
      </c>
      <c r="C591" t="s">
        <v>20</v>
      </c>
      <c r="D591">
        <v>1</v>
      </c>
      <c r="E591" t="s">
        <v>28</v>
      </c>
      <c r="F591">
        <v>1</v>
      </c>
      <c r="G591" t="s">
        <v>30</v>
      </c>
      <c r="H591">
        <v>2</v>
      </c>
      <c r="I591">
        <v>2679</v>
      </c>
      <c r="J591">
        <v>13</v>
      </c>
      <c r="K591">
        <v>3</v>
      </c>
      <c r="L591">
        <v>0</v>
      </c>
      <c r="M591">
        <v>1</v>
      </c>
      <c r="N591">
        <v>3</v>
      </c>
      <c r="O591">
        <v>3</v>
      </c>
      <c r="P591">
        <v>1</v>
      </c>
      <c r="Q591">
        <v>0</v>
      </c>
      <c r="R591">
        <v>1</v>
      </c>
      <c r="S591" t="s">
        <v>34</v>
      </c>
      <c r="T591" t="s">
        <v>24</v>
      </c>
      <c r="U591" t="str">
        <f>IF(Table1[[#This Row],[YearsSince
LastPromotion]]&gt; 4, "Delayed", "Normal")</f>
        <v>Normal</v>
      </c>
      <c r="V591" t="str">
        <f>IF(Table1[[#This Row],[Years
InCurrentRole]]&gt;4, "Role Stagnent", "Normal")</f>
        <v>Normal</v>
      </c>
      <c r="W591" t="str">
        <f>IF(AND(Table1[[#This Row],[Years
InCurrentRole]]&gt; 4, Table1[[#This Row],[Performance
Rating]]&gt;=3), "High Risk", "Normal")</f>
        <v>Normal</v>
      </c>
      <c r="X591" t="str">
        <f>IF(Table1[[#This Row],[Performance
Rating]]&gt;=4, "High Performer", "Low Performer")</f>
        <v>Low Performer</v>
      </c>
    </row>
    <row r="592" spans="2:24" x14ac:dyDescent="0.3">
      <c r="B592" t="s">
        <v>19</v>
      </c>
      <c r="C592" t="s">
        <v>25</v>
      </c>
      <c r="D592">
        <v>1</v>
      </c>
      <c r="E592" t="s">
        <v>28</v>
      </c>
      <c r="F592">
        <v>1</v>
      </c>
      <c r="G592" t="s">
        <v>29</v>
      </c>
      <c r="H592">
        <v>2</v>
      </c>
      <c r="I592">
        <v>2008</v>
      </c>
      <c r="J592">
        <v>14</v>
      </c>
      <c r="K592">
        <v>3</v>
      </c>
      <c r="L592">
        <v>2</v>
      </c>
      <c r="M592">
        <v>1</v>
      </c>
      <c r="N592">
        <v>3</v>
      </c>
      <c r="O592">
        <v>3</v>
      </c>
      <c r="P592">
        <v>1</v>
      </c>
      <c r="Q592">
        <v>0</v>
      </c>
      <c r="R592">
        <v>1</v>
      </c>
      <c r="S592" t="s">
        <v>34</v>
      </c>
      <c r="T592" t="s">
        <v>24</v>
      </c>
      <c r="U592" t="str">
        <f>IF(Table1[[#This Row],[YearsSince
LastPromotion]]&gt; 4, "Delayed", "Normal")</f>
        <v>Normal</v>
      </c>
      <c r="V592" t="str">
        <f>IF(Table1[[#This Row],[Years
InCurrentRole]]&gt;4, "Role Stagnent", "Normal")</f>
        <v>Normal</v>
      </c>
      <c r="W592" t="str">
        <f>IF(AND(Table1[[#This Row],[Years
InCurrentRole]]&gt; 4, Table1[[#This Row],[Performance
Rating]]&gt;=3), "High Risk", "Normal")</f>
        <v>Normal</v>
      </c>
      <c r="X592" t="str">
        <f>IF(Table1[[#This Row],[Performance
Rating]]&gt;=4, "High Performer", "Low Performer")</f>
        <v>Low Performer</v>
      </c>
    </row>
    <row r="593" spans="2:24" x14ac:dyDescent="0.3">
      <c r="B593" t="s">
        <v>27</v>
      </c>
      <c r="C593" t="s">
        <v>20</v>
      </c>
      <c r="D593">
        <v>1</v>
      </c>
      <c r="E593" t="s">
        <v>28</v>
      </c>
      <c r="F593">
        <v>1</v>
      </c>
      <c r="G593" t="s">
        <v>30</v>
      </c>
      <c r="H593">
        <v>4</v>
      </c>
      <c r="I593">
        <v>1118</v>
      </c>
      <c r="J593">
        <v>14</v>
      </c>
      <c r="K593">
        <v>3</v>
      </c>
      <c r="L593">
        <v>0</v>
      </c>
      <c r="M593">
        <v>1</v>
      </c>
      <c r="N593">
        <v>4</v>
      </c>
      <c r="O593">
        <v>3</v>
      </c>
      <c r="P593">
        <v>1</v>
      </c>
      <c r="Q593">
        <v>0</v>
      </c>
      <c r="R593">
        <v>1</v>
      </c>
      <c r="S593" t="s">
        <v>34</v>
      </c>
      <c r="T593" t="s">
        <v>24</v>
      </c>
      <c r="U593" t="str">
        <f>IF(Table1[[#This Row],[YearsSince
LastPromotion]]&gt; 4, "Delayed", "Normal")</f>
        <v>Normal</v>
      </c>
      <c r="V593" t="str">
        <f>IF(Table1[[#This Row],[Years
InCurrentRole]]&gt;4, "Role Stagnent", "Normal")</f>
        <v>Normal</v>
      </c>
      <c r="W593" t="str">
        <f>IF(AND(Table1[[#This Row],[Years
InCurrentRole]]&gt; 4, Table1[[#This Row],[Performance
Rating]]&gt;=3), "High Risk", "Normal")</f>
        <v>Normal</v>
      </c>
      <c r="X593" t="str">
        <f>IF(Table1[[#This Row],[Performance
Rating]]&gt;=4, "High Performer", "Low Performer")</f>
        <v>Low Performer</v>
      </c>
    </row>
    <row r="594" spans="2:24" x14ac:dyDescent="0.3">
      <c r="B594" t="s">
        <v>19</v>
      </c>
      <c r="C594" t="s">
        <v>20</v>
      </c>
      <c r="D594">
        <v>1</v>
      </c>
      <c r="E594" t="s">
        <v>28</v>
      </c>
      <c r="F594">
        <v>3</v>
      </c>
      <c r="G594" t="s">
        <v>32</v>
      </c>
      <c r="H594">
        <v>4</v>
      </c>
      <c r="I594">
        <v>10239</v>
      </c>
      <c r="J594">
        <v>14</v>
      </c>
      <c r="K594">
        <v>3</v>
      </c>
      <c r="L594">
        <v>1</v>
      </c>
      <c r="M594">
        <v>24</v>
      </c>
      <c r="N594">
        <v>4</v>
      </c>
      <c r="O594">
        <v>3</v>
      </c>
      <c r="P594">
        <v>1</v>
      </c>
      <c r="Q594">
        <v>0</v>
      </c>
      <c r="R594">
        <v>1</v>
      </c>
      <c r="S594" t="s">
        <v>34</v>
      </c>
      <c r="T594" t="s">
        <v>24</v>
      </c>
      <c r="U594" t="str">
        <f>IF(Table1[[#This Row],[YearsSince
LastPromotion]]&gt; 4, "Delayed", "Normal")</f>
        <v>Normal</v>
      </c>
      <c r="V594" t="str">
        <f>IF(Table1[[#This Row],[Years
InCurrentRole]]&gt;4, "Role Stagnent", "Normal")</f>
        <v>Normal</v>
      </c>
      <c r="W594" t="str">
        <f>IF(AND(Table1[[#This Row],[Years
InCurrentRole]]&gt; 4, Table1[[#This Row],[Performance
Rating]]&gt;=3), "High Risk", "Normal")</f>
        <v>Normal</v>
      </c>
      <c r="X594" t="str">
        <f>IF(Table1[[#This Row],[Performance
Rating]]&gt;=4, "High Performer", "Low Performer")</f>
        <v>Low Performer</v>
      </c>
    </row>
    <row r="595" spans="2:24" x14ac:dyDescent="0.3">
      <c r="B595" t="s">
        <v>27</v>
      </c>
      <c r="C595" t="s">
        <v>25</v>
      </c>
      <c r="D595">
        <v>1</v>
      </c>
      <c r="E595" t="s">
        <v>28</v>
      </c>
      <c r="F595">
        <v>1</v>
      </c>
      <c r="G595" t="s">
        <v>26</v>
      </c>
      <c r="H595">
        <v>3</v>
      </c>
      <c r="I595">
        <v>1009</v>
      </c>
      <c r="J595">
        <v>11</v>
      </c>
      <c r="K595">
        <v>3</v>
      </c>
      <c r="L595">
        <v>0</v>
      </c>
      <c r="M595">
        <v>1</v>
      </c>
      <c r="N595">
        <v>5</v>
      </c>
      <c r="O595">
        <v>3</v>
      </c>
      <c r="P595">
        <v>1</v>
      </c>
      <c r="Q595">
        <v>0</v>
      </c>
      <c r="R595">
        <v>1</v>
      </c>
      <c r="S595" t="s">
        <v>34</v>
      </c>
      <c r="T595" t="s">
        <v>24</v>
      </c>
      <c r="U595" t="str">
        <f>IF(Table1[[#This Row],[YearsSince
LastPromotion]]&gt; 4, "Delayed", "Normal")</f>
        <v>Normal</v>
      </c>
      <c r="V595" t="str">
        <f>IF(Table1[[#This Row],[Years
InCurrentRole]]&gt;4, "Role Stagnent", "Normal")</f>
        <v>Normal</v>
      </c>
      <c r="W595" t="str">
        <f>IF(AND(Table1[[#This Row],[Years
InCurrentRole]]&gt; 4, Table1[[#This Row],[Performance
Rating]]&gt;=3), "High Risk", "Normal")</f>
        <v>Normal</v>
      </c>
      <c r="X595" t="str">
        <f>IF(Table1[[#This Row],[Performance
Rating]]&gt;=4, "High Performer", "Low Performer")</f>
        <v>Low Performer</v>
      </c>
    </row>
    <row r="596" spans="2:24" x14ac:dyDescent="0.3">
      <c r="B596" t="s">
        <v>27</v>
      </c>
      <c r="C596" t="s">
        <v>25</v>
      </c>
      <c r="D596">
        <v>1</v>
      </c>
      <c r="E596" t="s">
        <v>21</v>
      </c>
      <c r="F596">
        <v>1</v>
      </c>
      <c r="G596" t="s">
        <v>29</v>
      </c>
      <c r="H596">
        <v>4</v>
      </c>
      <c r="I596">
        <v>2926</v>
      </c>
      <c r="J596">
        <v>18</v>
      </c>
      <c r="K596">
        <v>3</v>
      </c>
      <c r="L596">
        <v>0</v>
      </c>
      <c r="M596">
        <v>1</v>
      </c>
      <c r="N596">
        <v>5</v>
      </c>
      <c r="O596">
        <v>3</v>
      </c>
      <c r="P596">
        <v>1</v>
      </c>
      <c r="Q596">
        <v>0</v>
      </c>
      <c r="R596">
        <v>1</v>
      </c>
      <c r="S596" t="s">
        <v>34</v>
      </c>
      <c r="T596" t="s">
        <v>24</v>
      </c>
      <c r="U596" t="str">
        <f>IF(Table1[[#This Row],[YearsSince
LastPromotion]]&gt; 4, "Delayed", "Normal")</f>
        <v>Normal</v>
      </c>
      <c r="V596" t="str">
        <f>IF(Table1[[#This Row],[Years
InCurrentRole]]&gt;4, "Role Stagnent", "Normal")</f>
        <v>Normal</v>
      </c>
      <c r="W596" t="str">
        <f>IF(AND(Table1[[#This Row],[Years
InCurrentRole]]&gt; 4, Table1[[#This Row],[Performance
Rating]]&gt;=3), "High Risk", "Normal")</f>
        <v>Normal</v>
      </c>
      <c r="X596" t="str">
        <f>IF(Table1[[#This Row],[Performance
Rating]]&gt;=4, "High Performer", "Low Performer")</f>
        <v>Low Performer</v>
      </c>
    </row>
    <row r="597" spans="2:24" x14ac:dyDescent="0.3">
      <c r="B597" t="s">
        <v>19</v>
      </c>
      <c r="C597" t="s">
        <v>36</v>
      </c>
      <c r="D597">
        <v>1</v>
      </c>
      <c r="E597" t="s">
        <v>21</v>
      </c>
      <c r="F597">
        <v>1</v>
      </c>
      <c r="G597" t="s">
        <v>36</v>
      </c>
      <c r="H597">
        <v>2</v>
      </c>
      <c r="I597">
        <v>2187</v>
      </c>
      <c r="J597">
        <v>14</v>
      </c>
      <c r="K597">
        <v>3</v>
      </c>
      <c r="L597">
        <v>0</v>
      </c>
      <c r="M597">
        <v>6</v>
      </c>
      <c r="N597">
        <v>3</v>
      </c>
      <c r="O597">
        <v>3</v>
      </c>
      <c r="P597">
        <v>2</v>
      </c>
      <c r="Q597">
        <v>0</v>
      </c>
      <c r="R597">
        <v>1</v>
      </c>
      <c r="S597" t="s">
        <v>34</v>
      </c>
      <c r="T597" t="s">
        <v>24</v>
      </c>
      <c r="U597" t="str">
        <f>IF(Table1[[#This Row],[YearsSince
LastPromotion]]&gt; 4, "Delayed", "Normal")</f>
        <v>Normal</v>
      </c>
      <c r="V597" t="str">
        <f>IF(Table1[[#This Row],[Years
InCurrentRole]]&gt;4, "Role Stagnent", "Normal")</f>
        <v>Normal</v>
      </c>
      <c r="W597" t="str">
        <f>IF(AND(Table1[[#This Row],[Years
InCurrentRole]]&gt; 4, Table1[[#This Row],[Performance
Rating]]&gt;=3), "High Risk", "Normal")</f>
        <v>Normal</v>
      </c>
      <c r="X597" t="str">
        <f>IF(Table1[[#This Row],[Performance
Rating]]&gt;=4, "High Performer", "Low Performer")</f>
        <v>Low Performer</v>
      </c>
    </row>
    <row r="598" spans="2:24" x14ac:dyDescent="0.3">
      <c r="B598" t="s">
        <v>19</v>
      </c>
      <c r="C598" t="s">
        <v>20</v>
      </c>
      <c r="D598">
        <v>1</v>
      </c>
      <c r="E598" t="s">
        <v>28</v>
      </c>
      <c r="F598">
        <v>2</v>
      </c>
      <c r="G598" t="s">
        <v>32</v>
      </c>
      <c r="H598">
        <v>3</v>
      </c>
      <c r="I598">
        <v>9602</v>
      </c>
      <c r="J598">
        <v>11</v>
      </c>
      <c r="K598">
        <v>3</v>
      </c>
      <c r="L598">
        <v>1</v>
      </c>
      <c r="M598">
        <v>17</v>
      </c>
      <c r="N598">
        <v>3</v>
      </c>
      <c r="O598">
        <v>2</v>
      </c>
      <c r="P598">
        <v>3</v>
      </c>
      <c r="Q598">
        <v>0</v>
      </c>
      <c r="R598">
        <v>1</v>
      </c>
      <c r="S598" t="s">
        <v>23</v>
      </c>
      <c r="T598" t="s">
        <v>24</v>
      </c>
      <c r="U598" t="str">
        <f>IF(Table1[[#This Row],[YearsSince
LastPromotion]]&gt; 4, "Delayed", "Normal")</f>
        <v>Normal</v>
      </c>
      <c r="V598" t="str">
        <f>IF(Table1[[#This Row],[Years
InCurrentRole]]&gt;4, "Role Stagnent", "Normal")</f>
        <v>Normal</v>
      </c>
      <c r="W598" t="str">
        <f>IF(AND(Table1[[#This Row],[Years
InCurrentRole]]&gt; 4, Table1[[#This Row],[Performance
Rating]]&gt;=3), "High Risk", "Normal")</f>
        <v>Normal</v>
      </c>
      <c r="X598" t="str">
        <f>IF(Table1[[#This Row],[Performance
Rating]]&gt;=4, "High Performer", "Low Performer")</f>
        <v>Low Performer</v>
      </c>
    </row>
    <row r="599" spans="2:24" x14ac:dyDescent="0.3">
      <c r="B599" t="s">
        <v>19</v>
      </c>
      <c r="C599" t="s">
        <v>25</v>
      </c>
      <c r="D599">
        <v>1</v>
      </c>
      <c r="E599" t="s">
        <v>28</v>
      </c>
      <c r="F599">
        <v>1</v>
      </c>
      <c r="G599" t="s">
        <v>29</v>
      </c>
      <c r="H599">
        <v>1</v>
      </c>
      <c r="I599">
        <v>2450</v>
      </c>
      <c r="J599">
        <v>19</v>
      </c>
      <c r="K599">
        <v>3</v>
      </c>
      <c r="L599">
        <v>0</v>
      </c>
      <c r="M599">
        <v>3</v>
      </c>
      <c r="N599">
        <v>3</v>
      </c>
      <c r="O599">
        <v>3</v>
      </c>
      <c r="P599">
        <v>3</v>
      </c>
      <c r="Q599">
        <v>0</v>
      </c>
      <c r="R599">
        <v>1</v>
      </c>
      <c r="S599" t="s">
        <v>34</v>
      </c>
      <c r="T599" t="s">
        <v>24</v>
      </c>
      <c r="U599" t="str">
        <f>IF(Table1[[#This Row],[YearsSince
LastPromotion]]&gt; 4, "Delayed", "Normal")</f>
        <v>Normal</v>
      </c>
      <c r="V599" t="str">
        <f>IF(Table1[[#This Row],[Years
InCurrentRole]]&gt;4, "Role Stagnent", "Normal")</f>
        <v>Normal</v>
      </c>
      <c r="W599" t="str">
        <f>IF(AND(Table1[[#This Row],[Years
InCurrentRole]]&gt; 4, Table1[[#This Row],[Performance
Rating]]&gt;=3), "High Risk", "Normal")</f>
        <v>Normal</v>
      </c>
      <c r="X599" t="str">
        <f>IF(Table1[[#This Row],[Performance
Rating]]&gt;=4, "High Performer", "Low Performer")</f>
        <v>Low Performer</v>
      </c>
    </row>
    <row r="600" spans="2:24" x14ac:dyDescent="0.3">
      <c r="B600" t="s">
        <v>19</v>
      </c>
      <c r="C600" t="s">
        <v>25</v>
      </c>
      <c r="D600">
        <v>1</v>
      </c>
      <c r="E600" t="s">
        <v>28</v>
      </c>
      <c r="F600">
        <v>1</v>
      </c>
      <c r="G600" t="s">
        <v>29</v>
      </c>
      <c r="H600">
        <v>1</v>
      </c>
      <c r="I600">
        <v>2238</v>
      </c>
      <c r="J600">
        <v>21</v>
      </c>
      <c r="K600">
        <v>4</v>
      </c>
      <c r="L600">
        <v>1</v>
      </c>
      <c r="M600">
        <v>7</v>
      </c>
      <c r="N600">
        <v>2</v>
      </c>
      <c r="O600">
        <v>3</v>
      </c>
      <c r="P600">
        <v>5</v>
      </c>
      <c r="Q600">
        <v>0</v>
      </c>
      <c r="R600">
        <v>1</v>
      </c>
      <c r="S600" t="s">
        <v>34</v>
      </c>
      <c r="T600" t="s">
        <v>37</v>
      </c>
      <c r="U600" t="str">
        <f>IF(Table1[[#This Row],[YearsSince
LastPromotion]]&gt; 4, "Delayed", "Normal")</f>
        <v>Normal</v>
      </c>
      <c r="V600" t="str">
        <f>IF(Table1[[#This Row],[Years
InCurrentRole]]&gt;4, "Role Stagnent", "Normal")</f>
        <v>Normal</v>
      </c>
      <c r="W600" t="str">
        <f>IF(AND(Table1[[#This Row],[Years
InCurrentRole]]&gt; 4, Table1[[#This Row],[Performance
Rating]]&gt;=3), "High Risk", "Normal")</f>
        <v>Normal</v>
      </c>
      <c r="X600" t="str">
        <f>IF(Table1[[#This Row],[Performance
Rating]]&gt;=4, "High Performer", "Low Performer")</f>
        <v>High Performer</v>
      </c>
    </row>
    <row r="601" spans="2:24" x14ac:dyDescent="0.3">
      <c r="B601" t="s">
        <v>19</v>
      </c>
      <c r="C601" t="s">
        <v>20</v>
      </c>
      <c r="D601">
        <v>1</v>
      </c>
      <c r="E601" t="s">
        <v>28</v>
      </c>
      <c r="F601">
        <v>2</v>
      </c>
      <c r="G601" t="s">
        <v>32</v>
      </c>
      <c r="H601">
        <v>3</v>
      </c>
      <c r="I601">
        <v>7104</v>
      </c>
      <c r="J601">
        <v>12</v>
      </c>
      <c r="K601">
        <v>3</v>
      </c>
      <c r="L601">
        <v>0</v>
      </c>
      <c r="M601">
        <v>6</v>
      </c>
      <c r="N601">
        <v>3</v>
      </c>
      <c r="O601">
        <v>3</v>
      </c>
      <c r="P601">
        <v>5</v>
      </c>
      <c r="Q601">
        <v>0</v>
      </c>
      <c r="R601">
        <v>1</v>
      </c>
      <c r="S601" t="s">
        <v>34</v>
      </c>
      <c r="T601" t="s">
        <v>37</v>
      </c>
      <c r="U601" t="str">
        <f>IF(Table1[[#This Row],[YearsSince
LastPromotion]]&gt; 4, "Delayed", "Normal")</f>
        <v>Normal</v>
      </c>
      <c r="V601" t="str">
        <f>IF(Table1[[#This Row],[Years
InCurrentRole]]&gt;4, "Role Stagnent", "Normal")</f>
        <v>Normal</v>
      </c>
      <c r="W601" t="str">
        <f>IF(AND(Table1[[#This Row],[Years
InCurrentRole]]&gt; 4, Table1[[#This Row],[Performance
Rating]]&gt;=3), "High Risk", "Normal")</f>
        <v>Normal</v>
      </c>
      <c r="X601" t="str">
        <f>IF(Table1[[#This Row],[Performance
Rating]]&gt;=4, "High Performer", "Low Performer")</f>
        <v>Low Performer</v>
      </c>
    </row>
    <row r="602" spans="2:24" x14ac:dyDescent="0.3">
      <c r="B602" t="s">
        <v>19</v>
      </c>
      <c r="C602" t="s">
        <v>25</v>
      </c>
      <c r="D602">
        <v>1</v>
      </c>
      <c r="E602" t="s">
        <v>21</v>
      </c>
      <c r="F602">
        <v>2</v>
      </c>
      <c r="G602" t="s">
        <v>31</v>
      </c>
      <c r="H602">
        <v>4</v>
      </c>
      <c r="I602">
        <v>6949</v>
      </c>
      <c r="J602">
        <v>14</v>
      </c>
      <c r="K602">
        <v>3</v>
      </c>
      <c r="L602">
        <v>0</v>
      </c>
      <c r="M602">
        <v>6</v>
      </c>
      <c r="N602">
        <v>3</v>
      </c>
      <c r="O602">
        <v>3</v>
      </c>
      <c r="P602">
        <v>5</v>
      </c>
      <c r="Q602">
        <v>0</v>
      </c>
      <c r="R602">
        <v>1</v>
      </c>
      <c r="S602" t="s">
        <v>34</v>
      </c>
      <c r="T602" t="s">
        <v>37</v>
      </c>
      <c r="U602" t="str">
        <f>IF(Table1[[#This Row],[YearsSince
LastPromotion]]&gt; 4, "Delayed", "Normal")</f>
        <v>Normal</v>
      </c>
      <c r="V602" t="str">
        <f>IF(Table1[[#This Row],[Years
InCurrentRole]]&gt;4, "Role Stagnent", "Normal")</f>
        <v>Normal</v>
      </c>
      <c r="W602" t="str">
        <f>IF(AND(Table1[[#This Row],[Years
InCurrentRole]]&gt; 4, Table1[[#This Row],[Performance
Rating]]&gt;=3), "High Risk", "Normal")</f>
        <v>Normal</v>
      </c>
      <c r="X602" t="str">
        <f>IF(Table1[[#This Row],[Performance
Rating]]&gt;=4, "High Performer", "Low Performer")</f>
        <v>Low Performer</v>
      </c>
    </row>
    <row r="603" spans="2:24" x14ac:dyDescent="0.3">
      <c r="B603" t="s">
        <v>19</v>
      </c>
      <c r="C603" t="s">
        <v>25</v>
      </c>
      <c r="D603">
        <v>1</v>
      </c>
      <c r="E603" t="s">
        <v>28</v>
      </c>
      <c r="F603">
        <v>1</v>
      </c>
      <c r="G603" t="s">
        <v>26</v>
      </c>
      <c r="H603">
        <v>4</v>
      </c>
      <c r="I603">
        <v>2932</v>
      </c>
      <c r="J603">
        <v>14</v>
      </c>
      <c r="K603">
        <v>3</v>
      </c>
      <c r="L603">
        <v>3</v>
      </c>
      <c r="M603">
        <v>6</v>
      </c>
      <c r="N603">
        <v>3</v>
      </c>
      <c r="O603">
        <v>3</v>
      </c>
      <c r="P603">
        <v>5</v>
      </c>
      <c r="Q603">
        <v>0</v>
      </c>
      <c r="R603">
        <v>1</v>
      </c>
      <c r="S603" t="s">
        <v>34</v>
      </c>
      <c r="T603" t="s">
        <v>37</v>
      </c>
      <c r="U603" t="str">
        <f>IF(Table1[[#This Row],[YearsSince
LastPromotion]]&gt; 4, "Delayed", "Normal")</f>
        <v>Normal</v>
      </c>
      <c r="V603" t="str">
        <f>IF(Table1[[#This Row],[Years
InCurrentRole]]&gt;4, "Role Stagnent", "Normal")</f>
        <v>Normal</v>
      </c>
      <c r="W603" t="str">
        <f>IF(AND(Table1[[#This Row],[Years
InCurrentRole]]&gt; 4, Table1[[#This Row],[Performance
Rating]]&gt;=3), "High Risk", "Normal")</f>
        <v>Normal</v>
      </c>
      <c r="X603" t="str">
        <f>IF(Table1[[#This Row],[Performance
Rating]]&gt;=4, "High Performer", "Low Performer")</f>
        <v>Low Performer</v>
      </c>
    </row>
    <row r="604" spans="2:24" x14ac:dyDescent="0.3">
      <c r="B604" t="s">
        <v>19</v>
      </c>
      <c r="C604" t="s">
        <v>25</v>
      </c>
      <c r="D604">
        <v>1</v>
      </c>
      <c r="E604" t="s">
        <v>28</v>
      </c>
      <c r="F604">
        <v>1</v>
      </c>
      <c r="G604" t="s">
        <v>29</v>
      </c>
      <c r="H604">
        <v>1</v>
      </c>
      <c r="I604">
        <v>2099</v>
      </c>
      <c r="J604">
        <v>14</v>
      </c>
      <c r="K604">
        <v>3</v>
      </c>
      <c r="L604">
        <v>0</v>
      </c>
      <c r="M604">
        <v>6</v>
      </c>
      <c r="N604">
        <v>3</v>
      </c>
      <c r="O604">
        <v>4</v>
      </c>
      <c r="P604">
        <v>5</v>
      </c>
      <c r="Q604">
        <v>0</v>
      </c>
      <c r="R604">
        <v>1</v>
      </c>
      <c r="S604" t="s">
        <v>34</v>
      </c>
      <c r="T604" t="s">
        <v>37</v>
      </c>
      <c r="U604" t="str">
        <f>IF(Table1[[#This Row],[YearsSince
LastPromotion]]&gt; 4, "Delayed", "Normal")</f>
        <v>Normal</v>
      </c>
      <c r="V604" t="str">
        <f>IF(Table1[[#This Row],[Years
InCurrentRole]]&gt;4, "Role Stagnent", "Normal")</f>
        <v>Normal</v>
      </c>
      <c r="W604" t="str">
        <f>IF(AND(Table1[[#This Row],[Years
InCurrentRole]]&gt; 4, Table1[[#This Row],[Performance
Rating]]&gt;=3), "High Risk", "Normal")</f>
        <v>Normal</v>
      </c>
      <c r="X604" t="str">
        <f>IF(Table1[[#This Row],[Performance
Rating]]&gt;=4, "High Performer", "Low Performer")</f>
        <v>Low Performer</v>
      </c>
    </row>
    <row r="605" spans="2:24" x14ac:dyDescent="0.3">
      <c r="B605" t="s">
        <v>19</v>
      </c>
      <c r="C605" t="s">
        <v>25</v>
      </c>
      <c r="D605">
        <v>1</v>
      </c>
      <c r="E605" t="s">
        <v>28</v>
      </c>
      <c r="F605">
        <v>5</v>
      </c>
      <c r="G605" t="s">
        <v>22</v>
      </c>
      <c r="H605">
        <v>4</v>
      </c>
      <c r="I605">
        <v>19431</v>
      </c>
      <c r="J605">
        <v>13</v>
      </c>
      <c r="K605">
        <v>3</v>
      </c>
      <c r="L605">
        <v>0</v>
      </c>
      <c r="M605">
        <v>21</v>
      </c>
      <c r="N605">
        <v>3</v>
      </c>
      <c r="O605">
        <v>2</v>
      </c>
      <c r="P605">
        <v>6</v>
      </c>
      <c r="Q605">
        <v>0</v>
      </c>
      <c r="R605">
        <v>1</v>
      </c>
      <c r="S605" t="s">
        <v>23</v>
      </c>
      <c r="T605" t="s">
        <v>37</v>
      </c>
      <c r="U605" t="str">
        <f>IF(Table1[[#This Row],[YearsSince
LastPromotion]]&gt; 4, "Delayed", "Normal")</f>
        <v>Normal</v>
      </c>
      <c r="V605" t="str">
        <f>IF(Table1[[#This Row],[Years
InCurrentRole]]&gt;4, "Role Stagnent", "Normal")</f>
        <v>Normal</v>
      </c>
      <c r="W605" t="str">
        <f>IF(AND(Table1[[#This Row],[Years
InCurrentRole]]&gt; 4, Table1[[#This Row],[Performance
Rating]]&gt;=3), "High Risk", "Normal")</f>
        <v>Normal</v>
      </c>
      <c r="X605" t="str">
        <f>IF(Table1[[#This Row],[Performance
Rating]]&gt;=4, "High Performer", "Low Performer")</f>
        <v>Low Performer</v>
      </c>
    </row>
    <row r="606" spans="2:24" x14ac:dyDescent="0.3">
      <c r="B606" t="s">
        <v>19</v>
      </c>
      <c r="C606" t="s">
        <v>20</v>
      </c>
      <c r="D606">
        <v>1</v>
      </c>
      <c r="E606" t="s">
        <v>21</v>
      </c>
      <c r="F606">
        <v>2</v>
      </c>
      <c r="G606" t="s">
        <v>32</v>
      </c>
      <c r="H606">
        <v>3</v>
      </c>
      <c r="I606">
        <v>5561</v>
      </c>
      <c r="J606">
        <v>14</v>
      </c>
      <c r="K606">
        <v>3</v>
      </c>
      <c r="L606">
        <v>1</v>
      </c>
      <c r="M606">
        <v>6</v>
      </c>
      <c r="N606">
        <v>5</v>
      </c>
      <c r="O606">
        <v>2</v>
      </c>
      <c r="P606">
        <v>6</v>
      </c>
      <c r="Q606">
        <v>0</v>
      </c>
      <c r="R606">
        <v>1</v>
      </c>
      <c r="S606" t="s">
        <v>23</v>
      </c>
      <c r="T606" t="s">
        <v>37</v>
      </c>
      <c r="U606" t="str">
        <f>IF(Table1[[#This Row],[YearsSince
LastPromotion]]&gt; 4, "Delayed", "Normal")</f>
        <v>Normal</v>
      </c>
      <c r="V606" t="str">
        <f>IF(Table1[[#This Row],[Years
InCurrentRole]]&gt;4, "Role Stagnent", "Normal")</f>
        <v>Normal</v>
      </c>
      <c r="W606" t="str">
        <f>IF(AND(Table1[[#This Row],[Years
InCurrentRole]]&gt; 4, Table1[[#This Row],[Performance
Rating]]&gt;=3), "High Risk", "Normal")</f>
        <v>Normal</v>
      </c>
      <c r="X606" t="str">
        <f>IF(Table1[[#This Row],[Performance
Rating]]&gt;=4, "High Performer", "Low Performer")</f>
        <v>Low Performer</v>
      </c>
    </row>
    <row r="607" spans="2:24" x14ac:dyDescent="0.3">
      <c r="B607" t="s">
        <v>19</v>
      </c>
      <c r="C607" t="s">
        <v>25</v>
      </c>
      <c r="D607">
        <v>1</v>
      </c>
      <c r="E607" t="s">
        <v>28</v>
      </c>
      <c r="F607">
        <v>2</v>
      </c>
      <c r="G607" t="s">
        <v>31</v>
      </c>
      <c r="H607">
        <v>4</v>
      </c>
      <c r="I607">
        <v>6623</v>
      </c>
      <c r="J607">
        <v>11</v>
      </c>
      <c r="K607">
        <v>3</v>
      </c>
      <c r="L607">
        <v>2</v>
      </c>
      <c r="M607">
        <v>6</v>
      </c>
      <c r="N607">
        <v>2</v>
      </c>
      <c r="O607">
        <v>3</v>
      </c>
      <c r="P607">
        <v>6</v>
      </c>
      <c r="Q607">
        <v>0</v>
      </c>
      <c r="R607">
        <v>1</v>
      </c>
      <c r="S607" t="s">
        <v>34</v>
      </c>
      <c r="T607" t="s">
        <v>37</v>
      </c>
      <c r="U607" t="str">
        <f>IF(Table1[[#This Row],[YearsSince
LastPromotion]]&gt; 4, "Delayed", "Normal")</f>
        <v>Normal</v>
      </c>
      <c r="V607" t="str">
        <f>IF(Table1[[#This Row],[Years
InCurrentRole]]&gt;4, "Role Stagnent", "Normal")</f>
        <v>Normal</v>
      </c>
      <c r="W607" t="str">
        <f>IF(AND(Table1[[#This Row],[Years
InCurrentRole]]&gt; 4, Table1[[#This Row],[Performance
Rating]]&gt;=3), "High Risk", "Normal")</f>
        <v>Normal</v>
      </c>
      <c r="X607" t="str">
        <f>IF(Table1[[#This Row],[Performance
Rating]]&gt;=4, "High Performer", "Low Performer")</f>
        <v>Low Performer</v>
      </c>
    </row>
    <row r="608" spans="2:24" x14ac:dyDescent="0.3">
      <c r="B608" t="s">
        <v>19</v>
      </c>
      <c r="C608" t="s">
        <v>25</v>
      </c>
      <c r="D608">
        <v>1</v>
      </c>
      <c r="E608" t="s">
        <v>28</v>
      </c>
      <c r="F608">
        <v>2</v>
      </c>
      <c r="G608" t="s">
        <v>31</v>
      </c>
      <c r="H608">
        <v>3</v>
      </c>
      <c r="I608">
        <v>5294</v>
      </c>
      <c r="J608">
        <v>16</v>
      </c>
      <c r="K608">
        <v>3</v>
      </c>
      <c r="L608">
        <v>1</v>
      </c>
      <c r="M608">
        <v>10</v>
      </c>
      <c r="N608">
        <v>3</v>
      </c>
      <c r="O608">
        <v>3</v>
      </c>
      <c r="P608">
        <v>7</v>
      </c>
      <c r="Q608">
        <v>0</v>
      </c>
      <c r="R608">
        <v>1</v>
      </c>
      <c r="S608" t="s">
        <v>34</v>
      </c>
      <c r="T608" t="s">
        <v>37</v>
      </c>
      <c r="U608" t="str">
        <f>IF(Table1[[#This Row],[YearsSince
LastPromotion]]&gt; 4, "Delayed", "Normal")</f>
        <v>Normal</v>
      </c>
      <c r="V608" t="str">
        <f>IF(Table1[[#This Row],[Years
InCurrentRole]]&gt;4, "Role Stagnent", "Normal")</f>
        <v>Normal</v>
      </c>
      <c r="W608" t="str">
        <f>IF(AND(Table1[[#This Row],[Years
InCurrentRole]]&gt; 4, Table1[[#This Row],[Performance
Rating]]&gt;=3), "High Risk", "Normal")</f>
        <v>Normal</v>
      </c>
      <c r="X608" t="str">
        <f>IF(Table1[[#This Row],[Performance
Rating]]&gt;=4, "High Performer", "Low Performer")</f>
        <v>Low Performer</v>
      </c>
    </row>
    <row r="609" spans="2:24" x14ac:dyDescent="0.3">
      <c r="B609" t="s">
        <v>19</v>
      </c>
      <c r="C609" t="s">
        <v>25</v>
      </c>
      <c r="D609">
        <v>1</v>
      </c>
      <c r="E609" t="s">
        <v>28</v>
      </c>
      <c r="F609">
        <v>2</v>
      </c>
      <c r="G609" t="s">
        <v>31</v>
      </c>
      <c r="H609">
        <v>3</v>
      </c>
      <c r="I609">
        <v>6384</v>
      </c>
      <c r="J609">
        <v>17</v>
      </c>
      <c r="K609">
        <v>3</v>
      </c>
      <c r="L609">
        <v>2</v>
      </c>
      <c r="M609">
        <v>11</v>
      </c>
      <c r="N609">
        <v>3</v>
      </c>
      <c r="O609">
        <v>3</v>
      </c>
      <c r="P609">
        <v>7</v>
      </c>
      <c r="Q609">
        <v>0</v>
      </c>
      <c r="R609">
        <v>1</v>
      </c>
      <c r="S609" t="s">
        <v>34</v>
      </c>
      <c r="T609" t="s">
        <v>37</v>
      </c>
      <c r="U609" t="str">
        <f>IF(Table1[[#This Row],[YearsSince
LastPromotion]]&gt; 4, "Delayed", "Normal")</f>
        <v>Normal</v>
      </c>
      <c r="V609" t="str">
        <f>IF(Table1[[#This Row],[Years
InCurrentRole]]&gt;4, "Role Stagnent", "Normal")</f>
        <v>Normal</v>
      </c>
      <c r="W609" t="str">
        <f>IF(AND(Table1[[#This Row],[Years
InCurrentRole]]&gt; 4, Table1[[#This Row],[Performance
Rating]]&gt;=3), "High Risk", "Normal")</f>
        <v>Normal</v>
      </c>
      <c r="X609" t="str">
        <f>IF(Table1[[#This Row],[Performance
Rating]]&gt;=4, "High Performer", "Low Performer")</f>
        <v>Low Performer</v>
      </c>
    </row>
    <row r="610" spans="2:24" x14ac:dyDescent="0.3">
      <c r="B610" t="s">
        <v>19</v>
      </c>
      <c r="C610" t="s">
        <v>25</v>
      </c>
      <c r="D610">
        <v>1</v>
      </c>
      <c r="E610" t="s">
        <v>28</v>
      </c>
      <c r="F610">
        <v>1</v>
      </c>
      <c r="G610" t="s">
        <v>29</v>
      </c>
      <c r="H610">
        <v>3</v>
      </c>
      <c r="I610">
        <v>2258</v>
      </c>
      <c r="J610">
        <v>12</v>
      </c>
      <c r="K610">
        <v>3</v>
      </c>
      <c r="L610">
        <v>1</v>
      </c>
      <c r="M610">
        <v>10</v>
      </c>
      <c r="N610">
        <v>2</v>
      </c>
      <c r="O610">
        <v>3</v>
      </c>
      <c r="P610">
        <v>8</v>
      </c>
      <c r="Q610">
        <v>0</v>
      </c>
      <c r="R610">
        <v>1</v>
      </c>
      <c r="S610" t="s">
        <v>34</v>
      </c>
      <c r="T610" t="s">
        <v>37</v>
      </c>
      <c r="U610" t="str">
        <f>IF(Table1[[#This Row],[YearsSince
LastPromotion]]&gt; 4, "Delayed", "Normal")</f>
        <v>Normal</v>
      </c>
      <c r="V610" t="str">
        <f>IF(Table1[[#This Row],[Years
InCurrentRole]]&gt;4, "Role Stagnent", "Normal")</f>
        <v>Normal</v>
      </c>
      <c r="W610" t="str">
        <f>IF(AND(Table1[[#This Row],[Years
InCurrentRole]]&gt; 4, Table1[[#This Row],[Performance
Rating]]&gt;=3), "High Risk", "Normal")</f>
        <v>Normal</v>
      </c>
      <c r="X610" t="str">
        <f>IF(Table1[[#This Row],[Performance
Rating]]&gt;=4, "High Performer", "Low Performer")</f>
        <v>Low Performer</v>
      </c>
    </row>
    <row r="611" spans="2:24" x14ac:dyDescent="0.3">
      <c r="B611" t="s">
        <v>19</v>
      </c>
      <c r="C611" t="s">
        <v>36</v>
      </c>
      <c r="D611">
        <v>1</v>
      </c>
      <c r="E611" t="s">
        <v>21</v>
      </c>
      <c r="F611">
        <v>3</v>
      </c>
      <c r="G611" t="s">
        <v>36</v>
      </c>
      <c r="H611">
        <v>4</v>
      </c>
      <c r="I611">
        <v>8837</v>
      </c>
      <c r="J611">
        <v>16</v>
      </c>
      <c r="K611">
        <v>3</v>
      </c>
      <c r="L611">
        <v>0</v>
      </c>
      <c r="M611">
        <v>9</v>
      </c>
      <c r="N611">
        <v>2</v>
      </c>
      <c r="O611">
        <v>3</v>
      </c>
      <c r="P611">
        <v>9</v>
      </c>
      <c r="Q611">
        <v>0</v>
      </c>
      <c r="R611">
        <v>1</v>
      </c>
      <c r="S611" t="s">
        <v>34</v>
      </c>
      <c r="T611" t="s">
        <v>37</v>
      </c>
      <c r="U611" t="str">
        <f>IF(Table1[[#This Row],[YearsSince
LastPromotion]]&gt; 4, "Delayed", "Normal")</f>
        <v>Normal</v>
      </c>
      <c r="V611" t="str">
        <f>IF(Table1[[#This Row],[Years
InCurrentRole]]&gt;4, "Role Stagnent", "Normal")</f>
        <v>Normal</v>
      </c>
      <c r="W611" t="str">
        <f>IF(AND(Table1[[#This Row],[Years
InCurrentRole]]&gt; 4, Table1[[#This Row],[Performance
Rating]]&gt;=3), "High Risk", "Normal")</f>
        <v>Normal</v>
      </c>
      <c r="X611" t="str">
        <f>IF(Table1[[#This Row],[Performance
Rating]]&gt;=4, "High Performer", "Low Performer")</f>
        <v>Low Performer</v>
      </c>
    </row>
    <row r="612" spans="2:24" x14ac:dyDescent="0.3">
      <c r="B612" t="s">
        <v>19</v>
      </c>
      <c r="C612" t="s">
        <v>25</v>
      </c>
      <c r="D612">
        <v>1</v>
      </c>
      <c r="E612" t="s">
        <v>28</v>
      </c>
      <c r="F612">
        <v>2</v>
      </c>
      <c r="G612" t="s">
        <v>29</v>
      </c>
      <c r="H612">
        <v>1</v>
      </c>
      <c r="I612">
        <v>4558</v>
      </c>
      <c r="J612">
        <v>12</v>
      </c>
      <c r="K612">
        <v>3</v>
      </c>
      <c r="L612">
        <v>1</v>
      </c>
      <c r="M612">
        <v>10</v>
      </c>
      <c r="N612">
        <v>2</v>
      </c>
      <c r="O612">
        <v>3</v>
      </c>
      <c r="P612">
        <v>10</v>
      </c>
      <c r="Q612">
        <v>0</v>
      </c>
      <c r="R612">
        <v>1</v>
      </c>
      <c r="S612" t="s">
        <v>34</v>
      </c>
      <c r="T612" t="s">
        <v>37</v>
      </c>
      <c r="U612" t="str">
        <f>IF(Table1[[#This Row],[YearsSince
LastPromotion]]&gt; 4, "Delayed", "Normal")</f>
        <v>Normal</v>
      </c>
      <c r="V612" t="str">
        <f>IF(Table1[[#This Row],[Years
InCurrentRole]]&gt;4, "Role Stagnent", "Normal")</f>
        <v>Normal</v>
      </c>
      <c r="W612" t="str">
        <f>IF(AND(Table1[[#This Row],[Years
InCurrentRole]]&gt; 4, Table1[[#This Row],[Performance
Rating]]&gt;=3), "High Risk", "Normal")</f>
        <v>Normal</v>
      </c>
      <c r="X612" t="str">
        <f>IF(Table1[[#This Row],[Performance
Rating]]&gt;=4, "High Performer", "Low Performer")</f>
        <v>Low Performer</v>
      </c>
    </row>
    <row r="613" spans="2:24" x14ac:dyDescent="0.3">
      <c r="B613" t="s">
        <v>19</v>
      </c>
      <c r="C613" t="s">
        <v>25</v>
      </c>
      <c r="D613">
        <v>1</v>
      </c>
      <c r="E613" t="s">
        <v>28</v>
      </c>
      <c r="F613">
        <v>1</v>
      </c>
      <c r="G613" t="s">
        <v>29</v>
      </c>
      <c r="H613">
        <v>3</v>
      </c>
      <c r="I613">
        <v>2206</v>
      </c>
      <c r="J613">
        <v>13</v>
      </c>
      <c r="K613">
        <v>3</v>
      </c>
      <c r="L613">
        <v>0</v>
      </c>
      <c r="M613">
        <v>10</v>
      </c>
      <c r="N613">
        <v>5</v>
      </c>
      <c r="O613">
        <v>3</v>
      </c>
      <c r="P613">
        <v>10</v>
      </c>
      <c r="Q613">
        <v>0</v>
      </c>
      <c r="R613">
        <v>1</v>
      </c>
      <c r="S613" t="s">
        <v>34</v>
      </c>
      <c r="T613" t="s">
        <v>37</v>
      </c>
      <c r="U613" t="str">
        <f>IF(Table1[[#This Row],[YearsSince
LastPromotion]]&gt; 4, "Delayed", "Normal")</f>
        <v>Normal</v>
      </c>
      <c r="V613" t="str">
        <f>IF(Table1[[#This Row],[Years
InCurrentRole]]&gt;4, "Role Stagnent", "Normal")</f>
        <v>Normal</v>
      </c>
      <c r="W613" t="str">
        <f>IF(AND(Table1[[#This Row],[Years
InCurrentRole]]&gt; 4, Table1[[#This Row],[Performance
Rating]]&gt;=3), "High Risk", "Normal")</f>
        <v>Normal</v>
      </c>
      <c r="X613" t="str">
        <f>IF(Table1[[#This Row],[Performance
Rating]]&gt;=4, "High Performer", "Low Performer")</f>
        <v>Low Performer</v>
      </c>
    </row>
    <row r="614" spans="2:24" x14ac:dyDescent="0.3">
      <c r="B614" t="s">
        <v>19</v>
      </c>
      <c r="C614" t="s">
        <v>25</v>
      </c>
      <c r="D614">
        <v>1</v>
      </c>
      <c r="E614" t="s">
        <v>28</v>
      </c>
      <c r="F614">
        <v>5</v>
      </c>
      <c r="G614" t="s">
        <v>22</v>
      </c>
      <c r="H614">
        <v>4</v>
      </c>
      <c r="I614">
        <v>19202</v>
      </c>
      <c r="J614">
        <v>11</v>
      </c>
      <c r="K614">
        <v>3</v>
      </c>
      <c r="L614">
        <v>1</v>
      </c>
      <c r="M614">
        <v>25</v>
      </c>
      <c r="N614">
        <v>2</v>
      </c>
      <c r="O614">
        <v>3</v>
      </c>
      <c r="P614">
        <v>24</v>
      </c>
      <c r="Q614">
        <v>0</v>
      </c>
      <c r="R614">
        <v>1</v>
      </c>
      <c r="S614" t="s">
        <v>34</v>
      </c>
      <c r="T614" t="s">
        <v>37</v>
      </c>
      <c r="U614" t="str">
        <f>IF(Table1[[#This Row],[YearsSince
LastPromotion]]&gt; 4, "Delayed", "Normal")</f>
        <v>Normal</v>
      </c>
      <c r="V614" t="str">
        <f>IF(Table1[[#This Row],[Years
InCurrentRole]]&gt;4, "Role Stagnent", "Normal")</f>
        <v>Normal</v>
      </c>
      <c r="W614" t="str">
        <f>IF(AND(Table1[[#This Row],[Years
InCurrentRole]]&gt; 4, Table1[[#This Row],[Performance
Rating]]&gt;=3), "High Risk", "Normal")</f>
        <v>Normal</v>
      </c>
      <c r="X614" t="str">
        <f>IF(Table1[[#This Row],[Performance
Rating]]&gt;=4, "High Performer", "Low Performer")</f>
        <v>Low Performer</v>
      </c>
    </row>
    <row r="615" spans="2:24" x14ac:dyDescent="0.3">
      <c r="B615" t="s">
        <v>19</v>
      </c>
      <c r="C615" t="s">
        <v>25</v>
      </c>
      <c r="D615">
        <v>1</v>
      </c>
      <c r="E615" t="s">
        <v>28</v>
      </c>
      <c r="F615">
        <v>1</v>
      </c>
      <c r="G615" t="s">
        <v>26</v>
      </c>
      <c r="H615">
        <v>2</v>
      </c>
      <c r="I615">
        <v>2501</v>
      </c>
      <c r="J615">
        <v>17</v>
      </c>
      <c r="K615">
        <v>3</v>
      </c>
      <c r="L615">
        <v>0</v>
      </c>
      <c r="M615">
        <v>1</v>
      </c>
      <c r="N615">
        <v>4</v>
      </c>
      <c r="O615">
        <v>3</v>
      </c>
      <c r="P615">
        <v>1</v>
      </c>
      <c r="Q615">
        <v>1</v>
      </c>
      <c r="R615">
        <v>1</v>
      </c>
      <c r="S615" t="s">
        <v>34</v>
      </c>
      <c r="T615" t="s">
        <v>24</v>
      </c>
      <c r="U615" t="str">
        <f>IF(Table1[[#This Row],[YearsSince
LastPromotion]]&gt; 4, "Delayed", "Normal")</f>
        <v>Normal</v>
      </c>
      <c r="V615" t="str">
        <f>IF(Table1[[#This Row],[Years
InCurrentRole]]&gt;4, "Role Stagnent", "Normal")</f>
        <v>Normal</v>
      </c>
      <c r="W615" t="str">
        <f>IF(AND(Table1[[#This Row],[Years
InCurrentRole]]&gt; 4, Table1[[#This Row],[Performance
Rating]]&gt;=3), "High Risk", "Normal")</f>
        <v>Normal</v>
      </c>
      <c r="X615" t="str">
        <f>IF(Table1[[#This Row],[Performance
Rating]]&gt;=4, "High Performer", "Low Performer")</f>
        <v>Low Performer</v>
      </c>
    </row>
    <row r="616" spans="2:24" x14ac:dyDescent="0.3">
      <c r="B616" t="s">
        <v>19</v>
      </c>
      <c r="C616" t="s">
        <v>25</v>
      </c>
      <c r="D616">
        <v>1</v>
      </c>
      <c r="E616" t="s">
        <v>21</v>
      </c>
      <c r="F616">
        <v>1</v>
      </c>
      <c r="G616" t="s">
        <v>26</v>
      </c>
      <c r="H616">
        <v>2</v>
      </c>
      <c r="I616">
        <v>2244</v>
      </c>
      <c r="J616">
        <v>13</v>
      </c>
      <c r="K616">
        <v>3</v>
      </c>
      <c r="L616">
        <v>1</v>
      </c>
      <c r="M616">
        <v>2</v>
      </c>
      <c r="N616">
        <v>1</v>
      </c>
      <c r="O616">
        <v>3</v>
      </c>
      <c r="P616">
        <v>2</v>
      </c>
      <c r="Q616">
        <v>1</v>
      </c>
      <c r="R616">
        <v>1</v>
      </c>
      <c r="S616" t="s">
        <v>34</v>
      </c>
      <c r="T616" t="s">
        <v>24</v>
      </c>
      <c r="U616" t="str">
        <f>IF(Table1[[#This Row],[YearsSince
LastPromotion]]&gt; 4, "Delayed", "Normal")</f>
        <v>Normal</v>
      </c>
      <c r="V616" t="str">
        <f>IF(Table1[[#This Row],[Years
InCurrentRole]]&gt;4, "Role Stagnent", "Normal")</f>
        <v>Normal</v>
      </c>
      <c r="W616" t="str">
        <f>IF(AND(Table1[[#This Row],[Years
InCurrentRole]]&gt; 4, Table1[[#This Row],[Performance
Rating]]&gt;=3), "High Risk", "Normal")</f>
        <v>Normal</v>
      </c>
      <c r="X616" t="str">
        <f>IF(Table1[[#This Row],[Performance
Rating]]&gt;=4, "High Performer", "Low Performer")</f>
        <v>Low Performer</v>
      </c>
    </row>
    <row r="617" spans="2:24" x14ac:dyDescent="0.3">
      <c r="B617" t="s">
        <v>27</v>
      </c>
      <c r="C617" t="s">
        <v>20</v>
      </c>
      <c r="D617">
        <v>1</v>
      </c>
      <c r="E617" t="s">
        <v>28</v>
      </c>
      <c r="F617">
        <v>2</v>
      </c>
      <c r="G617" t="s">
        <v>32</v>
      </c>
      <c r="H617">
        <v>1</v>
      </c>
      <c r="I617">
        <v>4233</v>
      </c>
      <c r="J617">
        <v>17</v>
      </c>
      <c r="K617">
        <v>3</v>
      </c>
      <c r="L617">
        <v>0</v>
      </c>
      <c r="M617">
        <v>9</v>
      </c>
      <c r="N617">
        <v>2</v>
      </c>
      <c r="O617">
        <v>1</v>
      </c>
      <c r="P617">
        <v>3</v>
      </c>
      <c r="Q617">
        <v>1</v>
      </c>
      <c r="R617">
        <v>1</v>
      </c>
      <c r="S617" t="s">
        <v>23</v>
      </c>
      <c r="T617" t="s">
        <v>24</v>
      </c>
      <c r="U617" t="str">
        <f>IF(Table1[[#This Row],[YearsSince
LastPromotion]]&gt; 4, "Delayed", "Normal")</f>
        <v>Normal</v>
      </c>
      <c r="V617" t="str">
        <f>IF(Table1[[#This Row],[Years
InCurrentRole]]&gt;4, "Role Stagnent", "Normal")</f>
        <v>Normal</v>
      </c>
      <c r="W617" t="str">
        <f>IF(AND(Table1[[#This Row],[Years
InCurrentRole]]&gt; 4, Table1[[#This Row],[Performance
Rating]]&gt;=3), "High Risk", "Normal")</f>
        <v>Normal</v>
      </c>
      <c r="X617" t="str">
        <f>IF(Table1[[#This Row],[Performance
Rating]]&gt;=4, "High Performer", "Low Performer")</f>
        <v>Low Performer</v>
      </c>
    </row>
    <row r="618" spans="2:24" x14ac:dyDescent="0.3">
      <c r="B618" t="s">
        <v>19</v>
      </c>
      <c r="C618" t="s">
        <v>25</v>
      </c>
      <c r="D618">
        <v>1</v>
      </c>
      <c r="E618" t="s">
        <v>28</v>
      </c>
      <c r="F618">
        <v>1</v>
      </c>
      <c r="G618" t="s">
        <v>26</v>
      </c>
      <c r="H618">
        <v>3</v>
      </c>
      <c r="I618">
        <v>2345</v>
      </c>
      <c r="J618">
        <v>14</v>
      </c>
      <c r="K618">
        <v>3</v>
      </c>
      <c r="L618">
        <v>1</v>
      </c>
      <c r="M618">
        <v>8</v>
      </c>
      <c r="N618">
        <v>3</v>
      </c>
      <c r="O618">
        <v>4</v>
      </c>
      <c r="P618">
        <v>3</v>
      </c>
      <c r="Q618">
        <v>1</v>
      </c>
      <c r="R618">
        <v>1</v>
      </c>
      <c r="S618" t="s">
        <v>34</v>
      </c>
      <c r="T618" t="s">
        <v>24</v>
      </c>
      <c r="U618" t="str">
        <f>IF(Table1[[#This Row],[YearsSince
LastPromotion]]&gt; 4, "Delayed", "Normal")</f>
        <v>Normal</v>
      </c>
      <c r="V618" t="str">
        <f>IF(Table1[[#This Row],[Years
InCurrentRole]]&gt;4, "Role Stagnent", "Normal")</f>
        <v>Normal</v>
      </c>
      <c r="W618" t="str">
        <f>IF(AND(Table1[[#This Row],[Years
InCurrentRole]]&gt; 4, Table1[[#This Row],[Performance
Rating]]&gt;=3), "High Risk", "Normal")</f>
        <v>Normal</v>
      </c>
      <c r="X618" t="str">
        <f>IF(Table1[[#This Row],[Performance
Rating]]&gt;=4, "High Performer", "Low Performer")</f>
        <v>Low Performer</v>
      </c>
    </row>
    <row r="619" spans="2:24" x14ac:dyDescent="0.3">
      <c r="B619" t="s">
        <v>19</v>
      </c>
      <c r="C619" t="s">
        <v>25</v>
      </c>
      <c r="D619">
        <v>1</v>
      </c>
      <c r="E619" t="s">
        <v>28</v>
      </c>
      <c r="F619">
        <v>3</v>
      </c>
      <c r="G619" t="s">
        <v>33</v>
      </c>
      <c r="H619">
        <v>4</v>
      </c>
      <c r="I619">
        <v>9380</v>
      </c>
      <c r="J619">
        <v>18</v>
      </c>
      <c r="K619">
        <v>3</v>
      </c>
      <c r="L619">
        <v>2</v>
      </c>
      <c r="M619">
        <v>10</v>
      </c>
      <c r="N619">
        <v>4</v>
      </c>
      <c r="O619">
        <v>4</v>
      </c>
      <c r="P619">
        <v>3</v>
      </c>
      <c r="Q619">
        <v>1</v>
      </c>
      <c r="R619">
        <v>1</v>
      </c>
      <c r="S619" t="s">
        <v>34</v>
      </c>
      <c r="T619" t="s">
        <v>24</v>
      </c>
      <c r="U619" t="str">
        <f>IF(Table1[[#This Row],[YearsSince
LastPromotion]]&gt; 4, "Delayed", "Normal")</f>
        <v>Normal</v>
      </c>
      <c r="V619" t="str">
        <f>IF(Table1[[#This Row],[Years
InCurrentRole]]&gt;4, "Role Stagnent", "Normal")</f>
        <v>Normal</v>
      </c>
      <c r="W619" t="str">
        <f>IF(AND(Table1[[#This Row],[Years
InCurrentRole]]&gt; 4, Table1[[#This Row],[Performance
Rating]]&gt;=3), "High Risk", "Normal")</f>
        <v>Normal</v>
      </c>
      <c r="X619" t="str">
        <f>IF(Table1[[#This Row],[Performance
Rating]]&gt;=4, "High Performer", "Low Performer")</f>
        <v>Low Performer</v>
      </c>
    </row>
    <row r="620" spans="2:24" x14ac:dyDescent="0.3">
      <c r="B620" t="s">
        <v>19</v>
      </c>
      <c r="C620" t="s">
        <v>25</v>
      </c>
      <c r="D620">
        <v>1</v>
      </c>
      <c r="E620" t="s">
        <v>28</v>
      </c>
      <c r="F620">
        <v>2</v>
      </c>
      <c r="G620" t="s">
        <v>33</v>
      </c>
      <c r="H620">
        <v>2</v>
      </c>
      <c r="I620">
        <v>5482</v>
      </c>
      <c r="J620">
        <v>18</v>
      </c>
      <c r="K620">
        <v>3</v>
      </c>
      <c r="L620">
        <v>1</v>
      </c>
      <c r="M620">
        <v>13</v>
      </c>
      <c r="N620">
        <v>3</v>
      </c>
      <c r="O620">
        <v>3</v>
      </c>
      <c r="P620">
        <v>4</v>
      </c>
      <c r="Q620">
        <v>1</v>
      </c>
      <c r="R620">
        <v>1</v>
      </c>
      <c r="S620" t="s">
        <v>34</v>
      </c>
      <c r="T620" t="s">
        <v>38</v>
      </c>
      <c r="U620" t="str">
        <f>IF(Table1[[#This Row],[YearsSince
LastPromotion]]&gt; 4, "Delayed", "Normal")</f>
        <v>Normal</v>
      </c>
      <c r="V620" t="str">
        <f>IF(Table1[[#This Row],[Years
InCurrentRole]]&gt;4, "Role Stagnent", "Normal")</f>
        <v>Normal</v>
      </c>
      <c r="W620" t="str">
        <f>IF(AND(Table1[[#This Row],[Years
InCurrentRole]]&gt; 4, Table1[[#This Row],[Performance
Rating]]&gt;=3), "High Risk", "Normal")</f>
        <v>Normal</v>
      </c>
      <c r="X620" t="str">
        <f>IF(Table1[[#This Row],[Performance
Rating]]&gt;=4, "High Performer", "Low Performer")</f>
        <v>Low Performer</v>
      </c>
    </row>
    <row r="621" spans="2:24" x14ac:dyDescent="0.3">
      <c r="B621" t="s">
        <v>19</v>
      </c>
      <c r="C621" t="s">
        <v>25</v>
      </c>
      <c r="D621">
        <v>1</v>
      </c>
      <c r="E621" t="s">
        <v>28</v>
      </c>
      <c r="F621">
        <v>4</v>
      </c>
      <c r="G621" t="s">
        <v>35</v>
      </c>
      <c r="H621">
        <v>1</v>
      </c>
      <c r="I621">
        <v>17159</v>
      </c>
      <c r="J621">
        <v>24</v>
      </c>
      <c r="K621">
        <v>4</v>
      </c>
      <c r="L621">
        <v>1</v>
      </c>
      <c r="M621">
        <v>22</v>
      </c>
      <c r="N621">
        <v>3</v>
      </c>
      <c r="O621">
        <v>3</v>
      </c>
      <c r="P621">
        <v>4</v>
      </c>
      <c r="Q621">
        <v>1</v>
      </c>
      <c r="R621">
        <v>1</v>
      </c>
      <c r="S621" t="s">
        <v>34</v>
      </c>
      <c r="T621" t="s">
        <v>38</v>
      </c>
      <c r="U621" t="str">
        <f>IF(Table1[[#This Row],[YearsSince
LastPromotion]]&gt; 4, "Delayed", "Normal")</f>
        <v>Normal</v>
      </c>
      <c r="V621" t="str">
        <f>IF(Table1[[#This Row],[Years
InCurrentRole]]&gt;4, "Role Stagnent", "Normal")</f>
        <v>Normal</v>
      </c>
      <c r="W621" t="str">
        <f>IF(AND(Table1[[#This Row],[Years
InCurrentRole]]&gt; 4, Table1[[#This Row],[Performance
Rating]]&gt;=3), "High Risk", "Normal")</f>
        <v>Normal</v>
      </c>
      <c r="X621" t="str">
        <f>IF(Table1[[#This Row],[Performance
Rating]]&gt;=4, "High Performer", "Low Performer")</f>
        <v>High Performer</v>
      </c>
    </row>
    <row r="622" spans="2:24" x14ac:dyDescent="0.3">
      <c r="B622" t="s">
        <v>27</v>
      </c>
      <c r="C622" t="s">
        <v>36</v>
      </c>
      <c r="D622">
        <v>1</v>
      </c>
      <c r="E622" t="s">
        <v>21</v>
      </c>
      <c r="F622">
        <v>1</v>
      </c>
      <c r="G622" t="s">
        <v>36</v>
      </c>
      <c r="H622">
        <v>2</v>
      </c>
      <c r="I622">
        <v>2148</v>
      </c>
      <c r="J622">
        <v>11</v>
      </c>
      <c r="K622">
        <v>3</v>
      </c>
      <c r="L622">
        <v>0</v>
      </c>
      <c r="M622">
        <v>6</v>
      </c>
      <c r="N622">
        <v>3</v>
      </c>
      <c r="O622">
        <v>3</v>
      </c>
      <c r="P622">
        <v>5</v>
      </c>
      <c r="Q622">
        <v>1</v>
      </c>
      <c r="R622">
        <v>1</v>
      </c>
      <c r="S622" t="s">
        <v>34</v>
      </c>
      <c r="T622" t="s">
        <v>37</v>
      </c>
      <c r="U622" t="str">
        <f>IF(Table1[[#This Row],[YearsSince
LastPromotion]]&gt; 4, "Delayed", "Normal")</f>
        <v>Normal</v>
      </c>
      <c r="V622" t="str">
        <f>IF(Table1[[#This Row],[Years
InCurrentRole]]&gt;4, "Role Stagnent", "Normal")</f>
        <v>Normal</v>
      </c>
      <c r="W622" t="str">
        <f>IF(AND(Table1[[#This Row],[Years
InCurrentRole]]&gt; 4, Table1[[#This Row],[Performance
Rating]]&gt;=3), "High Risk", "Normal")</f>
        <v>Normal</v>
      </c>
      <c r="X622" t="str">
        <f>IF(Table1[[#This Row],[Performance
Rating]]&gt;=4, "High Performer", "Low Performer")</f>
        <v>Low Performer</v>
      </c>
    </row>
    <row r="623" spans="2:24" x14ac:dyDescent="0.3">
      <c r="B623" t="s">
        <v>19</v>
      </c>
      <c r="C623" t="s">
        <v>25</v>
      </c>
      <c r="D623">
        <v>1</v>
      </c>
      <c r="E623" t="s">
        <v>28</v>
      </c>
      <c r="F623">
        <v>4</v>
      </c>
      <c r="G623" t="s">
        <v>35</v>
      </c>
      <c r="H623">
        <v>3</v>
      </c>
      <c r="I623">
        <v>14814</v>
      </c>
      <c r="J623">
        <v>19</v>
      </c>
      <c r="K623">
        <v>3</v>
      </c>
      <c r="L623">
        <v>0</v>
      </c>
      <c r="M623">
        <v>32</v>
      </c>
      <c r="N623">
        <v>3</v>
      </c>
      <c r="O623">
        <v>3</v>
      </c>
      <c r="P623">
        <v>5</v>
      </c>
      <c r="Q623">
        <v>1</v>
      </c>
      <c r="R623">
        <v>1</v>
      </c>
      <c r="S623" t="s">
        <v>34</v>
      </c>
      <c r="T623" t="s">
        <v>37</v>
      </c>
      <c r="U623" t="str">
        <f>IF(Table1[[#This Row],[YearsSince
LastPromotion]]&gt; 4, "Delayed", "Normal")</f>
        <v>Normal</v>
      </c>
      <c r="V623" t="str">
        <f>IF(Table1[[#This Row],[Years
InCurrentRole]]&gt;4, "Role Stagnent", "Normal")</f>
        <v>Normal</v>
      </c>
      <c r="W623" t="str">
        <f>IF(AND(Table1[[#This Row],[Years
InCurrentRole]]&gt; 4, Table1[[#This Row],[Performance
Rating]]&gt;=3), "High Risk", "Normal")</f>
        <v>Normal</v>
      </c>
      <c r="X623" t="str">
        <f>IF(Table1[[#This Row],[Performance
Rating]]&gt;=4, "High Performer", "Low Performer")</f>
        <v>Low Performer</v>
      </c>
    </row>
    <row r="624" spans="2:24" x14ac:dyDescent="0.3">
      <c r="B624" t="s">
        <v>19</v>
      </c>
      <c r="C624" t="s">
        <v>25</v>
      </c>
      <c r="D624">
        <v>1</v>
      </c>
      <c r="E624" t="s">
        <v>21</v>
      </c>
      <c r="F624">
        <v>2</v>
      </c>
      <c r="G624" t="s">
        <v>31</v>
      </c>
      <c r="H624">
        <v>4</v>
      </c>
      <c r="I624">
        <v>6667</v>
      </c>
      <c r="J624">
        <v>18</v>
      </c>
      <c r="K624">
        <v>3</v>
      </c>
      <c r="L624">
        <v>1</v>
      </c>
      <c r="M624">
        <v>9</v>
      </c>
      <c r="N624">
        <v>6</v>
      </c>
      <c r="O624">
        <v>3</v>
      </c>
      <c r="P624">
        <v>5</v>
      </c>
      <c r="Q624">
        <v>1</v>
      </c>
      <c r="R624">
        <v>1</v>
      </c>
      <c r="S624" t="s">
        <v>34</v>
      </c>
      <c r="T624" t="s">
        <v>37</v>
      </c>
      <c r="U624" t="str">
        <f>IF(Table1[[#This Row],[YearsSince
LastPromotion]]&gt; 4, "Delayed", "Normal")</f>
        <v>Normal</v>
      </c>
      <c r="V624" t="str">
        <f>IF(Table1[[#This Row],[Years
InCurrentRole]]&gt;4, "Role Stagnent", "Normal")</f>
        <v>Normal</v>
      </c>
      <c r="W624" t="str">
        <f>IF(AND(Table1[[#This Row],[Years
InCurrentRole]]&gt; 4, Table1[[#This Row],[Performance
Rating]]&gt;=3), "High Risk", "Normal")</f>
        <v>Normal</v>
      </c>
      <c r="X624" t="str">
        <f>IF(Table1[[#This Row],[Performance
Rating]]&gt;=4, "High Performer", "Low Performer")</f>
        <v>Low Performer</v>
      </c>
    </row>
    <row r="625" spans="2:24" x14ac:dyDescent="0.3">
      <c r="B625" t="s">
        <v>19</v>
      </c>
      <c r="C625" t="s">
        <v>20</v>
      </c>
      <c r="D625">
        <v>1</v>
      </c>
      <c r="E625" t="s">
        <v>21</v>
      </c>
      <c r="F625">
        <v>2</v>
      </c>
      <c r="G625" t="s">
        <v>32</v>
      </c>
      <c r="H625">
        <v>2</v>
      </c>
      <c r="I625">
        <v>6852</v>
      </c>
      <c r="J625">
        <v>12</v>
      </c>
      <c r="K625">
        <v>3</v>
      </c>
      <c r="L625">
        <v>1</v>
      </c>
      <c r="M625">
        <v>7</v>
      </c>
      <c r="N625">
        <v>2</v>
      </c>
      <c r="O625">
        <v>4</v>
      </c>
      <c r="P625">
        <v>5</v>
      </c>
      <c r="Q625">
        <v>1</v>
      </c>
      <c r="R625">
        <v>1</v>
      </c>
      <c r="S625" t="s">
        <v>34</v>
      </c>
      <c r="T625" t="s">
        <v>37</v>
      </c>
      <c r="U625" t="str">
        <f>IF(Table1[[#This Row],[YearsSince
LastPromotion]]&gt; 4, "Delayed", "Normal")</f>
        <v>Normal</v>
      </c>
      <c r="V625" t="str">
        <f>IF(Table1[[#This Row],[Years
InCurrentRole]]&gt;4, "Role Stagnent", "Normal")</f>
        <v>Normal</v>
      </c>
      <c r="W625" t="str">
        <f>IF(AND(Table1[[#This Row],[Years
InCurrentRole]]&gt; 4, Table1[[#This Row],[Performance
Rating]]&gt;=3), "High Risk", "Normal")</f>
        <v>Normal</v>
      </c>
      <c r="X625" t="str">
        <f>IF(Table1[[#This Row],[Performance
Rating]]&gt;=4, "High Performer", "Low Performer")</f>
        <v>Low Performer</v>
      </c>
    </row>
    <row r="626" spans="2:24" x14ac:dyDescent="0.3">
      <c r="B626" t="s">
        <v>19</v>
      </c>
      <c r="C626" t="s">
        <v>25</v>
      </c>
      <c r="D626">
        <v>1</v>
      </c>
      <c r="E626" t="s">
        <v>21</v>
      </c>
      <c r="F626">
        <v>2</v>
      </c>
      <c r="G626" t="s">
        <v>26</v>
      </c>
      <c r="H626">
        <v>4</v>
      </c>
      <c r="I626">
        <v>6854</v>
      </c>
      <c r="J626">
        <v>15</v>
      </c>
      <c r="K626">
        <v>3</v>
      </c>
      <c r="L626">
        <v>1</v>
      </c>
      <c r="M626">
        <v>14</v>
      </c>
      <c r="N626">
        <v>2</v>
      </c>
      <c r="O626">
        <v>2</v>
      </c>
      <c r="P626">
        <v>7</v>
      </c>
      <c r="Q626">
        <v>1</v>
      </c>
      <c r="R626">
        <v>1</v>
      </c>
      <c r="S626" t="s">
        <v>23</v>
      </c>
      <c r="T626" t="s">
        <v>37</v>
      </c>
      <c r="U626" t="str">
        <f>IF(Table1[[#This Row],[YearsSince
LastPromotion]]&gt; 4, "Delayed", "Normal")</f>
        <v>Normal</v>
      </c>
      <c r="V626" t="str">
        <f>IF(Table1[[#This Row],[Years
InCurrentRole]]&gt;4, "Role Stagnent", "Normal")</f>
        <v>Normal</v>
      </c>
      <c r="W626" t="str">
        <f>IF(AND(Table1[[#This Row],[Years
InCurrentRole]]&gt; 4, Table1[[#This Row],[Performance
Rating]]&gt;=3), "High Risk", "Normal")</f>
        <v>Normal</v>
      </c>
      <c r="X626" t="str">
        <f>IF(Table1[[#This Row],[Performance
Rating]]&gt;=4, "High Performer", "Low Performer")</f>
        <v>Low Performer</v>
      </c>
    </row>
    <row r="627" spans="2:24" x14ac:dyDescent="0.3">
      <c r="B627" t="s">
        <v>19</v>
      </c>
      <c r="C627" t="s">
        <v>25</v>
      </c>
      <c r="D627">
        <v>1</v>
      </c>
      <c r="E627" t="s">
        <v>21</v>
      </c>
      <c r="F627">
        <v>1</v>
      </c>
      <c r="G627" t="s">
        <v>29</v>
      </c>
      <c r="H627">
        <v>4</v>
      </c>
      <c r="I627">
        <v>2153</v>
      </c>
      <c r="J627">
        <v>13</v>
      </c>
      <c r="K627">
        <v>3</v>
      </c>
      <c r="L627">
        <v>0</v>
      </c>
      <c r="M627">
        <v>8</v>
      </c>
      <c r="N627">
        <v>2</v>
      </c>
      <c r="O627">
        <v>3</v>
      </c>
      <c r="P627">
        <v>8</v>
      </c>
      <c r="Q627">
        <v>1</v>
      </c>
      <c r="R627">
        <v>1</v>
      </c>
      <c r="S627" t="s">
        <v>34</v>
      </c>
      <c r="T627" t="s">
        <v>37</v>
      </c>
      <c r="U627" t="str">
        <f>IF(Table1[[#This Row],[YearsSince
LastPromotion]]&gt; 4, "Delayed", "Normal")</f>
        <v>Normal</v>
      </c>
      <c r="V627" t="str">
        <f>IF(Table1[[#This Row],[Years
InCurrentRole]]&gt;4, "Role Stagnent", "Normal")</f>
        <v>Normal</v>
      </c>
      <c r="W627" t="str">
        <f>IF(AND(Table1[[#This Row],[Years
InCurrentRole]]&gt; 4, Table1[[#This Row],[Performance
Rating]]&gt;=3), "High Risk", "Normal")</f>
        <v>Normal</v>
      </c>
      <c r="X627" t="str">
        <f>IF(Table1[[#This Row],[Performance
Rating]]&gt;=4, "High Performer", "Low Performer")</f>
        <v>Low Performer</v>
      </c>
    </row>
    <row r="628" spans="2:24" x14ac:dyDescent="0.3">
      <c r="B628" t="s">
        <v>19</v>
      </c>
      <c r="C628" t="s">
        <v>25</v>
      </c>
      <c r="D628">
        <v>1</v>
      </c>
      <c r="E628" t="s">
        <v>28</v>
      </c>
      <c r="F628">
        <v>1</v>
      </c>
      <c r="G628" t="s">
        <v>29</v>
      </c>
      <c r="H628">
        <v>3</v>
      </c>
      <c r="I628">
        <v>3033</v>
      </c>
      <c r="J628">
        <v>12</v>
      </c>
      <c r="K628">
        <v>3</v>
      </c>
      <c r="L628">
        <v>0</v>
      </c>
      <c r="M628">
        <v>2</v>
      </c>
      <c r="N628">
        <v>2</v>
      </c>
      <c r="O628">
        <v>2</v>
      </c>
      <c r="P628">
        <v>2</v>
      </c>
      <c r="Q628">
        <v>2</v>
      </c>
      <c r="R628">
        <v>1</v>
      </c>
      <c r="S628" t="s">
        <v>23</v>
      </c>
      <c r="T628" t="s">
        <v>24</v>
      </c>
      <c r="U628" t="str">
        <f>IF(Table1[[#This Row],[YearsSince
LastPromotion]]&gt; 4, "Delayed", "Normal")</f>
        <v>Normal</v>
      </c>
      <c r="V628" t="str">
        <f>IF(Table1[[#This Row],[Years
InCurrentRole]]&gt;4, "Role Stagnent", "Normal")</f>
        <v>Normal</v>
      </c>
      <c r="W628" t="str">
        <f>IF(AND(Table1[[#This Row],[Years
InCurrentRole]]&gt; 4, Table1[[#This Row],[Performance
Rating]]&gt;=3), "High Risk", "Normal")</f>
        <v>Normal</v>
      </c>
      <c r="X628" t="str">
        <f>IF(Table1[[#This Row],[Performance
Rating]]&gt;=4, "High Performer", "Low Performer")</f>
        <v>Low Performer</v>
      </c>
    </row>
    <row r="629" spans="2:24" x14ac:dyDescent="0.3">
      <c r="B629" t="s">
        <v>27</v>
      </c>
      <c r="C629" t="s">
        <v>20</v>
      </c>
      <c r="D629">
        <v>1</v>
      </c>
      <c r="E629" t="s">
        <v>21</v>
      </c>
      <c r="F629">
        <v>1</v>
      </c>
      <c r="G629" t="s">
        <v>30</v>
      </c>
      <c r="H629">
        <v>3</v>
      </c>
      <c r="I629">
        <v>2351</v>
      </c>
      <c r="J629">
        <v>16</v>
      </c>
      <c r="K629">
        <v>3</v>
      </c>
      <c r="L629">
        <v>1</v>
      </c>
      <c r="M629">
        <v>3</v>
      </c>
      <c r="N629">
        <v>3</v>
      </c>
      <c r="O629">
        <v>2</v>
      </c>
      <c r="P629">
        <v>2</v>
      </c>
      <c r="Q629">
        <v>2</v>
      </c>
      <c r="R629">
        <v>1</v>
      </c>
      <c r="S629" t="s">
        <v>23</v>
      </c>
      <c r="T629" t="s">
        <v>24</v>
      </c>
      <c r="U629" t="str">
        <f>IF(Table1[[#This Row],[YearsSince
LastPromotion]]&gt; 4, "Delayed", "Normal")</f>
        <v>Normal</v>
      </c>
      <c r="V629" t="str">
        <f>IF(Table1[[#This Row],[Years
InCurrentRole]]&gt;4, "Role Stagnent", "Normal")</f>
        <v>Normal</v>
      </c>
      <c r="W629" t="str">
        <f>IF(AND(Table1[[#This Row],[Years
InCurrentRole]]&gt; 4, Table1[[#This Row],[Performance
Rating]]&gt;=3), "High Risk", "Normal")</f>
        <v>Normal</v>
      </c>
      <c r="X629" t="str">
        <f>IF(Table1[[#This Row],[Performance
Rating]]&gt;=4, "High Performer", "Low Performer")</f>
        <v>Low Performer</v>
      </c>
    </row>
    <row r="630" spans="2:24" x14ac:dyDescent="0.3">
      <c r="B630" t="s">
        <v>19</v>
      </c>
      <c r="C630" t="s">
        <v>25</v>
      </c>
      <c r="D630">
        <v>1</v>
      </c>
      <c r="E630" t="s">
        <v>21</v>
      </c>
      <c r="F630">
        <v>3</v>
      </c>
      <c r="G630" t="s">
        <v>31</v>
      </c>
      <c r="H630">
        <v>3</v>
      </c>
      <c r="I630">
        <v>10527</v>
      </c>
      <c r="J630">
        <v>11</v>
      </c>
      <c r="K630">
        <v>3</v>
      </c>
      <c r="L630">
        <v>0</v>
      </c>
      <c r="M630">
        <v>28</v>
      </c>
      <c r="N630">
        <v>3</v>
      </c>
      <c r="O630">
        <v>2</v>
      </c>
      <c r="P630">
        <v>2</v>
      </c>
      <c r="Q630">
        <v>2</v>
      </c>
      <c r="R630">
        <v>1</v>
      </c>
      <c r="S630" t="s">
        <v>23</v>
      </c>
      <c r="T630" t="s">
        <v>24</v>
      </c>
      <c r="U630" t="str">
        <f>IF(Table1[[#This Row],[YearsSince
LastPromotion]]&gt; 4, "Delayed", "Normal")</f>
        <v>Normal</v>
      </c>
      <c r="V630" t="str">
        <f>IF(Table1[[#This Row],[Years
InCurrentRole]]&gt;4, "Role Stagnent", "Normal")</f>
        <v>Normal</v>
      </c>
      <c r="W630" t="str">
        <f>IF(AND(Table1[[#This Row],[Years
InCurrentRole]]&gt; 4, Table1[[#This Row],[Performance
Rating]]&gt;=3), "High Risk", "Normal")</f>
        <v>Normal</v>
      </c>
      <c r="X630" t="str">
        <f>IF(Table1[[#This Row],[Performance
Rating]]&gt;=4, "High Performer", "Low Performer")</f>
        <v>Low Performer</v>
      </c>
    </row>
    <row r="631" spans="2:24" x14ac:dyDescent="0.3">
      <c r="B631" t="s">
        <v>19</v>
      </c>
      <c r="C631" t="s">
        <v>20</v>
      </c>
      <c r="D631">
        <v>1</v>
      </c>
      <c r="E631" t="s">
        <v>28</v>
      </c>
      <c r="F631">
        <v>1</v>
      </c>
      <c r="G631" t="s">
        <v>30</v>
      </c>
      <c r="H631">
        <v>3</v>
      </c>
      <c r="I631">
        <v>3067</v>
      </c>
      <c r="J631">
        <v>19</v>
      </c>
      <c r="K631">
        <v>3</v>
      </c>
      <c r="L631">
        <v>1</v>
      </c>
      <c r="M631">
        <v>3</v>
      </c>
      <c r="N631">
        <v>1</v>
      </c>
      <c r="O631">
        <v>3</v>
      </c>
      <c r="P631">
        <v>2</v>
      </c>
      <c r="Q631">
        <v>2</v>
      </c>
      <c r="R631">
        <v>1</v>
      </c>
      <c r="S631" t="s">
        <v>34</v>
      </c>
      <c r="T631" t="s">
        <v>24</v>
      </c>
      <c r="U631" t="str">
        <f>IF(Table1[[#This Row],[YearsSince
LastPromotion]]&gt; 4, "Delayed", "Normal")</f>
        <v>Normal</v>
      </c>
      <c r="V631" t="str">
        <f>IF(Table1[[#This Row],[Years
InCurrentRole]]&gt;4, "Role Stagnent", "Normal")</f>
        <v>Normal</v>
      </c>
      <c r="W631" t="str">
        <f>IF(AND(Table1[[#This Row],[Years
InCurrentRole]]&gt; 4, Table1[[#This Row],[Performance
Rating]]&gt;=3), "High Risk", "Normal")</f>
        <v>Normal</v>
      </c>
      <c r="X631" t="str">
        <f>IF(Table1[[#This Row],[Performance
Rating]]&gt;=4, "High Performer", "Low Performer")</f>
        <v>Low Performer</v>
      </c>
    </row>
    <row r="632" spans="2:24" x14ac:dyDescent="0.3">
      <c r="B632" t="s">
        <v>19</v>
      </c>
      <c r="C632" t="s">
        <v>36</v>
      </c>
      <c r="D632">
        <v>1</v>
      </c>
      <c r="E632" t="s">
        <v>28</v>
      </c>
      <c r="F632">
        <v>2</v>
      </c>
      <c r="G632" t="s">
        <v>36</v>
      </c>
      <c r="H632">
        <v>1</v>
      </c>
      <c r="I632">
        <v>6410</v>
      </c>
      <c r="J632">
        <v>12</v>
      </c>
      <c r="K632">
        <v>3</v>
      </c>
      <c r="L632">
        <v>0</v>
      </c>
      <c r="M632">
        <v>9</v>
      </c>
      <c r="N632">
        <v>1</v>
      </c>
      <c r="O632">
        <v>3</v>
      </c>
      <c r="P632">
        <v>2</v>
      </c>
      <c r="Q632">
        <v>2</v>
      </c>
      <c r="R632">
        <v>1</v>
      </c>
      <c r="S632" t="s">
        <v>34</v>
      </c>
      <c r="T632" t="s">
        <v>24</v>
      </c>
      <c r="U632" t="str">
        <f>IF(Table1[[#This Row],[YearsSince
LastPromotion]]&gt; 4, "Delayed", "Normal")</f>
        <v>Normal</v>
      </c>
      <c r="V632" t="str">
        <f>IF(Table1[[#This Row],[Years
InCurrentRole]]&gt;4, "Role Stagnent", "Normal")</f>
        <v>Normal</v>
      </c>
      <c r="W632" t="str">
        <f>IF(AND(Table1[[#This Row],[Years
InCurrentRole]]&gt; 4, Table1[[#This Row],[Performance
Rating]]&gt;=3), "High Risk", "Normal")</f>
        <v>Normal</v>
      </c>
      <c r="X632" t="str">
        <f>IF(Table1[[#This Row],[Performance
Rating]]&gt;=4, "High Performer", "Low Performer")</f>
        <v>Low Performer</v>
      </c>
    </row>
    <row r="633" spans="2:24" x14ac:dyDescent="0.3">
      <c r="B633" t="s">
        <v>19</v>
      </c>
      <c r="C633" t="s">
        <v>25</v>
      </c>
      <c r="D633">
        <v>1</v>
      </c>
      <c r="E633" t="s">
        <v>28</v>
      </c>
      <c r="F633">
        <v>1</v>
      </c>
      <c r="G633" t="s">
        <v>29</v>
      </c>
      <c r="H633">
        <v>4</v>
      </c>
      <c r="I633">
        <v>2661</v>
      </c>
      <c r="J633">
        <v>11</v>
      </c>
      <c r="K633">
        <v>3</v>
      </c>
      <c r="L633">
        <v>1</v>
      </c>
      <c r="M633">
        <v>3</v>
      </c>
      <c r="N633">
        <v>2</v>
      </c>
      <c r="O633">
        <v>3</v>
      </c>
      <c r="P633">
        <v>2</v>
      </c>
      <c r="Q633">
        <v>2</v>
      </c>
      <c r="R633">
        <v>1</v>
      </c>
      <c r="S633" t="s">
        <v>34</v>
      </c>
      <c r="T633" t="s">
        <v>24</v>
      </c>
      <c r="U633" t="str">
        <f>IF(Table1[[#This Row],[YearsSince
LastPromotion]]&gt; 4, "Delayed", "Normal")</f>
        <v>Normal</v>
      </c>
      <c r="V633" t="str">
        <f>IF(Table1[[#This Row],[Years
InCurrentRole]]&gt;4, "Role Stagnent", "Normal")</f>
        <v>Normal</v>
      </c>
      <c r="W633" t="str">
        <f>IF(AND(Table1[[#This Row],[Years
InCurrentRole]]&gt; 4, Table1[[#This Row],[Performance
Rating]]&gt;=3), "High Risk", "Normal")</f>
        <v>Normal</v>
      </c>
      <c r="X633" t="str">
        <f>IF(Table1[[#This Row],[Performance
Rating]]&gt;=4, "High Performer", "Low Performer")</f>
        <v>Low Performer</v>
      </c>
    </row>
    <row r="634" spans="2:24" x14ac:dyDescent="0.3">
      <c r="B634" t="s">
        <v>19</v>
      </c>
      <c r="C634" t="s">
        <v>25</v>
      </c>
      <c r="D634">
        <v>1</v>
      </c>
      <c r="E634" t="s">
        <v>28</v>
      </c>
      <c r="F634">
        <v>2</v>
      </c>
      <c r="G634" t="s">
        <v>31</v>
      </c>
      <c r="H634">
        <v>4</v>
      </c>
      <c r="I634">
        <v>5745</v>
      </c>
      <c r="J634">
        <v>14</v>
      </c>
      <c r="K634">
        <v>3</v>
      </c>
      <c r="L634">
        <v>1</v>
      </c>
      <c r="M634">
        <v>10</v>
      </c>
      <c r="N634">
        <v>2</v>
      </c>
      <c r="O634">
        <v>3</v>
      </c>
      <c r="P634">
        <v>2</v>
      </c>
      <c r="Q634">
        <v>2</v>
      </c>
      <c r="R634">
        <v>1</v>
      </c>
      <c r="S634" t="s">
        <v>34</v>
      </c>
      <c r="T634" t="s">
        <v>24</v>
      </c>
      <c r="U634" t="str">
        <f>IF(Table1[[#This Row],[YearsSince
LastPromotion]]&gt; 4, "Delayed", "Normal")</f>
        <v>Normal</v>
      </c>
      <c r="V634" t="str">
        <f>IF(Table1[[#This Row],[Years
InCurrentRole]]&gt;4, "Role Stagnent", "Normal")</f>
        <v>Normal</v>
      </c>
      <c r="W634" t="str">
        <f>IF(AND(Table1[[#This Row],[Years
InCurrentRole]]&gt; 4, Table1[[#This Row],[Performance
Rating]]&gt;=3), "High Risk", "Normal")</f>
        <v>Normal</v>
      </c>
      <c r="X634" t="str">
        <f>IF(Table1[[#This Row],[Performance
Rating]]&gt;=4, "High Performer", "Low Performer")</f>
        <v>Low Performer</v>
      </c>
    </row>
    <row r="635" spans="2:24" x14ac:dyDescent="0.3">
      <c r="B635" t="s">
        <v>19</v>
      </c>
      <c r="C635" t="s">
        <v>20</v>
      </c>
      <c r="D635">
        <v>1</v>
      </c>
      <c r="E635" t="s">
        <v>28</v>
      </c>
      <c r="F635">
        <v>1</v>
      </c>
      <c r="G635" t="s">
        <v>30</v>
      </c>
      <c r="H635">
        <v>2</v>
      </c>
      <c r="I635">
        <v>2899</v>
      </c>
      <c r="J635">
        <v>19</v>
      </c>
      <c r="K635">
        <v>3</v>
      </c>
      <c r="L635">
        <v>1</v>
      </c>
      <c r="M635">
        <v>3</v>
      </c>
      <c r="N635">
        <v>3</v>
      </c>
      <c r="O635">
        <v>3</v>
      </c>
      <c r="P635">
        <v>2</v>
      </c>
      <c r="Q635">
        <v>2</v>
      </c>
      <c r="R635">
        <v>1</v>
      </c>
      <c r="S635" t="s">
        <v>34</v>
      </c>
      <c r="T635" t="s">
        <v>24</v>
      </c>
      <c r="U635" t="str">
        <f>IF(Table1[[#This Row],[YearsSince
LastPromotion]]&gt; 4, "Delayed", "Normal")</f>
        <v>Normal</v>
      </c>
      <c r="V635" t="str">
        <f>IF(Table1[[#This Row],[Years
InCurrentRole]]&gt;4, "Role Stagnent", "Normal")</f>
        <v>Normal</v>
      </c>
      <c r="W635" t="str">
        <f>IF(AND(Table1[[#This Row],[Years
InCurrentRole]]&gt; 4, Table1[[#This Row],[Performance
Rating]]&gt;=3), "High Risk", "Normal")</f>
        <v>Normal</v>
      </c>
      <c r="X635" t="str">
        <f>IF(Table1[[#This Row],[Performance
Rating]]&gt;=4, "High Performer", "Low Performer")</f>
        <v>Low Performer</v>
      </c>
    </row>
    <row r="636" spans="2:24" x14ac:dyDescent="0.3">
      <c r="B636" t="s">
        <v>27</v>
      </c>
      <c r="C636" t="s">
        <v>25</v>
      </c>
      <c r="D636">
        <v>1</v>
      </c>
      <c r="E636" t="s">
        <v>28</v>
      </c>
      <c r="F636">
        <v>1</v>
      </c>
      <c r="G636" t="s">
        <v>29</v>
      </c>
      <c r="H636">
        <v>3</v>
      </c>
      <c r="I636">
        <v>3894</v>
      </c>
      <c r="J636">
        <v>16</v>
      </c>
      <c r="K636">
        <v>3</v>
      </c>
      <c r="L636">
        <v>0</v>
      </c>
      <c r="M636">
        <v>4</v>
      </c>
      <c r="N636">
        <v>3</v>
      </c>
      <c r="O636">
        <v>3</v>
      </c>
      <c r="P636">
        <v>2</v>
      </c>
      <c r="Q636">
        <v>2</v>
      </c>
      <c r="R636">
        <v>1</v>
      </c>
      <c r="S636" t="s">
        <v>34</v>
      </c>
      <c r="T636" t="s">
        <v>24</v>
      </c>
      <c r="U636" t="str">
        <f>IF(Table1[[#This Row],[YearsSince
LastPromotion]]&gt; 4, "Delayed", "Normal")</f>
        <v>Normal</v>
      </c>
      <c r="V636" t="str">
        <f>IF(Table1[[#This Row],[Years
InCurrentRole]]&gt;4, "Role Stagnent", "Normal")</f>
        <v>Normal</v>
      </c>
      <c r="W636" t="str">
        <f>IF(AND(Table1[[#This Row],[Years
InCurrentRole]]&gt; 4, Table1[[#This Row],[Performance
Rating]]&gt;=3), "High Risk", "Normal")</f>
        <v>Normal</v>
      </c>
      <c r="X636" t="str">
        <f>IF(Table1[[#This Row],[Performance
Rating]]&gt;=4, "High Performer", "Low Performer")</f>
        <v>Low Performer</v>
      </c>
    </row>
    <row r="637" spans="2:24" x14ac:dyDescent="0.3">
      <c r="B637" t="s">
        <v>19</v>
      </c>
      <c r="C637" t="s">
        <v>20</v>
      </c>
      <c r="D637">
        <v>1</v>
      </c>
      <c r="E637" t="s">
        <v>28</v>
      </c>
      <c r="F637">
        <v>1</v>
      </c>
      <c r="G637" t="s">
        <v>30</v>
      </c>
      <c r="H637">
        <v>1</v>
      </c>
      <c r="I637">
        <v>2380</v>
      </c>
      <c r="J637">
        <v>11</v>
      </c>
      <c r="K637">
        <v>3</v>
      </c>
      <c r="L637">
        <v>0</v>
      </c>
      <c r="M637">
        <v>2</v>
      </c>
      <c r="N637">
        <v>6</v>
      </c>
      <c r="O637">
        <v>3</v>
      </c>
      <c r="P637">
        <v>2</v>
      </c>
      <c r="Q637">
        <v>2</v>
      </c>
      <c r="R637">
        <v>1</v>
      </c>
      <c r="S637" t="s">
        <v>34</v>
      </c>
      <c r="T637" t="s">
        <v>24</v>
      </c>
      <c r="U637" t="str">
        <f>IF(Table1[[#This Row],[YearsSince
LastPromotion]]&gt; 4, "Delayed", "Normal")</f>
        <v>Normal</v>
      </c>
      <c r="V637" t="str">
        <f>IF(Table1[[#This Row],[Years
InCurrentRole]]&gt;4, "Role Stagnent", "Normal")</f>
        <v>Normal</v>
      </c>
      <c r="W637" t="str">
        <f>IF(AND(Table1[[#This Row],[Years
InCurrentRole]]&gt; 4, Table1[[#This Row],[Performance
Rating]]&gt;=3), "High Risk", "Normal")</f>
        <v>Normal</v>
      </c>
      <c r="X637" t="str">
        <f>IF(Table1[[#This Row],[Performance
Rating]]&gt;=4, "High Performer", "Low Performer")</f>
        <v>Low Performer</v>
      </c>
    </row>
    <row r="638" spans="2:24" x14ac:dyDescent="0.3">
      <c r="B638" t="s">
        <v>27</v>
      </c>
      <c r="C638" t="s">
        <v>25</v>
      </c>
      <c r="D638">
        <v>1</v>
      </c>
      <c r="E638" t="s">
        <v>21</v>
      </c>
      <c r="F638">
        <v>1</v>
      </c>
      <c r="G638" t="s">
        <v>26</v>
      </c>
      <c r="H638">
        <v>2</v>
      </c>
      <c r="I638">
        <v>2546</v>
      </c>
      <c r="J638">
        <v>16</v>
      </c>
      <c r="K638">
        <v>3</v>
      </c>
      <c r="L638">
        <v>0</v>
      </c>
      <c r="M638">
        <v>6</v>
      </c>
      <c r="N638">
        <v>2</v>
      </c>
      <c r="O638">
        <v>4</v>
      </c>
      <c r="P638">
        <v>2</v>
      </c>
      <c r="Q638">
        <v>2</v>
      </c>
      <c r="R638">
        <v>1</v>
      </c>
      <c r="S638" t="s">
        <v>34</v>
      </c>
      <c r="T638" t="s">
        <v>24</v>
      </c>
      <c r="U638" t="str">
        <f>IF(Table1[[#This Row],[YearsSince
LastPromotion]]&gt; 4, "Delayed", "Normal")</f>
        <v>Normal</v>
      </c>
      <c r="V638" t="str">
        <f>IF(Table1[[#This Row],[Years
InCurrentRole]]&gt;4, "Role Stagnent", "Normal")</f>
        <v>Normal</v>
      </c>
      <c r="W638" t="str">
        <f>IF(AND(Table1[[#This Row],[Years
InCurrentRole]]&gt; 4, Table1[[#This Row],[Performance
Rating]]&gt;=3), "High Risk", "Normal")</f>
        <v>Normal</v>
      </c>
      <c r="X638" t="str">
        <f>IF(Table1[[#This Row],[Performance
Rating]]&gt;=4, "High Performer", "Low Performer")</f>
        <v>Low Performer</v>
      </c>
    </row>
    <row r="639" spans="2:24" x14ac:dyDescent="0.3">
      <c r="B639" t="s">
        <v>27</v>
      </c>
      <c r="C639" t="s">
        <v>25</v>
      </c>
      <c r="D639">
        <v>1</v>
      </c>
      <c r="E639" t="s">
        <v>28</v>
      </c>
      <c r="F639">
        <v>1</v>
      </c>
      <c r="G639" t="s">
        <v>29</v>
      </c>
      <c r="H639">
        <v>3</v>
      </c>
      <c r="I639">
        <v>3730</v>
      </c>
      <c r="J639">
        <v>14</v>
      </c>
      <c r="K639">
        <v>3</v>
      </c>
      <c r="L639">
        <v>0</v>
      </c>
      <c r="M639">
        <v>4</v>
      </c>
      <c r="N639">
        <v>2</v>
      </c>
      <c r="O639">
        <v>1</v>
      </c>
      <c r="P639">
        <v>3</v>
      </c>
      <c r="Q639">
        <v>2</v>
      </c>
      <c r="R639">
        <v>1</v>
      </c>
      <c r="S639" t="s">
        <v>23</v>
      </c>
      <c r="T639" t="s">
        <v>24</v>
      </c>
      <c r="U639" t="str">
        <f>IF(Table1[[#This Row],[YearsSince
LastPromotion]]&gt; 4, "Delayed", "Normal")</f>
        <v>Normal</v>
      </c>
      <c r="V639" t="str">
        <f>IF(Table1[[#This Row],[Years
InCurrentRole]]&gt;4, "Role Stagnent", "Normal")</f>
        <v>Normal</v>
      </c>
      <c r="W639" t="str">
        <f>IF(AND(Table1[[#This Row],[Years
InCurrentRole]]&gt; 4, Table1[[#This Row],[Performance
Rating]]&gt;=3), "High Risk", "Normal")</f>
        <v>Normal</v>
      </c>
      <c r="X639" t="str">
        <f>IF(Table1[[#This Row],[Performance
Rating]]&gt;=4, "High Performer", "Low Performer")</f>
        <v>Low Performer</v>
      </c>
    </row>
    <row r="640" spans="2:24" x14ac:dyDescent="0.3">
      <c r="B640" t="s">
        <v>19</v>
      </c>
      <c r="C640" t="s">
        <v>25</v>
      </c>
      <c r="D640">
        <v>1</v>
      </c>
      <c r="E640" t="s">
        <v>21</v>
      </c>
      <c r="F640">
        <v>1</v>
      </c>
      <c r="G640" t="s">
        <v>29</v>
      </c>
      <c r="H640">
        <v>2</v>
      </c>
      <c r="I640">
        <v>3295</v>
      </c>
      <c r="J640">
        <v>13</v>
      </c>
      <c r="K640">
        <v>3</v>
      </c>
      <c r="L640">
        <v>0</v>
      </c>
      <c r="M640">
        <v>3</v>
      </c>
      <c r="N640">
        <v>3</v>
      </c>
      <c r="O640">
        <v>1</v>
      </c>
      <c r="P640">
        <v>3</v>
      </c>
      <c r="Q640">
        <v>2</v>
      </c>
      <c r="R640">
        <v>1</v>
      </c>
      <c r="S640" t="s">
        <v>23</v>
      </c>
      <c r="T640" t="s">
        <v>24</v>
      </c>
      <c r="U640" t="str">
        <f>IF(Table1[[#This Row],[YearsSince
LastPromotion]]&gt; 4, "Delayed", "Normal")</f>
        <v>Normal</v>
      </c>
      <c r="V640" t="str">
        <f>IF(Table1[[#This Row],[Years
InCurrentRole]]&gt;4, "Role Stagnent", "Normal")</f>
        <v>Normal</v>
      </c>
      <c r="W640" t="str">
        <f>IF(AND(Table1[[#This Row],[Years
InCurrentRole]]&gt; 4, Table1[[#This Row],[Performance
Rating]]&gt;=3), "High Risk", "Normal")</f>
        <v>Normal</v>
      </c>
      <c r="X640" t="str">
        <f>IF(Table1[[#This Row],[Performance
Rating]]&gt;=4, "High Performer", "Low Performer")</f>
        <v>Low Performer</v>
      </c>
    </row>
    <row r="641" spans="2:24" x14ac:dyDescent="0.3">
      <c r="B641" t="s">
        <v>19</v>
      </c>
      <c r="C641" t="s">
        <v>25</v>
      </c>
      <c r="D641">
        <v>1</v>
      </c>
      <c r="E641" t="s">
        <v>28</v>
      </c>
      <c r="F641">
        <v>2</v>
      </c>
      <c r="G641" t="s">
        <v>31</v>
      </c>
      <c r="H641">
        <v>2</v>
      </c>
      <c r="I641">
        <v>6870</v>
      </c>
      <c r="J641">
        <v>12</v>
      </c>
      <c r="K641">
        <v>3</v>
      </c>
      <c r="L641">
        <v>0</v>
      </c>
      <c r="M641">
        <v>11</v>
      </c>
      <c r="N641">
        <v>3</v>
      </c>
      <c r="O641">
        <v>1</v>
      </c>
      <c r="P641">
        <v>3</v>
      </c>
      <c r="Q641">
        <v>2</v>
      </c>
      <c r="R641">
        <v>1</v>
      </c>
      <c r="S641" t="s">
        <v>23</v>
      </c>
      <c r="T641" t="s">
        <v>24</v>
      </c>
      <c r="U641" t="str">
        <f>IF(Table1[[#This Row],[YearsSince
LastPromotion]]&gt; 4, "Delayed", "Normal")</f>
        <v>Normal</v>
      </c>
      <c r="V641" t="str">
        <f>IF(Table1[[#This Row],[Years
InCurrentRole]]&gt;4, "Role Stagnent", "Normal")</f>
        <v>Normal</v>
      </c>
      <c r="W641" t="str">
        <f>IF(AND(Table1[[#This Row],[Years
InCurrentRole]]&gt; 4, Table1[[#This Row],[Performance
Rating]]&gt;=3), "High Risk", "Normal")</f>
        <v>Normal</v>
      </c>
      <c r="X641" t="str">
        <f>IF(Table1[[#This Row],[Performance
Rating]]&gt;=4, "High Performer", "Low Performer")</f>
        <v>Low Performer</v>
      </c>
    </row>
    <row r="642" spans="2:24" x14ac:dyDescent="0.3">
      <c r="B642" t="s">
        <v>19</v>
      </c>
      <c r="C642" t="s">
        <v>25</v>
      </c>
      <c r="D642">
        <v>1</v>
      </c>
      <c r="E642" t="s">
        <v>28</v>
      </c>
      <c r="F642">
        <v>2</v>
      </c>
      <c r="G642" t="s">
        <v>31</v>
      </c>
      <c r="H642">
        <v>3</v>
      </c>
      <c r="I642">
        <v>6651</v>
      </c>
      <c r="J642">
        <v>14</v>
      </c>
      <c r="K642">
        <v>3</v>
      </c>
      <c r="L642">
        <v>1</v>
      </c>
      <c r="M642">
        <v>20</v>
      </c>
      <c r="N642">
        <v>0</v>
      </c>
      <c r="O642">
        <v>2</v>
      </c>
      <c r="P642">
        <v>3</v>
      </c>
      <c r="Q642">
        <v>2</v>
      </c>
      <c r="R642">
        <v>1</v>
      </c>
      <c r="S642" t="s">
        <v>23</v>
      </c>
      <c r="T642" t="s">
        <v>24</v>
      </c>
      <c r="U642" t="str">
        <f>IF(Table1[[#This Row],[YearsSince
LastPromotion]]&gt; 4, "Delayed", "Normal")</f>
        <v>Normal</v>
      </c>
      <c r="V642" t="str">
        <f>IF(Table1[[#This Row],[Years
InCurrentRole]]&gt;4, "Role Stagnent", "Normal")</f>
        <v>Normal</v>
      </c>
      <c r="W642" t="str">
        <f>IF(AND(Table1[[#This Row],[Years
InCurrentRole]]&gt; 4, Table1[[#This Row],[Performance
Rating]]&gt;=3), "High Risk", "Normal")</f>
        <v>Normal</v>
      </c>
      <c r="X642" t="str">
        <f>IF(Table1[[#This Row],[Performance
Rating]]&gt;=4, "High Performer", "Low Performer")</f>
        <v>Low Performer</v>
      </c>
    </row>
    <row r="643" spans="2:24" x14ac:dyDescent="0.3">
      <c r="B643" t="s">
        <v>19</v>
      </c>
      <c r="C643" t="s">
        <v>25</v>
      </c>
      <c r="D643">
        <v>1</v>
      </c>
      <c r="E643" t="s">
        <v>28</v>
      </c>
      <c r="F643">
        <v>1</v>
      </c>
      <c r="G643" t="s">
        <v>26</v>
      </c>
      <c r="H643">
        <v>1</v>
      </c>
      <c r="I643">
        <v>2080</v>
      </c>
      <c r="J643">
        <v>11</v>
      </c>
      <c r="K643">
        <v>3</v>
      </c>
      <c r="L643">
        <v>0</v>
      </c>
      <c r="M643">
        <v>5</v>
      </c>
      <c r="N643">
        <v>2</v>
      </c>
      <c r="O643">
        <v>2</v>
      </c>
      <c r="P643">
        <v>3</v>
      </c>
      <c r="Q643">
        <v>2</v>
      </c>
      <c r="R643">
        <v>1</v>
      </c>
      <c r="S643" t="s">
        <v>23</v>
      </c>
      <c r="T643" t="s">
        <v>24</v>
      </c>
      <c r="U643" t="str">
        <f>IF(Table1[[#This Row],[YearsSince
LastPromotion]]&gt; 4, "Delayed", "Normal")</f>
        <v>Normal</v>
      </c>
      <c r="V643" t="str">
        <f>IF(Table1[[#This Row],[Years
InCurrentRole]]&gt;4, "Role Stagnent", "Normal")</f>
        <v>Normal</v>
      </c>
      <c r="W643" t="str">
        <f>IF(AND(Table1[[#This Row],[Years
InCurrentRole]]&gt; 4, Table1[[#This Row],[Performance
Rating]]&gt;=3), "High Risk", "Normal")</f>
        <v>Normal</v>
      </c>
      <c r="X643" t="str">
        <f>IF(Table1[[#This Row],[Performance
Rating]]&gt;=4, "High Performer", "Low Performer")</f>
        <v>Low Performer</v>
      </c>
    </row>
    <row r="644" spans="2:24" x14ac:dyDescent="0.3">
      <c r="B644" t="s">
        <v>19</v>
      </c>
      <c r="C644" t="s">
        <v>25</v>
      </c>
      <c r="D644">
        <v>1</v>
      </c>
      <c r="E644" t="s">
        <v>28</v>
      </c>
      <c r="F644">
        <v>1</v>
      </c>
      <c r="G644" t="s">
        <v>26</v>
      </c>
      <c r="H644">
        <v>1</v>
      </c>
      <c r="I644">
        <v>2194</v>
      </c>
      <c r="J644">
        <v>13</v>
      </c>
      <c r="K644">
        <v>3</v>
      </c>
      <c r="L644">
        <v>1</v>
      </c>
      <c r="M644">
        <v>5</v>
      </c>
      <c r="N644">
        <v>2</v>
      </c>
      <c r="O644">
        <v>2</v>
      </c>
      <c r="P644">
        <v>3</v>
      </c>
      <c r="Q644">
        <v>2</v>
      </c>
      <c r="R644">
        <v>1</v>
      </c>
      <c r="S644" t="s">
        <v>23</v>
      </c>
      <c r="T644" t="s">
        <v>24</v>
      </c>
      <c r="U644" t="str">
        <f>IF(Table1[[#This Row],[YearsSince
LastPromotion]]&gt; 4, "Delayed", "Normal")</f>
        <v>Normal</v>
      </c>
      <c r="V644" t="str">
        <f>IF(Table1[[#This Row],[Years
InCurrentRole]]&gt;4, "Role Stagnent", "Normal")</f>
        <v>Normal</v>
      </c>
      <c r="W644" t="str">
        <f>IF(AND(Table1[[#This Row],[Years
InCurrentRole]]&gt; 4, Table1[[#This Row],[Performance
Rating]]&gt;=3), "High Risk", "Normal")</f>
        <v>Normal</v>
      </c>
      <c r="X644" t="str">
        <f>IF(Table1[[#This Row],[Performance
Rating]]&gt;=4, "High Performer", "Low Performer")</f>
        <v>Low Performer</v>
      </c>
    </row>
    <row r="645" spans="2:24" x14ac:dyDescent="0.3">
      <c r="B645" t="s">
        <v>19</v>
      </c>
      <c r="C645" t="s">
        <v>25</v>
      </c>
      <c r="D645">
        <v>1</v>
      </c>
      <c r="E645" t="s">
        <v>28</v>
      </c>
      <c r="F645">
        <v>1</v>
      </c>
      <c r="G645" t="s">
        <v>26</v>
      </c>
      <c r="H645">
        <v>3</v>
      </c>
      <c r="I645">
        <v>2438</v>
      </c>
      <c r="J645">
        <v>13</v>
      </c>
      <c r="K645">
        <v>3</v>
      </c>
      <c r="L645">
        <v>0</v>
      </c>
      <c r="M645">
        <v>7</v>
      </c>
      <c r="N645">
        <v>2</v>
      </c>
      <c r="O645">
        <v>2</v>
      </c>
      <c r="P645">
        <v>3</v>
      </c>
      <c r="Q645">
        <v>2</v>
      </c>
      <c r="R645">
        <v>1</v>
      </c>
      <c r="S645" t="s">
        <v>23</v>
      </c>
      <c r="T645" t="s">
        <v>24</v>
      </c>
      <c r="U645" t="str">
        <f>IF(Table1[[#This Row],[YearsSince
LastPromotion]]&gt; 4, "Delayed", "Normal")</f>
        <v>Normal</v>
      </c>
      <c r="V645" t="str">
        <f>IF(Table1[[#This Row],[Years
InCurrentRole]]&gt;4, "Role Stagnent", "Normal")</f>
        <v>Normal</v>
      </c>
      <c r="W645" t="str">
        <f>IF(AND(Table1[[#This Row],[Years
InCurrentRole]]&gt; 4, Table1[[#This Row],[Performance
Rating]]&gt;=3), "High Risk", "Normal")</f>
        <v>Normal</v>
      </c>
      <c r="X645" t="str">
        <f>IF(Table1[[#This Row],[Performance
Rating]]&gt;=4, "High Performer", "Low Performer")</f>
        <v>Low Performer</v>
      </c>
    </row>
    <row r="646" spans="2:24" x14ac:dyDescent="0.3">
      <c r="B646" t="s">
        <v>19</v>
      </c>
      <c r="C646" t="s">
        <v>20</v>
      </c>
      <c r="D646">
        <v>1</v>
      </c>
      <c r="E646" t="s">
        <v>21</v>
      </c>
      <c r="F646">
        <v>1</v>
      </c>
      <c r="G646" t="s">
        <v>30</v>
      </c>
      <c r="H646">
        <v>4</v>
      </c>
      <c r="I646">
        <v>3294</v>
      </c>
      <c r="J646">
        <v>18</v>
      </c>
      <c r="K646">
        <v>3</v>
      </c>
      <c r="L646">
        <v>0</v>
      </c>
      <c r="M646">
        <v>3</v>
      </c>
      <c r="N646">
        <v>3</v>
      </c>
      <c r="O646">
        <v>2</v>
      </c>
      <c r="P646">
        <v>3</v>
      </c>
      <c r="Q646">
        <v>2</v>
      </c>
      <c r="R646">
        <v>1</v>
      </c>
      <c r="S646" t="s">
        <v>23</v>
      </c>
      <c r="T646" t="s">
        <v>24</v>
      </c>
      <c r="U646" t="str">
        <f>IF(Table1[[#This Row],[YearsSince
LastPromotion]]&gt; 4, "Delayed", "Normal")</f>
        <v>Normal</v>
      </c>
      <c r="V646" t="str">
        <f>IF(Table1[[#This Row],[Years
InCurrentRole]]&gt;4, "Role Stagnent", "Normal")</f>
        <v>Normal</v>
      </c>
      <c r="W646" t="str">
        <f>IF(AND(Table1[[#This Row],[Years
InCurrentRole]]&gt; 4, Table1[[#This Row],[Performance
Rating]]&gt;=3), "High Risk", "Normal")</f>
        <v>Normal</v>
      </c>
      <c r="X646" t="str">
        <f>IF(Table1[[#This Row],[Performance
Rating]]&gt;=4, "High Performer", "Low Performer")</f>
        <v>Low Performer</v>
      </c>
    </row>
    <row r="647" spans="2:24" x14ac:dyDescent="0.3">
      <c r="B647" t="s">
        <v>19</v>
      </c>
      <c r="C647" t="s">
        <v>20</v>
      </c>
      <c r="D647">
        <v>1</v>
      </c>
      <c r="E647" t="s">
        <v>28</v>
      </c>
      <c r="F647">
        <v>2</v>
      </c>
      <c r="G647" t="s">
        <v>32</v>
      </c>
      <c r="H647">
        <v>2</v>
      </c>
      <c r="I647">
        <v>4078</v>
      </c>
      <c r="J647">
        <v>13</v>
      </c>
      <c r="K647">
        <v>3</v>
      </c>
      <c r="L647">
        <v>3</v>
      </c>
      <c r="M647">
        <v>4</v>
      </c>
      <c r="N647">
        <v>3</v>
      </c>
      <c r="O647">
        <v>2</v>
      </c>
      <c r="P647">
        <v>3</v>
      </c>
      <c r="Q647">
        <v>2</v>
      </c>
      <c r="R647">
        <v>1</v>
      </c>
      <c r="S647" t="s">
        <v>23</v>
      </c>
      <c r="T647" t="s">
        <v>24</v>
      </c>
      <c r="U647" t="str">
        <f>IF(Table1[[#This Row],[YearsSince
LastPromotion]]&gt; 4, "Delayed", "Normal")</f>
        <v>Normal</v>
      </c>
      <c r="V647" t="str">
        <f>IF(Table1[[#This Row],[Years
InCurrentRole]]&gt;4, "Role Stagnent", "Normal")</f>
        <v>Normal</v>
      </c>
      <c r="W647" t="str">
        <f>IF(AND(Table1[[#This Row],[Years
InCurrentRole]]&gt; 4, Table1[[#This Row],[Performance
Rating]]&gt;=3), "High Risk", "Normal")</f>
        <v>Normal</v>
      </c>
      <c r="X647" t="str">
        <f>IF(Table1[[#This Row],[Performance
Rating]]&gt;=4, "High Performer", "Low Performer")</f>
        <v>Low Performer</v>
      </c>
    </row>
    <row r="648" spans="2:24" x14ac:dyDescent="0.3">
      <c r="B648" t="s">
        <v>19</v>
      </c>
      <c r="C648" t="s">
        <v>20</v>
      </c>
      <c r="D648">
        <v>1</v>
      </c>
      <c r="E648" t="s">
        <v>28</v>
      </c>
      <c r="F648">
        <v>2</v>
      </c>
      <c r="G648" t="s">
        <v>32</v>
      </c>
      <c r="H648">
        <v>3</v>
      </c>
      <c r="I648">
        <v>6232</v>
      </c>
      <c r="J648">
        <v>11</v>
      </c>
      <c r="K648">
        <v>3</v>
      </c>
      <c r="L648">
        <v>0</v>
      </c>
      <c r="M648">
        <v>6</v>
      </c>
      <c r="N648">
        <v>3</v>
      </c>
      <c r="O648">
        <v>2</v>
      </c>
      <c r="P648">
        <v>3</v>
      </c>
      <c r="Q648">
        <v>2</v>
      </c>
      <c r="R648">
        <v>1</v>
      </c>
      <c r="S648" t="s">
        <v>23</v>
      </c>
      <c r="T648" t="s">
        <v>24</v>
      </c>
      <c r="U648" t="str">
        <f>IF(Table1[[#This Row],[YearsSince
LastPromotion]]&gt; 4, "Delayed", "Normal")</f>
        <v>Normal</v>
      </c>
      <c r="V648" t="str">
        <f>IF(Table1[[#This Row],[Years
InCurrentRole]]&gt;4, "Role Stagnent", "Normal")</f>
        <v>Normal</v>
      </c>
      <c r="W648" t="str">
        <f>IF(AND(Table1[[#This Row],[Years
InCurrentRole]]&gt; 4, Table1[[#This Row],[Performance
Rating]]&gt;=3), "High Risk", "Normal")</f>
        <v>Normal</v>
      </c>
      <c r="X648" t="str">
        <f>IF(Table1[[#This Row],[Performance
Rating]]&gt;=4, "High Performer", "Low Performer")</f>
        <v>Low Performer</v>
      </c>
    </row>
    <row r="649" spans="2:24" x14ac:dyDescent="0.3">
      <c r="B649" t="s">
        <v>19</v>
      </c>
      <c r="C649" t="s">
        <v>20</v>
      </c>
      <c r="D649">
        <v>1</v>
      </c>
      <c r="E649" t="s">
        <v>28</v>
      </c>
      <c r="F649">
        <v>1</v>
      </c>
      <c r="G649" t="s">
        <v>30</v>
      </c>
      <c r="H649">
        <v>4</v>
      </c>
      <c r="I649">
        <v>2644</v>
      </c>
      <c r="J649">
        <v>21</v>
      </c>
      <c r="K649">
        <v>4</v>
      </c>
      <c r="L649">
        <v>0</v>
      </c>
      <c r="M649">
        <v>7</v>
      </c>
      <c r="N649">
        <v>3</v>
      </c>
      <c r="O649">
        <v>2</v>
      </c>
      <c r="P649">
        <v>3</v>
      </c>
      <c r="Q649">
        <v>2</v>
      </c>
      <c r="R649">
        <v>1</v>
      </c>
      <c r="S649" t="s">
        <v>23</v>
      </c>
      <c r="T649" t="s">
        <v>24</v>
      </c>
      <c r="U649" t="str">
        <f>IF(Table1[[#This Row],[YearsSince
LastPromotion]]&gt; 4, "Delayed", "Normal")</f>
        <v>Normal</v>
      </c>
      <c r="V649" t="str">
        <f>IF(Table1[[#This Row],[Years
InCurrentRole]]&gt;4, "Role Stagnent", "Normal")</f>
        <v>Normal</v>
      </c>
      <c r="W649" t="str">
        <f>IF(AND(Table1[[#This Row],[Years
InCurrentRole]]&gt; 4, Table1[[#This Row],[Performance
Rating]]&gt;=3), "High Risk", "Normal")</f>
        <v>Normal</v>
      </c>
      <c r="X649" t="str">
        <f>IF(Table1[[#This Row],[Performance
Rating]]&gt;=4, "High Performer", "Low Performer")</f>
        <v>High Performer</v>
      </c>
    </row>
    <row r="650" spans="2:24" x14ac:dyDescent="0.3">
      <c r="B650" t="s">
        <v>19</v>
      </c>
      <c r="C650" t="s">
        <v>25</v>
      </c>
      <c r="D650">
        <v>1</v>
      </c>
      <c r="E650" t="s">
        <v>28</v>
      </c>
      <c r="F650">
        <v>1</v>
      </c>
      <c r="G650" t="s">
        <v>29</v>
      </c>
      <c r="H650">
        <v>4</v>
      </c>
      <c r="I650">
        <v>3917</v>
      </c>
      <c r="J650">
        <v>20</v>
      </c>
      <c r="K650">
        <v>4</v>
      </c>
      <c r="L650">
        <v>1</v>
      </c>
      <c r="M650">
        <v>3</v>
      </c>
      <c r="N650">
        <v>4</v>
      </c>
      <c r="O650">
        <v>2</v>
      </c>
      <c r="P650">
        <v>3</v>
      </c>
      <c r="Q650">
        <v>2</v>
      </c>
      <c r="R650">
        <v>1</v>
      </c>
      <c r="S650" t="s">
        <v>23</v>
      </c>
      <c r="T650" t="s">
        <v>24</v>
      </c>
      <c r="U650" t="str">
        <f>IF(Table1[[#This Row],[YearsSince
LastPromotion]]&gt; 4, "Delayed", "Normal")</f>
        <v>Normal</v>
      </c>
      <c r="V650" t="str">
        <f>IF(Table1[[#This Row],[Years
InCurrentRole]]&gt;4, "Role Stagnent", "Normal")</f>
        <v>Normal</v>
      </c>
      <c r="W650" t="str">
        <f>IF(AND(Table1[[#This Row],[Years
InCurrentRole]]&gt; 4, Table1[[#This Row],[Performance
Rating]]&gt;=3), "High Risk", "Normal")</f>
        <v>Normal</v>
      </c>
      <c r="X650" t="str">
        <f>IF(Table1[[#This Row],[Performance
Rating]]&gt;=4, "High Performer", "Low Performer")</f>
        <v>High Performer</v>
      </c>
    </row>
    <row r="651" spans="2:24" x14ac:dyDescent="0.3">
      <c r="B651" t="s">
        <v>19</v>
      </c>
      <c r="C651" t="s">
        <v>25</v>
      </c>
      <c r="D651">
        <v>1</v>
      </c>
      <c r="E651" t="s">
        <v>28</v>
      </c>
      <c r="F651">
        <v>1</v>
      </c>
      <c r="G651" t="s">
        <v>29</v>
      </c>
      <c r="H651">
        <v>4</v>
      </c>
      <c r="I651">
        <v>3669</v>
      </c>
      <c r="J651">
        <v>11</v>
      </c>
      <c r="K651">
        <v>3</v>
      </c>
      <c r="L651">
        <v>3</v>
      </c>
      <c r="M651">
        <v>7</v>
      </c>
      <c r="N651">
        <v>6</v>
      </c>
      <c r="O651">
        <v>2</v>
      </c>
      <c r="P651">
        <v>3</v>
      </c>
      <c r="Q651">
        <v>2</v>
      </c>
      <c r="R651">
        <v>1</v>
      </c>
      <c r="S651" t="s">
        <v>23</v>
      </c>
      <c r="T651" t="s">
        <v>24</v>
      </c>
      <c r="U651" t="str">
        <f>IF(Table1[[#This Row],[YearsSince
LastPromotion]]&gt; 4, "Delayed", "Normal")</f>
        <v>Normal</v>
      </c>
      <c r="V651" t="str">
        <f>IF(Table1[[#This Row],[Years
InCurrentRole]]&gt;4, "Role Stagnent", "Normal")</f>
        <v>Normal</v>
      </c>
      <c r="W651" t="str">
        <f>IF(AND(Table1[[#This Row],[Years
InCurrentRole]]&gt; 4, Table1[[#This Row],[Performance
Rating]]&gt;=3), "High Risk", "Normal")</f>
        <v>Normal</v>
      </c>
      <c r="X651" t="str">
        <f>IF(Table1[[#This Row],[Performance
Rating]]&gt;=4, "High Performer", "Low Performer")</f>
        <v>Low Performer</v>
      </c>
    </row>
    <row r="652" spans="2:24" x14ac:dyDescent="0.3">
      <c r="B652" t="s">
        <v>27</v>
      </c>
      <c r="C652" t="s">
        <v>25</v>
      </c>
      <c r="D652">
        <v>1</v>
      </c>
      <c r="E652" t="s">
        <v>28</v>
      </c>
      <c r="F652">
        <v>1</v>
      </c>
      <c r="G652" t="s">
        <v>26</v>
      </c>
      <c r="H652">
        <v>1</v>
      </c>
      <c r="I652">
        <v>2321</v>
      </c>
      <c r="J652">
        <v>22</v>
      </c>
      <c r="K652">
        <v>4</v>
      </c>
      <c r="L652">
        <v>0</v>
      </c>
      <c r="M652">
        <v>4</v>
      </c>
      <c r="N652">
        <v>0</v>
      </c>
      <c r="O652">
        <v>3</v>
      </c>
      <c r="P652">
        <v>3</v>
      </c>
      <c r="Q652">
        <v>2</v>
      </c>
      <c r="R652">
        <v>1</v>
      </c>
      <c r="S652" t="s">
        <v>34</v>
      </c>
      <c r="T652" t="s">
        <v>24</v>
      </c>
      <c r="U652" t="str">
        <f>IF(Table1[[#This Row],[YearsSince
LastPromotion]]&gt; 4, "Delayed", "Normal")</f>
        <v>Normal</v>
      </c>
      <c r="V652" t="str">
        <f>IF(Table1[[#This Row],[Years
InCurrentRole]]&gt;4, "Role Stagnent", "Normal")</f>
        <v>Normal</v>
      </c>
      <c r="W652" t="str">
        <f>IF(AND(Table1[[#This Row],[Years
InCurrentRole]]&gt; 4, Table1[[#This Row],[Performance
Rating]]&gt;=3), "High Risk", "Normal")</f>
        <v>Normal</v>
      </c>
      <c r="X652" t="str">
        <f>IF(Table1[[#This Row],[Performance
Rating]]&gt;=4, "High Performer", "Low Performer")</f>
        <v>High Performer</v>
      </c>
    </row>
    <row r="653" spans="2:24" x14ac:dyDescent="0.3">
      <c r="B653" t="s">
        <v>19</v>
      </c>
      <c r="C653" t="s">
        <v>20</v>
      </c>
      <c r="D653">
        <v>1</v>
      </c>
      <c r="E653" t="s">
        <v>21</v>
      </c>
      <c r="F653">
        <v>2</v>
      </c>
      <c r="G653" t="s">
        <v>32</v>
      </c>
      <c r="H653">
        <v>1</v>
      </c>
      <c r="I653">
        <v>6500</v>
      </c>
      <c r="J653">
        <v>17</v>
      </c>
      <c r="K653">
        <v>3</v>
      </c>
      <c r="L653">
        <v>1</v>
      </c>
      <c r="M653">
        <v>6</v>
      </c>
      <c r="N653">
        <v>1</v>
      </c>
      <c r="O653">
        <v>3</v>
      </c>
      <c r="P653">
        <v>3</v>
      </c>
      <c r="Q653">
        <v>2</v>
      </c>
      <c r="R653">
        <v>1</v>
      </c>
      <c r="S653" t="s">
        <v>34</v>
      </c>
      <c r="T653" t="s">
        <v>24</v>
      </c>
      <c r="U653" t="str">
        <f>IF(Table1[[#This Row],[YearsSince
LastPromotion]]&gt; 4, "Delayed", "Normal")</f>
        <v>Normal</v>
      </c>
      <c r="V653" t="str">
        <f>IF(Table1[[#This Row],[Years
InCurrentRole]]&gt;4, "Role Stagnent", "Normal")</f>
        <v>Normal</v>
      </c>
      <c r="W653" t="str">
        <f>IF(AND(Table1[[#This Row],[Years
InCurrentRole]]&gt; 4, Table1[[#This Row],[Performance
Rating]]&gt;=3), "High Risk", "Normal")</f>
        <v>Normal</v>
      </c>
      <c r="X653" t="str">
        <f>IF(Table1[[#This Row],[Performance
Rating]]&gt;=4, "High Performer", "Low Performer")</f>
        <v>Low Performer</v>
      </c>
    </row>
    <row r="654" spans="2:24" x14ac:dyDescent="0.3">
      <c r="B654" t="s">
        <v>19</v>
      </c>
      <c r="C654" t="s">
        <v>25</v>
      </c>
      <c r="D654">
        <v>1</v>
      </c>
      <c r="E654" t="s">
        <v>21</v>
      </c>
      <c r="F654">
        <v>1</v>
      </c>
      <c r="G654" t="s">
        <v>29</v>
      </c>
      <c r="H654">
        <v>3</v>
      </c>
      <c r="I654">
        <v>2232</v>
      </c>
      <c r="J654">
        <v>14</v>
      </c>
      <c r="K654">
        <v>3</v>
      </c>
      <c r="L654">
        <v>3</v>
      </c>
      <c r="M654">
        <v>7</v>
      </c>
      <c r="N654">
        <v>1</v>
      </c>
      <c r="O654">
        <v>3</v>
      </c>
      <c r="P654">
        <v>3</v>
      </c>
      <c r="Q654">
        <v>2</v>
      </c>
      <c r="R654">
        <v>1</v>
      </c>
      <c r="S654" t="s">
        <v>34</v>
      </c>
      <c r="T654" t="s">
        <v>24</v>
      </c>
      <c r="U654" t="str">
        <f>IF(Table1[[#This Row],[YearsSince
LastPromotion]]&gt; 4, "Delayed", "Normal")</f>
        <v>Normal</v>
      </c>
      <c r="V654" t="str">
        <f>IF(Table1[[#This Row],[Years
InCurrentRole]]&gt;4, "Role Stagnent", "Normal")</f>
        <v>Normal</v>
      </c>
      <c r="W654" t="str">
        <f>IF(AND(Table1[[#This Row],[Years
InCurrentRole]]&gt; 4, Table1[[#This Row],[Performance
Rating]]&gt;=3), "High Risk", "Normal")</f>
        <v>Normal</v>
      </c>
      <c r="X654" t="str">
        <f>IF(Table1[[#This Row],[Performance
Rating]]&gt;=4, "High Performer", "Low Performer")</f>
        <v>Low Performer</v>
      </c>
    </row>
    <row r="655" spans="2:24" x14ac:dyDescent="0.3">
      <c r="B655" t="s">
        <v>19</v>
      </c>
      <c r="C655" t="s">
        <v>25</v>
      </c>
      <c r="D655">
        <v>1</v>
      </c>
      <c r="E655" t="s">
        <v>28</v>
      </c>
      <c r="F655">
        <v>1</v>
      </c>
      <c r="G655" t="s">
        <v>29</v>
      </c>
      <c r="H655">
        <v>4</v>
      </c>
      <c r="I655">
        <v>2258</v>
      </c>
      <c r="J655">
        <v>20</v>
      </c>
      <c r="K655">
        <v>4</v>
      </c>
      <c r="L655">
        <v>1</v>
      </c>
      <c r="M655">
        <v>8</v>
      </c>
      <c r="N655">
        <v>1</v>
      </c>
      <c r="O655">
        <v>3</v>
      </c>
      <c r="P655">
        <v>3</v>
      </c>
      <c r="Q655">
        <v>2</v>
      </c>
      <c r="R655">
        <v>1</v>
      </c>
      <c r="S655" t="s">
        <v>34</v>
      </c>
      <c r="T655" t="s">
        <v>24</v>
      </c>
      <c r="U655" t="str">
        <f>IF(Table1[[#This Row],[YearsSince
LastPromotion]]&gt; 4, "Delayed", "Normal")</f>
        <v>Normal</v>
      </c>
      <c r="V655" t="str">
        <f>IF(Table1[[#This Row],[Years
InCurrentRole]]&gt;4, "Role Stagnent", "Normal")</f>
        <v>Normal</v>
      </c>
      <c r="W655" t="str">
        <f>IF(AND(Table1[[#This Row],[Years
InCurrentRole]]&gt; 4, Table1[[#This Row],[Performance
Rating]]&gt;=3), "High Risk", "Normal")</f>
        <v>Normal</v>
      </c>
      <c r="X655" t="str">
        <f>IF(Table1[[#This Row],[Performance
Rating]]&gt;=4, "High Performer", "Low Performer")</f>
        <v>High Performer</v>
      </c>
    </row>
    <row r="656" spans="2:24" x14ac:dyDescent="0.3">
      <c r="B656" t="s">
        <v>19</v>
      </c>
      <c r="C656" t="s">
        <v>20</v>
      </c>
      <c r="D656">
        <v>1</v>
      </c>
      <c r="E656" t="s">
        <v>21</v>
      </c>
      <c r="F656">
        <v>2</v>
      </c>
      <c r="G656" t="s">
        <v>32</v>
      </c>
      <c r="H656">
        <v>3</v>
      </c>
      <c r="I656">
        <v>5736</v>
      </c>
      <c r="J656">
        <v>19</v>
      </c>
      <c r="K656">
        <v>3</v>
      </c>
      <c r="L656">
        <v>1</v>
      </c>
      <c r="M656">
        <v>10</v>
      </c>
      <c r="N656">
        <v>1</v>
      </c>
      <c r="O656">
        <v>3</v>
      </c>
      <c r="P656">
        <v>3</v>
      </c>
      <c r="Q656">
        <v>2</v>
      </c>
      <c r="R656">
        <v>1</v>
      </c>
      <c r="S656" t="s">
        <v>34</v>
      </c>
      <c r="T656" t="s">
        <v>24</v>
      </c>
      <c r="U656" t="str">
        <f>IF(Table1[[#This Row],[YearsSince
LastPromotion]]&gt; 4, "Delayed", "Normal")</f>
        <v>Normal</v>
      </c>
      <c r="V656" t="str">
        <f>IF(Table1[[#This Row],[Years
InCurrentRole]]&gt;4, "Role Stagnent", "Normal")</f>
        <v>Normal</v>
      </c>
      <c r="W656" t="str">
        <f>IF(AND(Table1[[#This Row],[Years
InCurrentRole]]&gt; 4, Table1[[#This Row],[Performance
Rating]]&gt;=3), "High Risk", "Normal")</f>
        <v>Normal</v>
      </c>
      <c r="X656" t="str">
        <f>IF(Table1[[#This Row],[Performance
Rating]]&gt;=4, "High Performer", "Low Performer")</f>
        <v>Low Performer</v>
      </c>
    </row>
    <row r="657" spans="2:24" x14ac:dyDescent="0.3">
      <c r="B657" t="s">
        <v>19</v>
      </c>
      <c r="C657" t="s">
        <v>20</v>
      </c>
      <c r="D657">
        <v>1</v>
      </c>
      <c r="E657" t="s">
        <v>28</v>
      </c>
      <c r="F657">
        <v>1</v>
      </c>
      <c r="G657" t="s">
        <v>30</v>
      </c>
      <c r="H657">
        <v>3</v>
      </c>
      <c r="I657">
        <v>3447</v>
      </c>
      <c r="J657">
        <v>11</v>
      </c>
      <c r="K657">
        <v>3</v>
      </c>
      <c r="L657">
        <v>0</v>
      </c>
      <c r="M657">
        <v>3</v>
      </c>
      <c r="N657">
        <v>2</v>
      </c>
      <c r="O657">
        <v>3</v>
      </c>
      <c r="P657">
        <v>3</v>
      </c>
      <c r="Q657">
        <v>2</v>
      </c>
      <c r="R657">
        <v>1</v>
      </c>
      <c r="S657" t="s">
        <v>34</v>
      </c>
      <c r="T657" t="s">
        <v>24</v>
      </c>
      <c r="U657" t="str">
        <f>IF(Table1[[#This Row],[YearsSince
LastPromotion]]&gt; 4, "Delayed", "Normal")</f>
        <v>Normal</v>
      </c>
      <c r="V657" t="str">
        <f>IF(Table1[[#This Row],[Years
InCurrentRole]]&gt;4, "Role Stagnent", "Normal")</f>
        <v>Normal</v>
      </c>
      <c r="W657" t="str">
        <f>IF(AND(Table1[[#This Row],[Years
InCurrentRole]]&gt; 4, Table1[[#This Row],[Performance
Rating]]&gt;=3), "High Risk", "Normal")</f>
        <v>Normal</v>
      </c>
      <c r="X657" t="str">
        <f>IF(Table1[[#This Row],[Performance
Rating]]&gt;=4, "High Performer", "Low Performer")</f>
        <v>Low Performer</v>
      </c>
    </row>
    <row r="658" spans="2:24" x14ac:dyDescent="0.3">
      <c r="B658" t="s">
        <v>19</v>
      </c>
      <c r="C658" t="s">
        <v>25</v>
      </c>
      <c r="D658">
        <v>1</v>
      </c>
      <c r="E658" t="s">
        <v>28</v>
      </c>
      <c r="F658">
        <v>2</v>
      </c>
      <c r="G658" t="s">
        <v>31</v>
      </c>
      <c r="H658">
        <v>3</v>
      </c>
      <c r="I658">
        <v>4035</v>
      </c>
      <c r="J658">
        <v>16</v>
      </c>
      <c r="K658">
        <v>3</v>
      </c>
      <c r="L658">
        <v>0</v>
      </c>
      <c r="M658">
        <v>4</v>
      </c>
      <c r="N658">
        <v>2</v>
      </c>
      <c r="O658">
        <v>3</v>
      </c>
      <c r="P658">
        <v>3</v>
      </c>
      <c r="Q658">
        <v>2</v>
      </c>
      <c r="R658">
        <v>1</v>
      </c>
      <c r="S658" t="s">
        <v>34</v>
      </c>
      <c r="T658" t="s">
        <v>24</v>
      </c>
      <c r="U658" t="str">
        <f>IF(Table1[[#This Row],[YearsSince
LastPromotion]]&gt; 4, "Delayed", "Normal")</f>
        <v>Normal</v>
      </c>
      <c r="V658" t="str">
        <f>IF(Table1[[#This Row],[Years
InCurrentRole]]&gt;4, "Role Stagnent", "Normal")</f>
        <v>Normal</v>
      </c>
      <c r="W658" t="str">
        <f>IF(AND(Table1[[#This Row],[Years
InCurrentRole]]&gt; 4, Table1[[#This Row],[Performance
Rating]]&gt;=3), "High Risk", "Normal")</f>
        <v>Normal</v>
      </c>
      <c r="X658" t="str">
        <f>IF(Table1[[#This Row],[Performance
Rating]]&gt;=4, "High Performer", "Low Performer")</f>
        <v>Low Performer</v>
      </c>
    </row>
    <row r="659" spans="2:24" x14ac:dyDescent="0.3">
      <c r="B659" t="s">
        <v>27</v>
      </c>
      <c r="C659" t="s">
        <v>25</v>
      </c>
      <c r="D659">
        <v>1</v>
      </c>
      <c r="E659" t="s">
        <v>28</v>
      </c>
      <c r="F659">
        <v>1</v>
      </c>
      <c r="G659" t="s">
        <v>26</v>
      </c>
      <c r="H659">
        <v>1</v>
      </c>
      <c r="I659">
        <v>2042</v>
      </c>
      <c r="J659">
        <v>14</v>
      </c>
      <c r="K659">
        <v>3</v>
      </c>
      <c r="L659">
        <v>1</v>
      </c>
      <c r="M659">
        <v>6</v>
      </c>
      <c r="N659">
        <v>2</v>
      </c>
      <c r="O659">
        <v>3</v>
      </c>
      <c r="P659">
        <v>3</v>
      </c>
      <c r="Q659">
        <v>2</v>
      </c>
      <c r="R659">
        <v>1</v>
      </c>
      <c r="S659" t="s">
        <v>34</v>
      </c>
      <c r="T659" t="s">
        <v>24</v>
      </c>
      <c r="U659" t="str">
        <f>IF(Table1[[#This Row],[YearsSince
LastPromotion]]&gt; 4, "Delayed", "Normal")</f>
        <v>Normal</v>
      </c>
      <c r="V659" t="str">
        <f>IF(Table1[[#This Row],[Years
InCurrentRole]]&gt;4, "Role Stagnent", "Normal")</f>
        <v>Normal</v>
      </c>
      <c r="W659" t="str">
        <f>IF(AND(Table1[[#This Row],[Years
InCurrentRole]]&gt; 4, Table1[[#This Row],[Performance
Rating]]&gt;=3), "High Risk", "Normal")</f>
        <v>Normal</v>
      </c>
      <c r="X659" t="str">
        <f>IF(Table1[[#This Row],[Performance
Rating]]&gt;=4, "High Performer", "Low Performer")</f>
        <v>Low Performer</v>
      </c>
    </row>
    <row r="660" spans="2:24" x14ac:dyDescent="0.3">
      <c r="B660" t="s">
        <v>19</v>
      </c>
      <c r="C660" t="s">
        <v>25</v>
      </c>
      <c r="D660">
        <v>1</v>
      </c>
      <c r="E660" t="s">
        <v>21</v>
      </c>
      <c r="F660">
        <v>2</v>
      </c>
      <c r="G660" t="s">
        <v>33</v>
      </c>
      <c r="H660">
        <v>3</v>
      </c>
      <c r="I660">
        <v>4663</v>
      </c>
      <c r="J660">
        <v>12</v>
      </c>
      <c r="K660">
        <v>3</v>
      </c>
      <c r="L660">
        <v>2</v>
      </c>
      <c r="M660">
        <v>7</v>
      </c>
      <c r="N660">
        <v>2</v>
      </c>
      <c r="O660">
        <v>3</v>
      </c>
      <c r="P660">
        <v>3</v>
      </c>
      <c r="Q660">
        <v>2</v>
      </c>
      <c r="R660">
        <v>1</v>
      </c>
      <c r="S660" t="s">
        <v>34</v>
      </c>
      <c r="T660" t="s">
        <v>24</v>
      </c>
      <c r="U660" t="str">
        <f>IF(Table1[[#This Row],[YearsSince
LastPromotion]]&gt; 4, "Delayed", "Normal")</f>
        <v>Normal</v>
      </c>
      <c r="V660" t="str">
        <f>IF(Table1[[#This Row],[Years
InCurrentRole]]&gt;4, "Role Stagnent", "Normal")</f>
        <v>Normal</v>
      </c>
      <c r="W660" t="str">
        <f>IF(AND(Table1[[#This Row],[Years
InCurrentRole]]&gt; 4, Table1[[#This Row],[Performance
Rating]]&gt;=3), "High Risk", "Normal")</f>
        <v>Normal</v>
      </c>
      <c r="X660" t="str">
        <f>IF(Table1[[#This Row],[Performance
Rating]]&gt;=4, "High Performer", "Low Performer")</f>
        <v>Low Performer</v>
      </c>
    </row>
    <row r="661" spans="2:24" x14ac:dyDescent="0.3">
      <c r="B661" t="s">
        <v>19</v>
      </c>
      <c r="C661" t="s">
        <v>25</v>
      </c>
      <c r="D661">
        <v>1</v>
      </c>
      <c r="E661" t="s">
        <v>28</v>
      </c>
      <c r="F661">
        <v>3</v>
      </c>
      <c r="G661" t="s">
        <v>31</v>
      </c>
      <c r="H661">
        <v>4</v>
      </c>
      <c r="I661">
        <v>7119</v>
      </c>
      <c r="J661">
        <v>15</v>
      </c>
      <c r="K661">
        <v>3</v>
      </c>
      <c r="L661">
        <v>1</v>
      </c>
      <c r="M661">
        <v>9</v>
      </c>
      <c r="N661">
        <v>2</v>
      </c>
      <c r="O661">
        <v>3</v>
      </c>
      <c r="P661">
        <v>3</v>
      </c>
      <c r="Q661">
        <v>2</v>
      </c>
      <c r="R661">
        <v>1</v>
      </c>
      <c r="S661" t="s">
        <v>34</v>
      </c>
      <c r="T661" t="s">
        <v>24</v>
      </c>
      <c r="U661" t="str">
        <f>IF(Table1[[#This Row],[YearsSince
LastPromotion]]&gt; 4, "Delayed", "Normal")</f>
        <v>Normal</v>
      </c>
      <c r="V661" t="str">
        <f>IF(Table1[[#This Row],[Years
InCurrentRole]]&gt;4, "Role Stagnent", "Normal")</f>
        <v>Normal</v>
      </c>
      <c r="W661" t="str">
        <f>IF(AND(Table1[[#This Row],[Years
InCurrentRole]]&gt; 4, Table1[[#This Row],[Performance
Rating]]&gt;=3), "High Risk", "Normal")</f>
        <v>Normal</v>
      </c>
      <c r="X661" t="str">
        <f>IF(Table1[[#This Row],[Performance
Rating]]&gt;=4, "High Performer", "Low Performer")</f>
        <v>Low Performer</v>
      </c>
    </row>
    <row r="662" spans="2:24" x14ac:dyDescent="0.3">
      <c r="B662" t="s">
        <v>19</v>
      </c>
      <c r="C662" t="s">
        <v>25</v>
      </c>
      <c r="D662">
        <v>1</v>
      </c>
      <c r="E662" t="s">
        <v>28</v>
      </c>
      <c r="F662">
        <v>1</v>
      </c>
      <c r="G662" t="s">
        <v>29</v>
      </c>
      <c r="H662">
        <v>1</v>
      </c>
      <c r="I662">
        <v>2062</v>
      </c>
      <c r="J662">
        <v>14</v>
      </c>
      <c r="K662">
        <v>3</v>
      </c>
      <c r="L662">
        <v>0</v>
      </c>
      <c r="M662">
        <v>11</v>
      </c>
      <c r="N662">
        <v>2</v>
      </c>
      <c r="O662">
        <v>3</v>
      </c>
      <c r="P662">
        <v>3</v>
      </c>
      <c r="Q662">
        <v>2</v>
      </c>
      <c r="R662">
        <v>1</v>
      </c>
      <c r="S662" t="s">
        <v>34</v>
      </c>
      <c r="T662" t="s">
        <v>24</v>
      </c>
      <c r="U662" t="str">
        <f>IF(Table1[[#This Row],[YearsSince
LastPromotion]]&gt; 4, "Delayed", "Normal")</f>
        <v>Normal</v>
      </c>
      <c r="V662" t="str">
        <f>IF(Table1[[#This Row],[Years
InCurrentRole]]&gt;4, "Role Stagnent", "Normal")</f>
        <v>Normal</v>
      </c>
      <c r="W662" t="str">
        <f>IF(AND(Table1[[#This Row],[Years
InCurrentRole]]&gt; 4, Table1[[#This Row],[Performance
Rating]]&gt;=3), "High Risk", "Normal")</f>
        <v>Normal</v>
      </c>
      <c r="X662" t="str">
        <f>IF(Table1[[#This Row],[Performance
Rating]]&gt;=4, "High Performer", "Low Performer")</f>
        <v>Low Performer</v>
      </c>
    </row>
    <row r="663" spans="2:24" x14ac:dyDescent="0.3">
      <c r="B663" t="s">
        <v>19</v>
      </c>
      <c r="C663" t="s">
        <v>25</v>
      </c>
      <c r="D663">
        <v>1</v>
      </c>
      <c r="E663" t="s">
        <v>28</v>
      </c>
      <c r="F663">
        <v>2</v>
      </c>
      <c r="G663" t="s">
        <v>31</v>
      </c>
      <c r="H663">
        <v>3</v>
      </c>
      <c r="I663">
        <v>6755</v>
      </c>
      <c r="J663">
        <v>11</v>
      </c>
      <c r="K663">
        <v>3</v>
      </c>
      <c r="L663">
        <v>0</v>
      </c>
      <c r="M663">
        <v>15</v>
      </c>
      <c r="N663">
        <v>2</v>
      </c>
      <c r="O663">
        <v>3</v>
      </c>
      <c r="P663">
        <v>3</v>
      </c>
      <c r="Q663">
        <v>2</v>
      </c>
      <c r="R663">
        <v>1</v>
      </c>
      <c r="S663" t="s">
        <v>34</v>
      </c>
      <c r="T663" t="s">
        <v>24</v>
      </c>
      <c r="U663" t="str">
        <f>IF(Table1[[#This Row],[YearsSince
LastPromotion]]&gt; 4, "Delayed", "Normal")</f>
        <v>Normal</v>
      </c>
      <c r="V663" t="str">
        <f>IF(Table1[[#This Row],[Years
InCurrentRole]]&gt;4, "Role Stagnent", "Normal")</f>
        <v>Normal</v>
      </c>
      <c r="W663" t="str">
        <f>IF(AND(Table1[[#This Row],[Years
InCurrentRole]]&gt; 4, Table1[[#This Row],[Performance
Rating]]&gt;=3), "High Risk", "Normal")</f>
        <v>Normal</v>
      </c>
      <c r="X663" t="str">
        <f>IF(Table1[[#This Row],[Performance
Rating]]&gt;=4, "High Performer", "Low Performer")</f>
        <v>Low Performer</v>
      </c>
    </row>
    <row r="664" spans="2:24" x14ac:dyDescent="0.3">
      <c r="B664" t="s">
        <v>19</v>
      </c>
      <c r="C664" t="s">
        <v>25</v>
      </c>
      <c r="D664">
        <v>1</v>
      </c>
      <c r="E664" t="s">
        <v>21</v>
      </c>
      <c r="F664">
        <v>1</v>
      </c>
      <c r="G664" t="s">
        <v>26</v>
      </c>
      <c r="H664">
        <v>3</v>
      </c>
      <c r="I664">
        <v>4739</v>
      </c>
      <c r="J664">
        <v>12</v>
      </c>
      <c r="K664">
        <v>3</v>
      </c>
      <c r="L664">
        <v>0</v>
      </c>
      <c r="M664">
        <v>18</v>
      </c>
      <c r="N664">
        <v>2</v>
      </c>
      <c r="O664">
        <v>3</v>
      </c>
      <c r="P664">
        <v>3</v>
      </c>
      <c r="Q664">
        <v>2</v>
      </c>
      <c r="R664">
        <v>1</v>
      </c>
      <c r="S664" t="s">
        <v>34</v>
      </c>
      <c r="T664" t="s">
        <v>24</v>
      </c>
      <c r="U664" t="str">
        <f>IF(Table1[[#This Row],[YearsSince
LastPromotion]]&gt; 4, "Delayed", "Normal")</f>
        <v>Normal</v>
      </c>
      <c r="V664" t="str">
        <f>IF(Table1[[#This Row],[Years
InCurrentRole]]&gt;4, "Role Stagnent", "Normal")</f>
        <v>Normal</v>
      </c>
      <c r="W664" t="str">
        <f>IF(AND(Table1[[#This Row],[Years
InCurrentRole]]&gt; 4, Table1[[#This Row],[Performance
Rating]]&gt;=3), "High Risk", "Normal")</f>
        <v>Normal</v>
      </c>
      <c r="X664" t="str">
        <f>IF(Table1[[#This Row],[Performance
Rating]]&gt;=4, "High Performer", "Low Performer")</f>
        <v>Low Performer</v>
      </c>
    </row>
    <row r="665" spans="2:24" x14ac:dyDescent="0.3">
      <c r="B665" t="s">
        <v>19</v>
      </c>
      <c r="C665" t="s">
        <v>25</v>
      </c>
      <c r="D665">
        <v>1</v>
      </c>
      <c r="E665" t="s">
        <v>28</v>
      </c>
      <c r="F665">
        <v>5</v>
      </c>
      <c r="G665" t="s">
        <v>35</v>
      </c>
      <c r="H665">
        <v>3</v>
      </c>
      <c r="I665">
        <v>18300</v>
      </c>
      <c r="J665">
        <v>11</v>
      </c>
      <c r="K665">
        <v>3</v>
      </c>
      <c r="L665">
        <v>1</v>
      </c>
      <c r="M665">
        <v>21</v>
      </c>
      <c r="N665">
        <v>2</v>
      </c>
      <c r="O665">
        <v>3</v>
      </c>
      <c r="P665">
        <v>3</v>
      </c>
      <c r="Q665">
        <v>2</v>
      </c>
      <c r="R665">
        <v>1</v>
      </c>
      <c r="S665" t="s">
        <v>34</v>
      </c>
      <c r="T665" t="s">
        <v>24</v>
      </c>
      <c r="U665" t="str">
        <f>IF(Table1[[#This Row],[YearsSince
LastPromotion]]&gt; 4, "Delayed", "Normal")</f>
        <v>Normal</v>
      </c>
      <c r="V665" t="str">
        <f>IF(Table1[[#This Row],[Years
InCurrentRole]]&gt;4, "Role Stagnent", "Normal")</f>
        <v>Normal</v>
      </c>
      <c r="W665" t="str">
        <f>IF(AND(Table1[[#This Row],[Years
InCurrentRole]]&gt; 4, Table1[[#This Row],[Performance
Rating]]&gt;=3), "High Risk", "Normal")</f>
        <v>Normal</v>
      </c>
      <c r="X665" t="str">
        <f>IF(Table1[[#This Row],[Performance
Rating]]&gt;=4, "High Performer", "Low Performer")</f>
        <v>Low Performer</v>
      </c>
    </row>
    <row r="666" spans="2:24" x14ac:dyDescent="0.3">
      <c r="B666" t="s">
        <v>19</v>
      </c>
      <c r="C666" t="s">
        <v>25</v>
      </c>
      <c r="D666">
        <v>1</v>
      </c>
      <c r="E666" t="s">
        <v>21</v>
      </c>
      <c r="F666">
        <v>4</v>
      </c>
      <c r="G666" t="s">
        <v>35</v>
      </c>
      <c r="H666">
        <v>1</v>
      </c>
      <c r="I666">
        <v>16880</v>
      </c>
      <c r="J666">
        <v>11</v>
      </c>
      <c r="K666">
        <v>3</v>
      </c>
      <c r="L666">
        <v>0</v>
      </c>
      <c r="M666">
        <v>25</v>
      </c>
      <c r="N666">
        <v>2</v>
      </c>
      <c r="O666">
        <v>3</v>
      </c>
      <c r="P666">
        <v>3</v>
      </c>
      <c r="Q666">
        <v>2</v>
      </c>
      <c r="R666">
        <v>1</v>
      </c>
      <c r="S666" t="s">
        <v>34</v>
      </c>
      <c r="T666" t="s">
        <v>24</v>
      </c>
      <c r="U666" t="str">
        <f>IF(Table1[[#This Row],[YearsSince
LastPromotion]]&gt; 4, "Delayed", "Normal")</f>
        <v>Normal</v>
      </c>
      <c r="V666" t="str">
        <f>IF(Table1[[#This Row],[Years
InCurrentRole]]&gt;4, "Role Stagnent", "Normal")</f>
        <v>Normal</v>
      </c>
      <c r="W666" t="str">
        <f>IF(AND(Table1[[#This Row],[Years
InCurrentRole]]&gt; 4, Table1[[#This Row],[Performance
Rating]]&gt;=3), "High Risk", "Normal")</f>
        <v>Normal</v>
      </c>
      <c r="X666" t="str">
        <f>IF(Table1[[#This Row],[Performance
Rating]]&gt;=4, "High Performer", "Low Performer")</f>
        <v>Low Performer</v>
      </c>
    </row>
    <row r="667" spans="2:24" x14ac:dyDescent="0.3">
      <c r="B667" t="s">
        <v>19</v>
      </c>
      <c r="C667" t="s">
        <v>20</v>
      </c>
      <c r="D667">
        <v>1</v>
      </c>
      <c r="E667" t="s">
        <v>21</v>
      </c>
      <c r="F667">
        <v>4</v>
      </c>
      <c r="G667" t="s">
        <v>22</v>
      </c>
      <c r="H667">
        <v>2</v>
      </c>
      <c r="I667">
        <v>15972</v>
      </c>
      <c r="J667">
        <v>14</v>
      </c>
      <c r="K667">
        <v>3</v>
      </c>
      <c r="L667">
        <v>3</v>
      </c>
      <c r="M667">
        <v>29</v>
      </c>
      <c r="N667">
        <v>2</v>
      </c>
      <c r="O667">
        <v>3</v>
      </c>
      <c r="P667">
        <v>3</v>
      </c>
      <c r="Q667">
        <v>2</v>
      </c>
      <c r="R667">
        <v>1</v>
      </c>
      <c r="S667" t="s">
        <v>34</v>
      </c>
      <c r="T667" t="s">
        <v>24</v>
      </c>
      <c r="U667" t="str">
        <f>IF(Table1[[#This Row],[YearsSince
LastPromotion]]&gt; 4, "Delayed", "Normal")</f>
        <v>Normal</v>
      </c>
      <c r="V667" t="str">
        <f>IF(Table1[[#This Row],[Years
InCurrentRole]]&gt;4, "Role Stagnent", "Normal")</f>
        <v>Normal</v>
      </c>
      <c r="W667" t="str">
        <f>IF(AND(Table1[[#This Row],[Years
InCurrentRole]]&gt; 4, Table1[[#This Row],[Performance
Rating]]&gt;=3), "High Risk", "Normal")</f>
        <v>Normal</v>
      </c>
      <c r="X667" t="str">
        <f>IF(Table1[[#This Row],[Performance
Rating]]&gt;=4, "High Performer", "Low Performer")</f>
        <v>Low Performer</v>
      </c>
    </row>
    <row r="668" spans="2:24" x14ac:dyDescent="0.3">
      <c r="B668" t="s">
        <v>27</v>
      </c>
      <c r="C668" t="s">
        <v>20</v>
      </c>
      <c r="D668">
        <v>1</v>
      </c>
      <c r="E668" t="s">
        <v>21</v>
      </c>
      <c r="F668">
        <v>1</v>
      </c>
      <c r="G668" t="s">
        <v>30</v>
      </c>
      <c r="H668">
        <v>2</v>
      </c>
      <c r="I668">
        <v>2174</v>
      </c>
      <c r="J668">
        <v>11</v>
      </c>
      <c r="K668">
        <v>3</v>
      </c>
      <c r="L668">
        <v>0</v>
      </c>
      <c r="M668">
        <v>3</v>
      </c>
      <c r="N668">
        <v>3</v>
      </c>
      <c r="O668">
        <v>3</v>
      </c>
      <c r="P668">
        <v>3</v>
      </c>
      <c r="Q668">
        <v>2</v>
      </c>
      <c r="R668">
        <v>1</v>
      </c>
      <c r="S668" t="s">
        <v>34</v>
      </c>
      <c r="T668" t="s">
        <v>24</v>
      </c>
      <c r="U668" t="str">
        <f>IF(Table1[[#This Row],[YearsSince
LastPromotion]]&gt; 4, "Delayed", "Normal")</f>
        <v>Normal</v>
      </c>
      <c r="V668" t="str">
        <f>IF(Table1[[#This Row],[Years
InCurrentRole]]&gt;4, "Role Stagnent", "Normal")</f>
        <v>Normal</v>
      </c>
      <c r="W668" t="str">
        <f>IF(AND(Table1[[#This Row],[Years
InCurrentRole]]&gt; 4, Table1[[#This Row],[Performance
Rating]]&gt;=3), "High Risk", "Normal")</f>
        <v>Normal</v>
      </c>
      <c r="X668" t="str">
        <f>IF(Table1[[#This Row],[Performance
Rating]]&gt;=4, "High Performer", "Low Performer")</f>
        <v>Low Performer</v>
      </c>
    </row>
    <row r="669" spans="2:24" x14ac:dyDescent="0.3">
      <c r="B669" t="s">
        <v>19</v>
      </c>
      <c r="C669" t="s">
        <v>25</v>
      </c>
      <c r="D669">
        <v>1</v>
      </c>
      <c r="E669" t="s">
        <v>21</v>
      </c>
      <c r="F669">
        <v>1</v>
      </c>
      <c r="G669" t="s">
        <v>26</v>
      </c>
      <c r="H669">
        <v>1</v>
      </c>
      <c r="I669">
        <v>3591</v>
      </c>
      <c r="J669">
        <v>25</v>
      </c>
      <c r="K669">
        <v>4</v>
      </c>
      <c r="L669">
        <v>1</v>
      </c>
      <c r="M669">
        <v>3</v>
      </c>
      <c r="N669">
        <v>3</v>
      </c>
      <c r="O669">
        <v>3</v>
      </c>
      <c r="P669">
        <v>3</v>
      </c>
      <c r="Q669">
        <v>2</v>
      </c>
      <c r="R669">
        <v>1</v>
      </c>
      <c r="S669" t="s">
        <v>34</v>
      </c>
      <c r="T669" t="s">
        <v>24</v>
      </c>
      <c r="U669" t="str">
        <f>IF(Table1[[#This Row],[YearsSince
LastPromotion]]&gt; 4, "Delayed", "Normal")</f>
        <v>Normal</v>
      </c>
      <c r="V669" t="str">
        <f>IF(Table1[[#This Row],[Years
InCurrentRole]]&gt;4, "Role Stagnent", "Normal")</f>
        <v>Normal</v>
      </c>
      <c r="W669" t="str">
        <f>IF(AND(Table1[[#This Row],[Years
InCurrentRole]]&gt; 4, Table1[[#This Row],[Performance
Rating]]&gt;=3), "High Risk", "Normal")</f>
        <v>Normal</v>
      </c>
      <c r="X669" t="str">
        <f>IF(Table1[[#This Row],[Performance
Rating]]&gt;=4, "High Performer", "Low Performer")</f>
        <v>High Performer</v>
      </c>
    </row>
    <row r="670" spans="2:24" x14ac:dyDescent="0.3">
      <c r="B670" t="s">
        <v>19</v>
      </c>
      <c r="C670" t="s">
        <v>20</v>
      </c>
      <c r="D670">
        <v>1</v>
      </c>
      <c r="E670" t="s">
        <v>28</v>
      </c>
      <c r="F670">
        <v>1</v>
      </c>
      <c r="G670" t="s">
        <v>30</v>
      </c>
      <c r="H670">
        <v>2</v>
      </c>
      <c r="I670">
        <v>2983</v>
      </c>
      <c r="J670">
        <v>14</v>
      </c>
      <c r="K670">
        <v>3</v>
      </c>
      <c r="L670">
        <v>0</v>
      </c>
      <c r="M670">
        <v>4</v>
      </c>
      <c r="N670">
        <v>3</v>
      </c>
      <c r="O670">
        <v>3</v>
      </c>
      <c r="P670">
        <v>3</v>
      </c>
      <c r="Q670">
        <v>2</v>
      </c>
      <c r="R670">
        <v>1</v>
      </c>
      <c r="S670" t="s">
        <v>34</v>
      </c>
      <c r="T670" t="s">
        <v>24</v>
      </c>
      <c r="U670" t="str">
        <f>IF(Table1[[#This Row],[YearsSince
LastPromotion]]&gt; 4, "Delayed", "Normal")</f>
        <v>Normal</v>
      </c>
      <c r="V670" t="str">
        <f>IF(Table1[[#This Row],[Years
InCurrentRole]]&gt;4, "Role Stagnent", "Normal")</f>
        <v>Normal</v>
      </c>
      <c r="W670" t="str">
        <f>IF(AND(Table1[[#This Row],[Years
InCurrentRole]]&gt; 4, Table1[[#This Row],[Performance
Rating]]&gt;=3), "High Risk", "Normal")</f>
        <v>Normal</v>
      </c>
      <c r="X670" t="str">
        <f>IF(Table1[[#This Row],[Performance
Rating]]&gt;=4, "High Performer", "Low Performer")</f>
        <v>Low Performer</v>
      </c>
    </row>
    <row r="671" spans="2:24" x14ac:dyDescent="0.3">
      <c r="B671" t="s">
        <v>27</v>
      </c>
      <c r="C671" t="s">
        <v>25</v>
      </c>
      <c r="D671">
        <v>1</v>
      </c>
      <c r="E671" t="s">
        <v>21</v>
      </c>
      <c r="F671">
        <v>1</v>
      </c>
      <c r="G671" t="s">
        <v>29</v>
      </c>
      <c r="H671">
        <v>2</v>
      </c>
      <c r="I671">
        <v>2422</v>
      </c>
      <c r="J671">
        <v>17</v>
      </c>
      <c r="K671">
        <v>3</v>
      </c>
      <c r="L671">
        <v>0</v>
      </c>
      <c r="M671">
        <v>4</v>
      </c>
      <c r="N671">
        <v>3</v>
      </c>
      <c r="O671">
        <v>3</v>
      </c>
      <c r="P671">
        <v>3</v>
      </c>
      <c r="Q671">
        <v>2</v>
      </c>
      <c r="R671">
        <v>1</v>
      </c>
      <c r="S671" t="s">
        <v>34</v>
      </c>
      <c r="T671" t="s">
        <v>24</v>
      </c>
      <c r="U671" t="str">
        <f>IF(Table1[[#This Row],[YearsSince
LastPromotion]]&gt; 4, "Delayed", "Normal")</f>
        <v>Normal</v>
      </c>
      <c r="V671" t="str">
        <f>IF(Table1[[#This Row],[Years
InCurrentRole]]&gt;4, "Role Stagnent", "Normal")</f>
        <v>Normal</v>
      </c>
      <c r="W671" t="str">
        <f>IF(AND(Table1[[#This Row],[Years
InCurrentRole]]&gt; 4, Table1[[#This Row],[Performance
Rating]]&gt;=3), "High Risk", "Normal")</f>
        <v>Normal</v>
      </c>
      <c r="X671" t="str">
        <f>IF(Table1[[#This Row],[Performance
Rating]]&gt;=4, "High Performer", "Low Performer")</f>
        <v>Low Performer</v>
      </c>
    </row>
    <row r="672" spans="2:24" x14ac:dyDescent="0.3">
      <c r="B672" t="s">
        <v>19</v>
      </c>
      <c r="C672" t="s">
        <v>25</v>
      </c>
      <c r="D672">
        <v>1</v>
      </c>
      <c r="E672" t="s">
        <v>28</v>
      </c>
      <c r="F672">
        <v>1</v>
      </c>
      <c r="G672" t="s">
        <v>26</v>
      </c>
      <c r="H672">
        <v>4</v>
      </c>
      <c r="I672">
        <v>3944</v>
      </c>
      <c r="J672">
        <v>11</v>
      </c>
      <c r="K672">
        <v>3</v>
      </c>
      <c r="L672">
        <v>0</v>
      </c>
      <c r="M672">
        <v>6</v>
      </c>
      <c r="N672">
        <v>3</v>
      </c>
      <c r="O672">
        <v>3</v>
      </c>
      <c r="P672">
        <v>3</v>
      </c>
      <c r="Q672">
        <v>2</v>
      </c>
      <c r="R672">
        <v>1</v>
      </c>
      <c r="S672" t="s">
        <v>34</v>
      </c>
      <c r="T672" t="s">
        <v>24</v>
      </c>
      <c r="U672" t="str">
        <f>IF(Table1[[#This Row],[YearsSince
LastPromotion]]&gt; 4, "Delayed", "Normal")</f>
        <v>Normal</v>
      </c>
      <c r="V672" t="str">
        <f>IF(Table1[[#This Row],[Years
InCurrentRole]]&gt;4, "Role Stagnent", "Normal")</f>
        <v>Normal</v>
      </c>
      <c r="W672" t="str">
        <f>IF(AND(Table1[[#This Row],[Years
InCurrentRole]]&gt; 4, Table1[[#This Row],[Performance
Rating]]&gt;=3), "High Risk", "Normal")</f>
        <v>Normal</v>
      </c>
      <c r="X672" t="str">
        <f>IF(Table1[[#This Row],[Performance
Rating]]&gt;=4, "High Performer", "Low Performer")</f>
        <v>Low Performer</v>
      </c>
    </row>
    <row r="673" spans="2:24" x14ac:dyDescent="0.3">
      <c r="B673" t="s">
        <v>19</v>
      </c>
      <c r="C673" t="s">
        <v>20</v>
      </c>
      <c r="D673">
        <v>1</v>
      </c>
      <c r="E673" t="s">
        <v>21</v>
      </c>
      <c r="F673">
        <v>2</v>
      </c>
      <c r="G673" t="s">
        <v>32</v>
      </c>
      <c r="H673">
        <v>3</v>
      </c>
      <c r="I673">
        <v>6538</v>
      </c>
      <c r="J673">
        <v>15</v>
      </c>
      <c r="K673">
        <v>3</v>
      </c>
      <c r="L673">
        <v>1</v>
      </c>
      <c r="M673">
        <v>6</v>
      </c>
      <c r="N673">
        <v>3</v>
      </c>
      <c r="O673">
        <v>3</v>
      </c>
      <c r="P673">
        <v>3</v>
      </c>
      <c r="Q673">
        <v>2</v>
      </c>
      <c r="R673">
        <v>1</v>
      </c>
      <c r="S673" t="s">
        <v>34</v>
      </c>
      <c r="T673" t="s">
        <v>24</v>
      </c>
      <c r="U673" t="str">
        <f>IF(Table1[[#This Row],[YearsSince
LastPromotion]]&gt; 4, "Delayed", "Normal")</f>
        <v>Normal</v>
      </c>
      <c r="V673" t="str">
        <f>IF(Table1[[#This Row],[Years
InCurrentRole]]&gt;4, "Role Stagnent", "Normal")</f>
        <v>Normal</v>
      </c>
      <c r="W673" t="str">
        <f>IF(AND(Table1[[#This Row],[Years
InCurrentRole]]&gt; 4, Table1[[#This Row],[Performance
Rating]]&gt;=3), "High Risk", "Normal")</f>
        <v>Normal</v>
      </c>
      <c r="X673" t="str">
        <f>IF(Table1[[#This Row],[Performance
Rating]]&gt;=4, "High Performer", "Low Performer")</f>
        <v>Low Performer</v>
      </c>
    </row>
    <row r="674" spans="2:24" x14ac:dyDescent="0.3">
      <c r="B674" t="s">
        <v>19</v>
      </c>
      <c r="C674" t="s">
        <v>25</v>
      </c>
      <c r="D674">
        <v>1</v>
      </c>
      <c r="E674" t="s">
        <v>21</v>
      </c>
      <c r="F674">
        <v>1</v>
      </c>
      <c r="G674" t="s">
        <v>26</v>
      </c>
      <c r="H674">
        <v>2</v>
      </c>
      <c r="I674">
        <v>2622</v>
      </c>
      <c r="J674">
        <v>21</v>
      </c>
      <c r="K674">
        <v>4</v>
      </c>
      <c r="L674">
        <v>0</v>
      </c>
      <c r="M674">
        <v>7</v>
      </c>
      <c r="N674">
        <v>3</v>
      </c>
      <c r="O674">
        <v>3</v>
      </c>
      <c r="P674">
        <v>3</v>
      </c>
      <c r="Q674">
        <v>2</v>
      </c>
      <c r="R674">
        <v>1</v>
      </c>
      <c r="S674" t="s">
        <v>34</v>
      </c>
      <c r="T674" t="s">
        <v>24</v>
      </c>
      <c r="U674" t="str">
        <f>IF(Table1[[#This Row],[YearsSince
LastPromotion]]&gt; 4, "Delayed", "Normal")</f>
        <v>Normal</v>
      </c>
      <c r="V674" t="str">
        <f>IF(Table1[[#This Row],[Years
InCurrentRole]]&gt;4, "Role Stagnent", "Normal")</f>
        <v>Normal</v>
      </c>
      <c r="W674" t="str">
        <f>IF(AND(Table1[[#This Row],[Years
InCurrentRole]]&gt; 4, Table1[[#This Row],[Performance
Rating]]&gt;=3), "High Risk", "Normal")</f>
        <v>Normal</v>
      </c>
      <c r="X674" t="str">
        <f>IF(Table1[[#This Row],[Performance
Rating]]&gt;=4, "High Performer", "Low Performer")</f>
        <v>High Performer</v>
      </c>
    </row>
    <row r="675" spans="2:24" x14ac:dyDescent="0.3">
      <c r="B675" t="s">
        <v>19</v>
      </c>
      <c r="C675" t="s">
        <v>25</v>
      </c>
      <c r="D675">
        <v>1</v>
      </c>
      <c r="E675" t="s">
        <v>21</v>
      </c>
      <c r="F675">
        <v>1</v>
      </c>
      <c r="G675" t="s">
        <v>26</v>
      </c>
      <c r="H675">
        <v>2</v>
      </c>
      <c r="I675">
        <v>2311</v>
      </c>
      <c r="J675">
        <v>15</v>
      </c>
      <c r="K675">
        <v>3</v>
      </c>
      <c r="L675">
        <v>0</v>
      </c>
      <c r="M675">
        <v>9</v>
      </c>
      <c r="N675">
        <v>3</v>
      </c>
      <c r="O675">
        <v>3</v>
      </c>
      <c r="P675">
        <v>3</v>
      </c>
      <c r="Q675">
        <v>2</v>
      </c>
      <c r="R675">
        <v>1</v>
      </c>
      <c r="S675" t="s">
        <v>34</v>
      </c>
      <c r="T675" t="s">
        <v>24</v>
      </c>
      <c r="U675" t="str">
        <f>IF(Table1[[#This Row],[YearsSince
LastPromotion]]&gt; 4, "Delayed", "Normal")</f>
        <v>Normal</v>
      </c>
      <c r="V675" t="str">
        <f>IF(Table1[[#This Row],[Years
InCurrentRole]]&gt;4, "Role Stagnent", "Normal")</f>
        <v>Normal</v>
      </c>
      <c r="W675" t="str">
        <f>IF(AND(Table1[[#This Row],[Years
InCurrentRole]]&gt; 4, Table1[[#This Row],[Performance
Rating]]&gt;=3), "High Risk", "Normal")</f>
        <v>Normal</v>
      </c>
      <c r="X675" t="str">
        <f>IF(Table1[[#This Row],[Performance
Rating]]&gt;=4, "High Performer", "Low Performer")</f>
        <v>Low Performer</v>
      </c>
    </row>
    <row r="676" spans="2:24" x14ac:dyDescent="0.3">
      <c r="B676" t="s">
        <v>19</v>
      </c>
      <c r="C676" t="s">
        <v>25</v>
      </c>
      <c r="D676">
        <v>1</v>
      </c>
      <c r="E676" t="s">
        <v>21</v>
      </c>
      <c r="F676">
        <v>2</v>
      </c>
      <c r="G676" t="s">
        <v>29</v>
      </c>
      <c r="H676">
        <v>1</v>
      </c>
      <c r="I676">
        <v>4789</v>
      </c>
      <c r="J676">
        <v>25</v>
      </c>
      <c r="K676">
        <v>4</v>
      </c>
      <c r="L676">
        <v>1</v>
      </c>
      <c r="M676">
        <v>10</v>
      </c>
      <c r="N676">
        <v>3</v>
      </c>
      <c r="O676">
        <v>3</v>
      </c>
      <c r="P676">
        <v>3</v>
      </c>
      <c r="Q676">
        <v>2</v>
      </c>
      <c r="R676">
        <v>1</v>
      </c>
      <c r="S676" t="s">
        <v>34</v>
      </c>
      <c r="T676" t="s">
        <v>24</v>
      </c>
      <c r="U676" t="str">
        <f>IF(Table1[[#This Row],[YearsSince
LastPromotion]]&gt; 4, "Delayed", "Normal")</f>
        <v>Normal</v>
      </c>
      <c r="V676" t="str">
        <f>IF(Table1[[#This Row],[Years
InCurrentRole]]&gt;4, "Role Stagnent", "Normal")</f>
        <v>Normal</v>
      </c>
      <c r="W676" t="str">
        <f>IF(AND(Table1[[#This Row],[Years
InCurrentRole]]&gt; 4, Table1[[#This Row],[Performance
Rating]]&gt;=3), "High Risk", "Normal")</f>
        <v>Normal</v>
      </c>
      <c r="X676" t="str">
        <f>IF(Table1[[#This Row],[Performance
Rating]]&gt;=4, "High Performer", "Low Performer")</f>
        <v>High Performer</v>
      </c>
    </row>
    <row r="677" spans="2:24" x14ac:dyDescent="0.3">
      <c r="B677" t="s">
        <v>19</v>
      </c>
      <c r="C677" t="s">
        <v>20</v>
      </c>
      <c r="D677">
        <v>1</v>
      </c>
      <c r="E677" t="s">
        <v>21</v>
      </c>
      <c r="F677">
        <v>3</v>
      </c>
      <c r="G677" t="s">
        <v>32</v>
      </c>
      <c r="H677">
        <v>4</v>
      </c>
      <c r="I677">
        <v>9071</v>
      </c>
      <c r="J677">
        <v>19</v>
      </c>
      <c r="K677">
        <v>3</v>
      </c>
      <c r="L677">
        <v>1</v>
      </c>
      <c r="M677">
        <v>15</v>
      </c>
      <c r="N677">
        <v>3</v>
      </c>
      <c r="O677">
        <v>3</v>
      </c>
      <c r="P677">
        <v>3</v>
      </c>
      <c r="Q677">
        <v>2</v>
      </c>
      <c r="R677">
        <v>1</v>
      </c>
      <c r="S677" t="s">
        <v>34</v>
      </c>
      <c r="T677" t="s">
        <v>24</v>
      </c>
      <c r="U677" t="str">
        <f>IF(Table1[[#This Row],[YearsSince
LastPromotion]]&gt; 4, "Delayed", "Normal")</f>
        <v>Normal</v>
      </c>
      <c r="V677" t="str">
        <f>IF(Table1[[#This Row],[Years
InCurrentRole]]&gt;4, "Role Stagnent", "Normal")</f>
        <v>Normal</v>
      </c>
      <c r="W677" t="str">
        <f>IF(AND(Table1[[#This Row],[Years
InCurrentRole]]&gt; 4, Table1[[#This Row],[Performance
Rating]]&gt;=3), "High Risk", "Normal")</f>
        <v>Normal</v>
      </c>
      <c r="X677" t="str">
        <f>IF(Table1[[#This Row],[Performance
Rating]]&gt;=4, "High Performer", "Low Performer")</f>
        <v>Low Performer</v>
      </c>
    </row>
    <row r="678" spans="2:24" x14ac:dyDescent="0.3">
      <c r="B678" t="s">
        <v>19</v>
      </c>
      <c r="C678" t="s">
        <v>25</v>
      </c>
      <c r="D678">
        <v>1</v>
      </c>
      <c r="E678" t="s">
        <v>28</v>
      </c>
      <c r="F678">
        <v>1</v>
      </c>
      <c r="G678" t="s">
        <v>29</v>
      </c>
      <c r="H678">
        <v>3</v>
      </c>
      <c r="I678">
        <v>4621</v>
      </c>
      <c r="J678">
        <v>19</v>
      </c>
      <c r="K678">
        <v>3</v>
      </c>
      <c r="L678">
        <v>3</v>
      </c>
      <c r="M678">
        <v>3</v>
      </c>
      <c r="N678">
        <v>4</v>
      </c>
      <c r="O678">
        <v>3</v>
      </c>
      <c r="P678">
        <v>3</v>
      </c>
      <c r="Q678">
        <v>2</v>
      </c>
      <c r="R678">
        <v>1</v>
      </c>
      <c r="S678" t="s">
        <v>34</v>
      </c>
      <c r="T678" t="s">
        <v>24</v>
      </c>
      <c r="U678" t="str">
        <f>IF(Table1[[#This Row],[YearsSince
LastPromotion]]&gt; 4, "Delayed", "Normal")</f>
        <v>Normal</v>
      </c>
      <c r="V678" t="str">
        <f>IF(Table1[[#This Row],[Years
InCurrentRole]]&gt;4, "Role Stagnent", "Normal")</f>
        <v>Normal</v>
      </c>
      <c r="W678" t="str">
        <f>IF(AND(Table1[[#This Row],[Years
InCurrentRole]]&gt; 4, Table1[[#This Row],[Performance
Rating]]&gt;=3), "High Risk", "Normal")</f>
        <v>Normal</v>
      </c>
      <c r="X678" t="str">
        <f>IF(Table1[[#This Row],[Performance
Rating]]&gt;=4, "High Performer", "Low Performer")</f>
        <v>Low Performer</v>
      </c>
    </row>
    <row r="679" spans="2:24" x14ac:dyDescent="0.3">
      <c r="B679" t="s">
        <v>19</v>
      </c>
      <c r="C679" t="s">
        <v>20</v>
      </c>
      <c r="D679">
        <v>1</v>
      </c>
      <c r="E679" t="s">
        <v>28</v>
      </c>
      <c r="F679">
        <v>2</v>
      </c>
      <c r="G679" t="s">
        <v>32</v>
      </c>
      <c r="H679">
        <v>2</v>
      </c>
      <c r="I679">
        <v>4851</v>
      </c>
      <c r="J679">
        <v>22</v>
      </c>
      <c r="K679">
        <v>4</v>
      </c>
      <c r="L679">
        <v>1</v>
      </c>
      <c r="M679">
        <v>4</v>
      </c>
      <c r="N679">
        <v>4</v>
      </c>
      <c r="O679">
        <v>3</v>
      </c>
      <c r="P679">
        <v>3</v>
      </c>
      <c r="Q679">
        <v>2</v>
      </c>
      <c r="R679">
        <v>1</v>
      </c>
      <c r="S679" t="s">
        <v>34</v>
      </c>
      <c r="T679" t="s">
        <v>24</v>
      </c>
      <c r="U679" t="str">
        <f>IF(Table1[[#This Row],[YearsSince
LastPromotion]]&gt; 4, "Delayed", "Normal")</f>
        <v>Normal</v>
      </c>
      <c r="V679" t="str">
        <f>IF(Table1[[#This Row],[Years
InCurrentRole]]&gt;4, "Role Stagnent", "Normal")</f>
        <v>Normal</v>
      </c>
      <c r="W679" t="str">
        <f>IF(AND(Table1[[#This Row],[Years
InCurrentRole]]&gt; 4, Table1[[#This Row],[Performance
Rating]]&gt;=3), "High Risk", "Normal")</f>
        <v>Normal</v>
      </c>
      <c r="X679" t="str">
        <f>IF(Table1[[#This Row],[Performance
Rating]]&gt;=4, "High Performer", "Low Performer")</f>
        <v>High Performer</v>
      </c>
    </row>
    <row r="680" spans="2:24" x14ac:dyDescent="0.3">
      <c r="B680" t="s">
        <v>19</v>
      </c>
      <c r="C680" t="s">
        <v>25</v>
      </c>
      <c r="D680">
        <v>1</v>
      </c>
      <c r="E680" t="s">
        <v>28</v>
      </c>
      <c r="F680">
        <v>1</v>
      </c>
      <c r="G680" t="s">
        <v>26</v>
      </c>
      <c r="H680">
        <v>4</v>
      </c>
      <c r="I680">
        <v>2201</v>
      </c>
      <c r="J680">
        <v>16</v>
      </c>
      <c r="K680">
        <v>3</v>
      </c>
      <c r="L680">
        <v>0</v>
      </c>
      <c r="M680">
        <v>6</v>
      </c>
      <c r="N680">
        <v>4</v>
      </c>
      <c r="O680">
        <v>3</v>
      </c>
      <c r="P680">
        <v>3</v>
      </c>
      <c r="Q680">
        <v>2</v>
      </c>
      <c r="R680">
        <v>1</v>
      </c>
      <c r="S680" t="s">
        <v>34</v>
      </c>
      <c r="T680" t="s">
        <v>24</v>
      </c>
      <c r="U680" t="str">
        <f>IF(Table1[[#This Row],[YearsSince
LastPromotion]]&gt; 4, "Delayed", "Normal")</f>
        <v>Normal</v>
      </c>
      <c r="V680" t="str">
        <f>IF(Table1[[#This Row],[Years
InCurrentRole]]&gt;4, "Role Stagnent", "Normal")</f>
        <v>Normal</v>
      </c>
      <c r="W680" t="str">
        <f>IF(AND(Table1[[#This Row],[Years
InCurrentRole]]&gt; 4, Table1[[#This Row],[Performance
Rating]]&gt;=3), "High Risk", "Normal")</f>
        <v>Normal</v>
      </c>
      <c r="X680" t="str">
        <f>IF(Table1[[#This Row],[Performance
Rating]]&gt;=4, "High Performer", "Low Performer")</f>
        <v>Low Performer</v>
      </c>
    </row>
    <row r="681" spans="2:24" x14ac:dyDescent="0.3">
      <c r="B681" t="s">
        <v>19</v>
      </c>
      <c r="C681" t="s">
        <v>36</v>
      </c>
      <c r="D681">
        <v>1</v>
      </c>
      <c r="E681" t="s">
        <v>28</v>
      </c>
      <c r="F681">
        <v>2</v>
      </c>
      <c r="G681" t="s">
        <v>36</v>
      </c>
      <c r="H681">
        <v>2</v>
      </c>
      <c r="I681">
        <v>6430</v>
      </c>
      <c r="J681">
        <v>19</v>
      </c>
      <c r="K681">
        <v>3</v>
      </c>
      <c r="L681">
        <v>1</v>
      </c>
      <c r="M681">
        <v>10</v>
      </c>
      <c r="N681">
        <v>4</v>
      </c>
      <c r="O681">
        <v>3</v>
      </c>
      <c r="P681">
        <v>3</v>
      </c>
      <c r="Q681">
        <v>2</v>
      </c>
      <c r="R681">
        <v>1</v>
      </c>
      <c r="S681" t="s">
        <v>34</v>
      </c>
      <c r="T681" t="s">
        <v>24</v>
      </c>
      <c r="U681" t="str">
        <f>IF(Table1[[#This Row],[YearsSince
LastPromotion]]&gt; 4, "Delayed", "Normal")</f>
        <v>Normal</v>
      </c>
      <c r="V681" t="str">
        <f>IF(Table1[[#This Row],[Years
InCurrentRole]]&gt;4, "Role Stagnent", "Normal")</f>
        <v>Normal</v>
      </c>
      <c r="W681" t="str">
        <f>IF(AND(Table1[[#This Row],[Years
InCurrentRole]]&gt; 4, Table1[[#This Row],[Performance
Rating]]&gt;=3), "High Risk", "Normal")</f>
        <v>Normal</v>
      </c>
      <c r="X681" t="str">
        <f>IF(Table1[[#This Row],[Performance
Rating]]&gt;=4, "High Performer", "Low Performer")</f>
        <v>Low Performer</v>
      </c>
    </row>
    <row r="682" spans="2:24" x14ac:dyDescent="0.3">
      <c r="B682" t="s">
        <v>19</v>
      </c>
      <c r="C682" t="s">
        <v>25</v>
      </c>
      <c r="D682">
        <v>1</v>
      </c>
      <c r="E682" t="s">
        <v>21</v>
      </c>
      <c r="F682">
        <v>5</v>
      </c>
      <c r="G682" t="s">
        <v>35</v>
      </c>
      <c r="H682">
        <v>1</v>
      </c>
      <c r="I682">
        <v>18665</v>
      </c>
      <c r="J682">
        <v>11</v>
      </c>
      <c r="K682">
        <v>3</v>
      </c>
      <c r="L682">
        <v>0</v>
      </c>
      <c r="M682">
        <v>22</v>
      </c>
      <c r="N682">
        <v>4</v>
      </c>
      <c r="O682">
        <v>3</v>
      </c>
      <c r="P682">
        <v>3</v>
      </c>
      <c r="Q682">
        <v>2</v>
      </c>
      <c r="R682">
        <v>1</v>
      </c>
      <c r="S682" t="s">
        <v>34</v>
      </c>
      <c r="T682" t="s">
        <v>24</v>
      </c>
      <c r="U682" t="str">
        <f>IF(Table1[[#This Row],[YearsSince
LastPromotion]]&gt; 4, "Delayed", "Normal")</f>
        <v>Normal</v>
      </c>
      <c r="V682" t="str">
        <f>IF(Table1[[#This Row],[Years
InCurrentRole]]&gt;4, "Role Stagnent", "Normal")</f>
        <v>Normal</v>
      </c>
      <c r="W682" t="str">
        <f>IF(AND(Table1[[#This Row],[Years
InCurrentRole]]&gt; 4, Table1[[#This Row],[Performance
Rating]]&gt;=3), "High Risk", "Normal")</f>
        <v>Normal</v>
      </c>
      <c r="X682" t="str">
        <f>IF(Table1[[#This Row],[Performance
Rating]]&gt;=4, "High Performer", "Low Performer")</f>
        <v>Low Performer</v>
      </c>
    </row>
    <row r="683" spans="2:24" x14ac:dyDescent="0.3">
      <c r="B683" t="s">
        <v>19</v>
      </c>
      <c r="C683" t="s">
        <v>25</v>
      </c>
      <c r="D683">
        <v>1</v>
      </c>
      <c r="E683" t="s">
        <v>28</v>
      </c>
      <c r="F683">
        <v>3</v>
      </c>
      <c r="G683" t="s">
        <v>33</v>
      </c>
      <c r="H683">
        <v>2</v>
      </c>
      <c r="I683">
        <v>10976</v>
      </c>
      <c r="J683">
        <v>18</v>
      </c>
      <c r="K683">
        <v>3</v>
      </c>
      <c r="L683">
        <v>1</v>
      </c>
      <c r="M683">
        <v>23</v>
      </c>
      <c r="N683">
        <v>4</v>
      </c>
      <c r="O683">
        <v>3</v>
      </c>
      <c r="P683">
        <v>3</v>
      </c>
      <c r="Q683">
        <v>2</v>
      </c>
      <c r="R683">
        <v>1</v>
      </c>
      <c r="S683" t="s">
        <v>34</v>
      </c>
      <c r="T683" t="s">
        <v>24</v>
      </c>
      <c r="U683" t="str">
        <f>IF(Table1[[#This Row],[YearsSince
LastPromotion]]&gt; 4, "Delayed", "Normal")</f>
        <v>Normal</v>
      </c>
      <c r="V683" t="str">
        <f>IF(Table1[[#This Row],[Years
InCurrentRole]]&gt;4, "Role Stagnent", "Normal")</f>
        <v>Normal</v>
      </c>
      <c r="W683" t="str">
        <f>IF(AND(Table1[[#This Row],[Years
InCurrentRole]]&gt; 4, Table1[[#This Row],[Performance
Rating]]&gt;=3), "High Risk", "Normal")</f>
        <v>Normal</v>
      </c>
      <c r="X683" t="str">
        <f>IF(Table1[[#This Row],[Performance
Rating]]&gt;=4, "High Performer", "Low Performer")</f>
        <v>Low Performer</v>
      </c>
    </row>
    <row r="684" spans="2:24" x14ac:dyDescent="0.3">
      <c r="B684" t="s">
        <v>19</v>
      </c>
      <c r="C684" t="s">
        <v>25</v>
      </c>
      <c r="D684">
        <v>1</v>
      </c>
      <c r="E684" t="s">
        <v>21</v>
      </c>
      <c r="F684">
        <v>1</v>
      </c>
      <c r="G684" t="s">
        <v>26</v>
      </c>
      <c r="H684">
        <v>4</v>
      </c>
      <c r="I684">
        <v>3760</v>
      </c>
      <c r="J684">
        <v>15</v>
      </c>
      <c r="K684">
        <v>3</v>
      </c>
      <c r="L684">
        <v>3</v>
      </c>
      <c r="M684">
        <v>3</v>
      </c>
      <c r="N684">
        <v>5</v>
      </c>
      <c r="O684">
        <v>3</v>
      </c>
      <c r="P684">
        <v>3</v>
      </c>
      <c r="Q684">
        <v>2</v>
      </c>
      <c r="R684">
        <v>1</v>
      </c>
      <c r="S684" t="s">
        <v>34</v>
      </c>
      <c r="T684" t="s">
        <v>24</v>
      </c>
      <c r="U684" t="str">
        <f>IF(Table1[[#This Row],[YearsSince
LastPromotion]]&gt; 4, "Delayed", "Normal")</f>
        <v>Normal</v>
      </c>
      <c r="V684" t="str">
        <f>IF(Table1[[#This Row],[Years
InCurrentRole]]&gt;4, "Role Stagnent", "Normal")</f>
        <v>Normal</v>
      </c>
      <c r="W684" t="str">
        <f>IF(AND(Table1[[#This Row],[Years
InCurrentRole]]&gt; 4, Table1[[#This Row],[Performance
Rating]]&gt;=3), "High Risk", "Normal")</f>
        <v>Normal</v>
      </c>
      <c r="X684" t="str">
        <f>IF(Table1[[#This Row],[Performance
Rating]]&gt;=4, "High Performer", "Low Performer")</f>
        <v>Low Performer</v>
      </c>
    </row>
    <row r="685" spans="2:24" x14ac:dyDescent="0.3">
      <c r="B685" t="s">
        <v>19</v>
      </c>
      <c r="C685" t="s">
        <v>36</v>
      </c>
      <c r="D685">
        <v>1</v>
      </c>
      <c r="E685" t="s">
        <v>28</v>
      </c>
      <c r="F685">
        <v>1</v>
      </c>
      <c r="G685" t="s">
        <v>36</v>
      </c>
      <c r="H685">
        <v>3</v>
      </c>
      <c r="I685">
        <v>2696</v>
      </c>
      <c r="J685">
        <v>11</v>
      </c>
      <c r="K685">
        <v>3</v>
      </c>
      <c r="L685">
        <v>1</v>
      </c>
      <c r="M685">
        <v>4</v>
      </c>
      <c r="N685">
        <v>5</v>
      </c>
      <c r="O685">
        <v>3</v>
      </c>
      <c r="P685">
        <v>3</v>
      </c>
      <c r="Q685">
        <v>2</v>
      </c>
      <c r="R685">
        <v>1</v>
      </c>
      <c r="S685" t="s">
        <v>34</v>
      </c>
      <c r="T685" t="s">
        <v>24</v>
      </c>
      <c r="U685" t="str">
        <f>IF(Table1[[#This Row],[YearsSince
LastPromotion]]&gt; 4, "Delayed", "Normal")</f>
        <v>Normal</v>
      </c>
      <c r="V685" t="str">
        <f>IF(Table1[[#This Row],[Years
InCurrentRole]]&gt;4, "Role Stagnent", "Normal")</f>
        <v>Normal</v>
      </c>
      <c r="W685" t="str">
        <f>IF(AND(Table1[[#This Row],[Years
InCurrentRole]]&gt; 4, Table1[[#This Row],[Performance
Rating]]&gt;=3), "High Risk", "Normal")</f>
        <v>Normal</v>
      </c>
      <c r="X685" t="str">
        <f>IF(Table1[[#This Row],[Performance
Rating]]&gt;=4, "High Performer", "Low Performer")</f>
        <v>Low Performer</v>
      </c>
    </row>
    <row r="686" spans="2:24" x14ac:dyDescent="0.3">
      <c r="B686" t="s">
        <v>19</v>
      </c>
      <c r="C686" t="s">
        <v>25</v>
      </c>
      <c r="D686">
        <v>1</v>
      </c>
      <c r="E686" t="s">
        <v>21</v>
      </c>
      <c r="F686">
        <v>2</v>
      </c>
      <c r="G686" t="s">
        <v>33</v>
      </c>
      <c r="H686">
        <v>3</v>
      </c>
      <c r="I686">
        <v>4374</v>
      </c>
      <c r="J686">
        <v>15</v>
      </c>
      <c r="K686">
        <v>3</v>
      </c>
      <c r="L686">
        <v>0</v>
      </c>
      <c r="M686">
        <v>4</v>
      </c>
      <c r="N686">
        <v>6</v>
      </c>
      <c r="O686">
        <v>3</v>
      </c>
      <c r="P686">
        <v>3</v>
      </c>
      <c r="Q686">
        <v>2</v>
      </c>
      <c r="R686">
        <v>1</v>
      </c>
      <c r="S686" t="s">
        <v>34</v>
      </c>
      <c r="T686" t="s">
        <v>24</v>
      </c>
      <c r="U686" t="str">
        <f>IF(Table1[[#This Row],[YearsSince
LastPromotion]]&gt; 4, "Delayed", "Normal")</f>
        <v>Normal</v>
      </c>
      <c r="V686" t="str">
        <f>IF(Table1[[#This Row],[Years
InCurrentRole]]&gt;4, "Role Stagnent", "Normal")</f>
        <v>Normal</v>
      </c>
      <c r="W686" t="str">
        <f>IF(AND(Table1[[#This Row],[Years
InCurrentRole]]&gt; 4, Table1[[#This Row],[Performance
Rating]]&gt;=3), "High Risk", "Normal")</f>
        <v>Normal</v>
      </c>
      <c r="X686" t="str">
        <f>IF(Table1[[#This Row],[Performance
Rating]]&gt;=4, "High Performer", "Low Performer")</f>
        <v>Low Performer</v>
      </c>
    </row>
    <row r="687" spans="2:24" x14ac:dyDescent="0.3">
      <c r="B687" t="s">
        <v>19</v>
      </c>
      <c r="C687" t="s">
        <v>25</v>
      </c>
      <c r="D687">
        <v>1</v>
      </c>
      <c r="E687" t="s">
        <v>28</v>
      </c>
      <c r="F687">
        <v>1</v>
      </c>
      <c r="G687" t="s">
        <v>26</v>
      </c>
      <c r="H687">
        <v>3</v>
      </c>
      <c r="I687">
        <v>3375</v>
      </c>
      <c r="J687">
        <v>12</v>
      </c>
      <c r="K687">
        <v>3</v>
      </c>
      <c r="L687">
        <v>0</v>
      </c>
      <c r="M687">
        <v>4</v>
      </c>
      <c r="N687">
        <v>2</v>
      </c>
      <c r="O687">
        <v>4</v>
      </c>
      <c r="P687">
        <v>3</v>
      </c>
      <c r="Q687">
        <v>2</v>
      </c>
      <c r="R687">
        <v>1</v>
      </c>
      <c r="S687" t="s">
        <v>34</v>
      </c>
      <c r="T687" t="s">
        <v>24</v>
      </c>
      <c r="U687" t="str">
        <f>IF(Table1[[#This Row],[YearsSince
LastPromotion]]&gt; 4, "Delayed", "Normal")</f>
        <v>Normal</v>
      </c>
      <c r="V687" t="str">
        <f>IF(Table1[[#This Row],[Years
InCurrentRole]]&gt;4, "Role Stagnent", "Normal")</f>
        <v>Normal</v>
      </c>
      <c r="W687" t="str">
        <f>IF(AND(Table1[[#This Row],[Years
InCurrentRole]]&gt; 4, Table1[[#This Row],[Performance
Rating]]&gt;=3), "High Risk", "Normal")</f>
        <v>Normal</v>
      </c>
      <c r="X687" t="str">
        <f>IF(Table1[[#This Row],[Performance
Rating]]&gt;=4, "High Performer", "Low Performer")</f>
        <v>Low Performer</v>
      </c>
    </row>
    <row r="688" spans="2:24" x14ac:dyDescent="0.3">
      <c r="B688" t="s">
        <v>19</v>
      </c>
      <c r="C688" t="s">
        <v>25</v>
      </c>
      <c r="D688">
        <v>1</v>
      </c>
      <c r="E688" t="s">
        <v>28</v>
      </c>
      <c r="F688">
        <v>2</v>
      </c>
      <c r="G688" t="s">
        <v>33</v>
      </c>
      <c r="H688">
        <v>4</v>
      </c>
      <c r="I688">
        <v>4262</v>
      </c>
      <c r="J688">
        <v>12</v>
      </c>
      <c r="K688">
        <v>3</v>
      </c>
      <c r="L688">
        <v>2</v>
      </c>
      <c r="M688">
        <v>8</v>
      </c>
      <c r="N688">
        <v>2</v>
      </c>
      <c r="O688">
        <v>4</v>
      </c>
      <c r="P688">
        <v>3</v>
      </c>
      <c r="Q688">
        <v>2</v>
      </c>
      <c r="R688">
        <v>1</v>
      </c>
      <c r="S688" t="s">
        <v>34</v>
      </c>
      <c r="T688" t="s">
        <v>24</v>
      </c>
      <c r="U688" t="str">
        <f>IF(Table1[[#This Row],[YearsSince
LastPromotion]]&gt; 4, "Delayed", "Normal")</f>
        <v>Normal</v>
      </c>
      <c r="V688" t="str">
        <f>IF(Table1[[#This Row],[Years
InCurrentRole]]&gt;4, "Role Stagnent", "Normal")</f>
        <v>Normal</v>
      </c>
      <c r="W688" t="str">
        <f>IF(AND(Table1[[#This Row],[Years
InCurrentRole]]&gt; 4, Table1[[#This Row],[Performance
Rating]]&gt;=3), "High Risk", "Normal")</f>
        <v>Normal</v>
      </c>
      <c r="X688" t="str">
        <f>IF(Table1[[#This Row],[Performance
Rating]]&gt;=4, "High Performer", "Low Performer")</f>
        <v>Low Performer</v>
      </c>
    </row>
    <row r="689" spans="2:24" x14ac:dyDescent="0.3">
      <c r="B689" t="s">
        <v>27</v>
      </c>
      <c r="C689" t="s">
        <v>20</v>
      </c>
      <c r="D689">
        <v>1</v>
      </c>
      <c r="E689" t="s">
        <v>28</v>
      </c>
      <c r="F689">
        <v>1</v>
      </c>
      <c r="G689" t="s">
        <v>30</v>
      </c>
      <c r="H689">
        <v>3</v>
      </c>
      <c r="I689">
        <v>2909</v>
      </c>
      <c r="J689">
        <v>15</v>
      </c>
      <c r="K689">
        <v>3</v>
      </c>
      <c r="L689">
        <v>1</v>
      </c>
      <c r="M689">
        <v>5</v>
      </c>
      <c r="N689">
        <v>3</v>
      </c>
      <c r="O689">
        <v>4</v>
      </c>
      <c r="P689">
        <v>3</v>
      </c>
      <c r="Q689">
        <v>2</v>
      </c>
      <c r="R689">
        <v>1</v>
      </c>
      <c r="S689" t="s">
        <v>34</v>
      </c>
      <c r="T689" t="s">
        <v>24</v>
      </c>
      <c r="U689" t="str">
        <f>IF(Table1[[#This Row],[YearsSince
LastPromotion]]&gt; 4, "Delayed", "Normal")</f>
        <v>Normal</v>
      </c>
      <c r="V689" t="str">
        <f>IF(Table1[[#This Row],[Years
InCurrentRole]]&gt;4, "Role Stagnent", "Normal")</f>
        <v>Normal</v>
      </c>
      <c r="W689" t="str">
        <f>IF(AND(Table1[[#This Row],[Years
InCurrentRole]]&gt; 4, Table1[[#This Row],[Performance
Rating]]&gt;=3), "High Risk", "Normal")</f>
        <v>Normal</v>
      </c>
      <c r="X689" t="str">
        <f>IF(Table1[[#This Row],[Performance
Rating]]&gt;=4, "High Performer", "Low Performer")</f>
        <v>Low Performer</v>
      </c>
    </row>
    <row r="690" spans="2:24" x14ac:dyDescent="0.3">
      <c r="B690" t="s">
        <v>19</v>
      </c>
      <c r="C690" t="s">
        <v>25</v>
      </c>
      <c r="D690">
        <v>1</v>
      </c>
      <c r="E690" t="s">
        <v>21</v>
      </c>
      <c r="F690">
        <v>1</v>
      </c>
      <c r="G690" t="s">
        <v>26</v>
      </c>
      <c r="H690">
        <v>1</v>
      </c>
      <c r="I690">
        <v>2066</v>
      </c>
      <c r="J690">
        <v>22</v>
      </c>
      <c r="K690">
        <v>4</v>
      </c>
      <c r="L690">
        <v>1</v>
      </c>
      <c r="M690">
        <v>5</v>
      </c>
      <c r="N690">
        <v>3</v>
      </c>
      <c r="O690">
        <v>4</v>
      </c>
      <c r="P690">
        <v>3</v>
      </c>
      <c r="Q690">
        <v>2</v>
      </c>
      <c r="R690">
        <v>1</v>
      </c>
      <c r="S690" t="s">
        <v>34</v>
      </c>
      <c r="T690" t="s">
        <v>24</v>
      </c>
      <c r="U690" t="str">
        <f>IF(Table1[[#This Row],[YearsSince
LastPromotion]]&gt; 4, "Delayed", "Normal")</f>
        <v>Normal</v>
      </c>
      <c r="V690" t="str">
        <f>IF(Table1[[#This Row],[Years
InCurrentRole]]&gt;4, "Role Stagnent", "Normal")</f>
        <v>Normal</v>
      </c>
      <c r="W690" t="str">
        <f>IF(AND(Table1[[#This Row],[Years
InCurrentRole]]&gt; 4, Table1[[#This Row],[Performance
Rating]]&gt;=3), "High Risk", "Normal")</f>
        <v>Normal</v>
      </c>
      <c r="X690" t="str">
        <f>IF(Table1[[#This Row],[Performance
Rating]]&gt;=4, "High Performer", "Low Performer")</f>
        <v>High Performer</v>
      </c>
    </row>
    <row r="691" spans="2:24" x14ac:dyDescent="0.3">
      <c r="B691" t="s">
        <v>19</v>
      </c>
      <c r="C691" t="s">
        <v>25</v>
      </c>
      <c r="D691">
        <v>1</v>
      </c>
      <c r="E691" t="s">
        <v>21</v>
      </c>
      <c r="F691">
        <v>4</v>
      </c>
      <c r="G691" t="s">
        <v>35</v>
      </c>
      <c r="H691">
        <v>2</v>
      </c>
      <c r="I691">
        <v>16422</v>
      </c>
      <c r="J691">
        <v>11</v>
      </c>
      <c r="K691">
        <v>3</v>
      </c>
      <c r="L691">
        <v>0</v>
      </c>
      <c r="M691">
        <v>9</v>
      </c>
      <c r="N691">
        <v>3</v>
      </c>
      <c r="O691">
        <v>4</v>
      </c>
      <c r="P691">
        <v>3</v>
      </c>
      <c r="Q691">
        <v>2</v>
      </c>
      <c r="R691">
        <v>1</v>
      </c>
      <c r="S691" t="s">
        <v>34</v>
      </c>
      <c r="T691" t="s">
        <v>24</v>
      </c>
      <c r="U691" t="str">
        <f>IF(Table1[[#This Row],[YearsSince
LastPromotion]]&gt; 4, "Delayed", "Normal")</f>
        <v>Normal</v>
      </c>
      <c r="V691" t="str">
        <f>IF(Table1[[#This Row],[Years
InCurrentRole]]&gt;4, "Role Stagnent", "Normal")</f>
        <v>Normal</v>
      </c>
      <c r="W691" t="str">
        <f>IF(AND(Table1[[#This Row],[Years
InCurrentRole]]&gt; 4, Table1[[#This Row],[Performance
Rating]]&gt;=3), "High Risk", "Normal")</f>
        <v>Normal</v>
      </c>
      <c r="X691" t="str">
        <f>IF(Table1[[#This Row],[Performance
Rating]]&gt;=4, "High Performer", "Low Performer")</f>
        <v>Low Performer</v>
      </c>
    </row>
    <row r="692" spans="2:24" x14ac:dyDescent="0.3">
      <c r="B692" t="s">
        <v>19</v>
      </c>
      <c r="C692" t="s">
        <v>25</v>
      </c>
      <c r="D692">
        <v>1</v>
      </c>
      <c r="E692" t="s">
        <v>28</v>
      </c>
      <c r="F692">
        <v>2</v>
      </c>
      <c r="G692" t="s">
        <v>29</v>
      </c>
      <c r="H692">
        <v>2</v>
      </c>
      <c r="I692">
        <v>2042</v>
      </c>
      <c r="J692">
        <v>12</v>
      </c>
      <c r="K692">
        <v>3</v>
      </c>
      <c r="L692">
        <v>1</v>
      </c>
      <c r="M692">
        <v>17</v>
      </c>
      <c r="N692">
        <v>3</v>
      </c>
      <c r="O692">
        <v>4</v>
      </c>
      <c r="P692">
        <v>3</v>
      </c>
      <c r="Q692">
        <v>2</v>
      </c>
      <c r="R692">
        <v>1</v>
      </c>
      <c r="S692" t="s">
        <v>34</v>
      </c>
      <c r="T692" t="s">
        <v>24</v>
      </c>
      <c r="U692" t="str">
        <f>IF(Table1[[#This Row],[YearsSince
LastPromotion]]&gt; 4, "Delayed", "Normal")</f>
        <v>Normal</v>
      </c>
      <c r="V692" t="str">
        <f>IF(Table1[[#This Row],[Years
InCurrentRole]]&gt;4, "Role Stagnent", "Normal")</f>
        <v>Normal</v>
      </c>
      <c r="W692" t="str">
        <f>IF(AND(Table1[[#This Row],[Years
InCurrentRole]]&gt; 4, Table1[[#This Row],[Performance
Rating]]&gt;=3), "High Risk", "Normal")</f>
        <v>Normal</v>
      </c>
      <c r="X692" t="str">
        <f>IF(Table1[[#This Row],[Performance
Rating]]&gt;=4, "High Performer", "Low Performer")</f>
        <v>Low Performer</v>
      </c>
    </row>
    <row r="693" spans="2:24" x14ac:dyDescent="0.3">
      <c r="B693" t="s">
        <v>19</v>
      </c>
      <c r="C693" t="s">
        <v>25</v>
      </c>
      <c r="D693">
        <v>1</v>
      </c>
      <c r="E693" t="s">
        <v>28</v>
      </c>
      <c r="F693">
        <v>1</v>
      </c>
      <c r="G693" t="s">
        <v>26</v>
      </c>
      <c r="H693">
        <v>3</v>
      </c>
      <c r="I693">
        <v>3230</v>
      </c>
      <c r="J693">
        <v>17</v>
      </c>
      <c r="K693">
        <v>3</v>
      </c>
      <c r="L693">
        <v>0</v>
      </c>
      <c r="M693">
        <v>3</v>
      </c>
      <c r="N693">
        <v>4</v>
      </c>
      <c r="O693">
        <v>4</v>
      </c>
      <c r="P693">
        <v>3</v>
      </c>
      <c r="Q693">
        <v>2</v>
      </c>
      <c r="R693">
        <v>1</v>
      </c>
      <c r="S693" t="s">
        <v>34</v>
      </c>
      <c r="T693" t="s">
        <v>24</v>
      </c>
      <c r="U693" t="str">
        <f>IF(Table1[[#This Row],[YearsSince
LastPromotion]]&gt; 4, "Delayed", "Normal")</f>
        <v>Normal</v>
      </c>
      <c r="V693" t="str">
        <f>IF(Table1[[#This Row],[Years
InCurrentRole]]&gt;4, "Role Stagnent", "Normal")</f>
        <v>Normal</v>
      </c>
      <c r="W693" t="str">
        <f>IF(AND(Table1[[#This Row],[Years
InCurrentRole]]&gt; 4, Table1[[#This Row],[Performance
Rating]]&gt;=3), "High Risk", "Normal")</f>
        <v>Normal</v>
      </c>
      <c r="X693" t="str">
        <f>IF(Table1[[#This Row],[Performance
Rating]]&gt;=4, "High Performer", "Low Performer")</f>
        <v>Low Performer</v>
      </c>
    </row>
    <row r="694" spans="2:24" x14ac:dyDescent="0.3">
      <c r="B694" t="s">
        <v>27</v>
      </c>
      <c r="C694" t="s">
        <v>25</v>
      </c>
      <c r="D694">
        <v>1</v>
      </c>
      <c r="E694" t="s">
        <v>28</v>
      </c>
      <c r="F694">
        <v>1</v>
      </c>
      <c r="G694" t="s">
        <v>29</v>
      </c>
      <c r="H694">
        <v>1</v>
      </c>
      <c r="I694">
        <v>2362</v>
      </c>
      <c r="J694">
        <v>12</v>
      </c>
      <c r="K694">
        <v>3</v>
      </c>
      <c r="L694">
        <v>0</v>
      </c>
      <c r="M694">
        <v>10</v>
      </c>
      <c r="N694">
        <v>4</v>
      </c>
      <c r="O694">
        <v>4</v>
      </c>
      <c r="P694">
        <v>3</v>
      </c>
      <c r="Q694">
        <v>2</v>
      </c>
      <c r="R694">
        <v>1</v>
      </c>
      <c r="S694" t="s">
        <v>34</v>
      </c>
      <c r="T694" t="s">
        <v>24</v>
      </c>
      <c r="U694" t="str">
        <f>IF(Table1[[#This Row],[YearsSince
LastPromotion]]&gt; 4, "Delayed", "Normal")</f>
        <v>Normal</v>
      </c>
      <c r="V694" t="str">
        <f>IF(Table1[[#This Row],[Years
InCurrentRole]]&gt;4, "Role Stagnent", "Normal")</f>
        <v>Normal</v>
      </c>
      <c r="W694" t="str">
        <f>IF(AND(Table1[[#This Row],[Years
InCurrentRole]]&gt; 4, Table1[[#This Row],[Performance
Rating]]&gt;=3), "High Risk", "Normal")</f>
        <v>Normal</v>
      </c>
      <c r="X694" t="str">
        <f>IF(Table1[[#This Row],[Performance
Rating]]&gt;=4, "High Performer", "Low Performer")</f>
        <v>Low Performer</v>
      </c>
    </row>
    <row r="695" spans="2:24" x14ac:dyDescent="0.3">
      <c r="B695" t="s">
        <v>19</v>
      </c>
      <c r="C695" t="s">
        <v>20</v>
      </c>
      <c r="D695">
        <v>1</v>
      </c>
      <c r="E695" t="s">
        <v>21</v>
      </c>
      <c r="F695">
        <v>2</v>
      </c>
      <c r="G695" t="s">
        <v>32</v>
      </c>
      <c r="H695">
        <v>2</v>
      </c>
      <c r="I695">
        <v>4198</v>
      </c>
      <c r="J695">
        <v>12</v>
      </c>
      <c r="K695">
        <v>3</v>
      </c>
      <c r="L695">
        <v>0</v>
      </c>
      <c r="M695">
        <v>8</v>
      </c>
      <c r="N695">
        <v>5</v>
      </c>
      <c r="O695">
        <v>4</v>
      </c>
      <c r="P695">
        <v>3</v>
      </c>
      <c r="Q695">
        <v>2</v>
      </c>
      <c r="R695">
        <v>1</v>
      </c>
      <c r="S695" t="s">
        <v>34</v>
      </c>
      <c r="T695" t="s">
        <v>24</v>
      </c>
      <c r="U695" t="str">
        <f>IF(Table1[[#This Row],[YearsSince
LastPromotion]]&gt; 4, "Delayed", "Normal")</f>
        <v>Normal</v>
      </c>
      <c r="V695" t="str">
        <f>IF(Table1[[#This Row],[Years
InCurrentRole]]&gt;4, "Role Stagnent", "Normal")</f>
        <v>Normal</v>
      </c>
      <c r="W695" t="str">
        <f>IF(AND(Table1[[#This Row],[Years
InCurrentRole]]&gt; 4, Table1[[#This Row],[Performance
Rating]]&gt;=3), "High Risk", "Normal")</f>
        <v>Normal</v>
      </c>
      <c r="X695" t="str">
        <f>IF(Table1[[#This Row],[Performance
Rating]]&gt;=4, "High Performer", "Low Performer")</f>
        <v>Low Performer</v>
      </c>
    </row>
    <row r="696" spans="2:24" x14ac:dyDescent="0.3">
      <c r="B696" t="s">
        <v>19</v>
      </c>
      <c r="C696" t="s">
        <v>20</v>
      </c>
      <c r="D696">
        <v>1</v>
      </c>
      <c r="E696" t="s">
        <v>28</v>
      </c>
      <c r="F696">
        <v>2</v>
      </c>
      <c r="G696" t="s">
        <v>32</v>
      </c>
      <c r="H696">
        <v>2</v>
      </c>
      <c r="I696">
        <v>5507</v>
      </c>
      <c r="J696">
        <v>16</v>
      </c>
      <c r="K696">
        <v>3</v>
      </c>
      <c r="L696">
        <v>2</v>
      </c>
      <c r="M696">
        <v>12</v>
      </c>
      <c r="N696">
        <v>1</v>
      </c>
      <c r="O696">
        <v>1</v>
      </c>
      <c r="P696">
        <v>4</v>
      </c>
      <c r="Q696">
        <v>2</v>
      </c>
      <c r="R696">
        <v>1</v>
      </c>
      <c r="S696" t="s">
        <v>23</v>
      </c>
      <c r="T696" t="s">
        <v>38</v>
      </c>
      <c r="U696" t="str">
        <f>IF(Table1[[#This Row],[YearsSince
LastPromotion]]&gt; 4, "Delayed", "Normal")</f>
        <v>Normal</v>
      </c>
      <c r="V696" t="str">
        <f>IF(Table1[[#This Row],[Years
InCurrentRole]]&gt;4, "Role Stagnent", "Normal")</f>
        <v>Normal</v>
      </c>
      <c r="W696" t="str">
        <f>IF(AND(Table1[[#This Row],[Years
InCurrentRole]]&gt; 4, Table1[[#This Row],[Performance
Rating]]&gt;=3), "High Risk", "Normal")</f>
        <v>Normal</v>
      </c>
      <c r="X696" t="str">
        <f>IF(Table1[[#This Row],[Performance
Rating]]&gt;=4, "High Performer", "Low Performer")</f>
        <v>Low Performer</v>
      </c>
    </row>
    <row r="697" spans="2:24" x14ac:dyDescent="0.3">
      <c r="B697" t="s">
        <v>19</v>
      </c>
      <c r="C697" t="s">
        <v>25</v>
      </c>
      <c r="D697">
        <v>1</v>
      </c>
      <c r="E697" t="s">
        <v>28</v>
      </c>
      <c r="F697">
        <v>1</v>
      </c>
      <c r="G697" t="s">
        <v>26</v>
      </c>
      <c r="H697">
        <v>4</v>
      </c>
      <c r="I697">
        <v>2580</v>
      </c>
      <c r="J697">
        <v>13</v>
      </c>
      <c r="K697">
        <v>3</v>
      </c>
      <c r="L697">
        <v>0</v>
      </c>
      <c r="M697">
        <v>6</v>
      </c>
      <c r="N697">
        <v>0</v>
      </c>
      <c r="O697">
        <v>2</v>
      </c>
      <c r="P697">
        <v>4</v>
      </c>
      <c r="Q697">
        <v>2</v>
      </c>
      <c r="R697">
        <v>1</v>
      </c>
      <c r="S697" t="s">
        <v>23</v>
      </c>
      <c r="T697" t="s">
        <v>38</v>
      </c>
      <c r="U697" t="str">
        <f>IF(Table1[[#This Row],[YearsSince
LastPromotion]]&gt; 4, "Delayed", "Normal")</f>
        <v>Normal</v>
      </c>
      <c r="V697" t="str">
        <f>IF(Table1[[#This Row],[Years
InCurrentRole]]&gt;4, "Role Stagnent", "Normal")</f>
        <v>Normal</v>
      </c>
      <c r="W697" t="str">
        <f>IF(AND(Table1[[#This Row],[Years
InCurrentRole]]&gt; 4, Table1[[#This Row],[Performance
Rating]]&gt;=3), "High Risk", "Normal")</f>
        <v>Normal</v>
      </c>
      <c r="X697" t="str">
        <f>IF(Table1[[#This Row],[Performance
Rating]]&gt;=4, "High Performer", "Low Performer")</f>
        <v>Low Performer</v>
      </c>
    </row>
    <row r="698" spans="2:24" x14ac:dyDescent="0.3">
      <c r="B698" t="s">
        <v>27</v>
      </c>
      <c r="C698" t="s">
        <v>36</v>
      </c>
      <c r="D698">
        <v>1</v>
      </c>
      <c r="E698" t="s">
        <v>21</v>
      </c>
      <c r="F698">
        <v>1</v>
      </c>
      <c r="G698" t="s">
        <v>36</v>
      </c>
      <c r="H698">
        <v>4</v>
      </c>
      <c r="I698">
        <v>2180</v>
      </c>
      <c r="J698">
        <v>11</v>
      </c>
      <c r="K698">
        <v>3</v>
      </c>
      <c r="L698">
        <v>1</v>
      </c>
      <c r="M698">
        <v>6</v>
      </c>
      <c r="N698">
        <v>0</v>
      </c>
      <c r="O698">
        <v>2</v>
      </c>
      <c r="P698">
        <v>4</v>
      </c>
      <c r="Q698">
        <v>2</v>
      </c>
      <c r="R698">
        <v>1</v>
      </c>
      <c r="S698" t="s">
        <v>23</v>
      </c>
      <c r="T698" t="s">
        <v>38</v>
      </c>
      <c r="U698" t="str">
        <f>IF(Table1[[#This Row],[YearsSince
LastPromotion]]&gt; 4, "Delayed", "Normal")</f>
        <v>Normal</v>
      </c>
      <c r="V698" t="str">
        <f>IF(Table1[[#This Row],[Years
InCurrentRole]]&gt;4, "Role Stagnent", "Normal")</f>
        <v>Normal</v>
      </c>
      <c r="W698" t="str">
        <f>IF(AND(Table1[[#This Row],[Years
InCurrentRole]]&gt; 4, Table1[[#This Row],[Performance
Rating]]&gt;=3), "High Risk", "Normal")</f>
        <v>Normal</v>
      </c>
      <c r="X698" t="str">
        <f>IF(Table1[[#This Row],[Performance
Rating]]&gt;=4, "High Performer", "Low Performer")</f>
        <v>Low Performer</v>
      </c>
    </row>
    <row r="699" spans="2:24" x14ac:dyDescent="0.3">
      <c r="B699" t="s">
        <v>19</v>
      </c>
      <c r="C699" t="s">
        <v>25</v>
      </c>
      <c r="D699">
        <v>1</v>
      </c>
      <c r="E699" t="s">
        <v>21</v>
      </c>
      <c r="F699">
        <v>1</v>
      </c>
      <c r="G699" t="s">
        <v>26</v>
      </c>
      <c r="H699">
        <v>3</v>
      </c>
      <c r="I699">
        <v>2814</v>
      </c>
      <c r="J699">
        <v>14</v>
      </c>
      <c r="K699">
        <v>3</v>
      </c>
      <c r="L699">
        <v>0</v>
      </c>
      <c r="M699">
        <v>4</v>
      </c>
      <c r="N699">
        <v>2</v>
      </c>
      <c r="O699">
        <v>2</v>
      </c>
      <c r="P699">
        <v>4</v>
      </c>
      <c r="Q699">
        <v>2</v>
      </c>
      <c r="R699">
        <v>1</v>
      </c>
      <c r="S699" t="s">
        <v>23</v>
      </c>
      <c r="T699" t="s">
        <v>38</v>
      </c>
      <c r="U699" t="str">
        <f>IF(Table1[[#This Row],[YearsSince
LastPromotion]]&gt; 4, "Delayed", "Normal")</f>
        <v>Normal</v>
      </c>
      <c r="V699" t="str">
        <f>IF(Table1[[#This Row],[Years
InCurrentRole]]&gt;4, "Role Stagnent", "Normal")</f>
        <v>Normal</v>
      </c>
      <c r="W699" t="str">
        <f>IF(AND(Table1[[#This Row],[Years
InCurrentRole]]&gt; 4, Table1[[#This Row],[Performance
Rating]]&gt;=3), "High Risk", "Normal")</f>
        <v>Normal</v>
      </c>
      <c r="X699" t="str">
        <f>IF(Table1[[#This Row],[Performance
Rating]]&gt;=4, "High Performer", "Low Performer")</f>
        <v>Low Performer</v>
      </c>
    </row>
    <row r="700" spans="2:24" x14ac:dyDescent="0.3">
      <c r="B700" t="s">
        <v>19</v>
      </c>
      <c r="C700" t="s">
        <v>25</v>
      </c>
      <c r="D700">
        <v>1</v>
      </c>
      <c r="E700" t="s">
        <v>28</v>
      </c>
      <c r="F700">
        <v>1</v>
      </c>
      <c r="G700" t="s">
        <v>26</v>
      </c>
      <c r="H700">
        <v>4</v>
      </c>
      <c r="I700">
        <v>2326</v>
      </c>
      <c r="J700">
        <v>12</v>
      </c>
      <c r="K700">
        <v>3</v>
      </c>
      <c r="L700">
        <v>3</v>
      </c>
      <c r="M700">
        <v>4</v>
      </c>
      <c r="N700">
        <v>3</v>
      </c>
      <c r="O700">
        <v>2</v>
      </c>
      <c r="P700">
        <v>4</v>
      </c>
      <c r="Q700">
        <v>2</v>
      </c>
      <c r="R700">
        <v>1</v>
      </c>
      <c r="S700" t="s">
        <v>23</v>
      </c>
      <c r="T700" t="s">
        <v>38</v>
      </c>
      <c r="U700" t="str">
        <f>IF(Table1[[#This Row],[YearsSince
LastPromotion]]&gt; 4, "Delayed", "Normal")</f>
        <v>Normal</v>
      </c>
      <c r="V700" t="str">
        <f>IF(Table1[[#This Row],[Years
InCurrentRole]]&gt;4, "Role Stagnent", "Normal")</f>
        <v>Normal</v>
      </c>
      <c r="W700" t="str">
        <f>IF(AND(Table1[[#This Row],[Years
InCurrentRole]]&gt; 4, Table1[[#This Row],[Performance
Rating]]&gt;=3), "High Risk", "Normal")</f>
        <v>Normal</v>
      </c>
      <c r="X700" t="str">
        <f>IF(Table1[[#This Row],[Performance
Rating]]&gt;=4, "High Performer", "Low Performer")</f>
        <v>Low Performer</v>
      </c>
    </row>
    <row r="701" spans="2:24" x14ac:dyDescent="0.3">
      <c r="B701" t="s">
        <v>19</v>
      </c>
      <c r="C701" t="s">
        <v>25</v>
      </c>
      <c r="D701">
        <v>1</v>
      </c>
      <c r="E701" t="s">
        <v>28</v>
      </c>
      <c r="F701">
        <v>5</v>
      </c>
      <c r="G701" t="s">
        <v>35</v>
      </c>
      <c r="H701">
        <v>1</v>
      </c>
      <c r="I701">
        <v>19406</v>
      </c>
      <c r="J701">
        <v>11</v>
      </c>
      <c r="K701">
        <v>3</v>
      </c>
      <c r="L701">
        <v>1</v>
      </c>
      <c r="M701">
        <v>24</v>
      </c>
      <c r="N701">
        <v>4</v>
      </c>
      <c r="O701">
        <v>2</v>
      </c>
      <c r="P701">
        <v>4</v>
      </c>
      <c r="Q701">
        <v>2</v>
      </c>
      <c r="R701">
        <v>1</v>
      </c>
      <c r="S701" t="s">
        <v>23</v>
      </c>
      <c r="T701" t="s">
        <v>38</v>
      </c>
      <c r="U701" t="str">
        <f>IF(Table1[[#This Row],[YearsSince
LastPromotion]]&gt; 4, "Delayed", "Normal")</f>
        <v>Normal</v>
      </c>
      <c r="V701" t="str">
        <f>IF(Table1[[#This Row],[Years
InCurrentRole]]&gt;4, "Role Stagnent", "Normal")</f>
        <v>Normal</v>
      </c>
      <c r="W701" t="str">
        <f>IF(AND(Table1[[#This Row],[Years
InCurrentRole]]&gt; 4, Table1[[#This Row],[Performance
Rating]]&gt;=3), "High Risk", "Normal")</f>
        <v>Normal</v>
      </c>
      <c r="X701" t="str">
        <f>IF(Table1[[#This Row],[Performance
Rating]]&gt;=4, "High Performer", "Low Performer")</f>
        <v>Low Performer</v>
      </c>
    </row>
    <row r="702" spans="2:24" x14ac:dyDescent="0.3">
      <c r="B702" t="s">
        <v>19</v>
      </c>
      <c r="C702" t="s">
        <v>25</v>
      </c>
      <c r="D702">
        <v>1</v>
      </c>
      <c r="E702" t="s">
        <v>21</v>
      </c>
      <c r="F702">
        <v>2</v>
      </c>
      <c r="G702" t="s">
        <v>33</v>
      </c>
      <c r="H702">
        <v>3</v>
      </c>
      <c r="I702">
        <v>4011</v>
      </c>
      <c r="J702">
        <v>18</v>
      </c>
      <c r="K702">
        <v>3</v>
      </c>
      <c r="L702">
        <v>1</v>
      </c>
      <c r="M702">
        <v>5</v>
      </c>
      <c r="N702">
        <v>5</v>
      </c>
      <c r="O702">
        <v>2</v>
      </c>
      <c r="P702">
        <v>4</v>
      </c>
      <c r="Q702">
        <v>2</v>
      </c>
      <c r="R702">
        <v>1</v>
      </c>
      <c r="S702" t="s">
        <v>23</v>
      </c>
      <c r="T702" t="s">
        <v>38</v>
      </c>
      <c r="U702" t="str">
        <f>IF(Table1[[#This Row],[YearsSince
LastPromotion]]&gt; 4, "Delayed", "Normal")</f>
        <v>Normal</v>
      </c>
      <c r="V702" t="str">
        <f>IF(Table1[[#This Row],[Years
InCurrentRole]]&gt;4, "Role Stagnent", "Normal")</f>
        <v>Normal</v>
      </c>
      <c r="W702" t="str">
        <f>IF(AND(Table1[[#This Row],[Years
InCurrentRole]]&gt; 4, Table1[[#This Row],[Performance
Rating]]&gt;=3), "High Risk", "Normal")</f>
        <v>Normal</v>
      </c>
      <c r="X702" t="str">
        <f>IF(Table1[[#This Row],[Performance
Rating]]&gt;=4, "High Performer", "Low Performer")</f>
        <v>Low Performer</v>
      </c>
    </row>
    <row r="703" spans="2:24" x14ac:dyDescent="0.3">
      <c r="B703" t="s">
        <v>19</v>
      </c>
      <c r="C703" t="s">
        <v>25</v>
      </c>
      <c r="D703">
        <v>1</v>
      </c>
      <c r="E703" t="s">
        <v>28</v>
      </c>
      <c r="F703">
        <v>1</v>
      </c>
      <c r="G703" t="s">
        <v>26</v>
      </c>
      <c r="H703">
        <v>4</v>
      </c>
      <c r="I703">
        <v>2045</v>
      </c>
      <c r="J703">
        <v>13</v>
      </c>
      <c r="K703">
        <v>3</v>
      </c>
      <c r="L703">
        <v>0</v>
      </c>
      <c r="M703">
        <v>5</v>
      </c>
      <c r="N703">
        <v>0</v>
      </c>
      <c r="O703">
        <v>3</v>
      </c>
      <c r="P703">
        <v>4</v>
      </c>
      <c r="Q703">
        <v>2</v>
      </c>
      <c r="R703">
        <v>1</v>
      </c>
      <c r="S703" t="s">
        <v>34</v>
      </c>
      <c r="T703" t="s">
        <v>38</v>
      </c>
      <c r="U703" t="str">
        <f>IF(Table1[[#This Row],[YearsSince
LastPromotion]]&gt; 4, "Delayed", "Normal")</f>
        <v>Normal</v>
      </c>
      <c r="V703" t="str">
        <f>IF(Table1[[#This Row],[Years
InCurrentRole]]&gt;4, "Role Stagnent", "Normal")</f>
        <v>Normal</v>
      </c>
      <c r="W703" t="str">
        <f>IF(AND(Table1[[#This Row],[Years
InCurrentRole]]&gt; 4, Table1[[#This Row],[Performance
Rating]]&gt;=3), "High Risk", "Normal")</f>
        <v>Normal</v>
      </c>
      <c r="X703" t="str">
        <f>IF(Table1[[#This Row],[Performance
Rating]]&gt;=4, "High Performer", "Low Performer")</f>
        <v>Low Performer</v>
      </c>
    </row>
    <row r="704" spans="2:24" x14ac:dyDescent="0.3">
      <c r="B704" t="s">
        <v>19</v>
      </c>
      <c r="C704" t="s">
        <v>25</v>
      </c>
      <c r="D704">
        <v>1</v>
      </c>
      <c r="E704" t="s">
        <v>28</v>
      </c>
      <c r="F704">
        <v>1</v>
      </c>
      <c r="G704" t="s">
        <v>26</v>
      </c>
      <c r="H704">
        <v>2</v>
      </c>
      <c r="I704">
        <v>3537</v>
      </c>
      <c r="J704">
        <v>12</v>
      </c>
      <c r="K704">
        <v>3</v>
      </c>
      <c r="L704">
        <v>1</v>
      </c>
      <c r="M704">
        <v>8</v>
      </c>
      <c r="N704">
        <v>1</v>
      </c>
      <c r="O704">
        <v>3</v>
      </c>
      <c r="P704">
        <v>4</v>
      </c>
      <c r="Q704">
        <v>2</v>
      </c>
      <c r="R704">
        <v>1</v>
      </c>
      <c r="S704" t="s">
        <v>34</v>
      </c>
      <c r="T704" t="s">
        <v>38</v>
      </c>
      <c r="U704" t="str">
        <f>IF(Table1[[#This Row],[YearsSince
LastPromotion]]&gt; 4, "Delayed", "Normal")</f>
        <v>Normal</v>
      </c>
      <c r="V704" t="str">
        <f>IF(Table1[[#This Row],[Years
InCurrentRole]]&gt;4, "Role Stagnent", "Normal")</f>
        <v>Normal</v>
      </c>
      <c r="W704" t="str">
        <f>IF(AND(Table1[[#This Row],[Years
InCurrentRole]]&gt; 4, Table1[[#This Row],[Performance
Rating]]&gt;=3), "High Risk", "Normal")</f>
        <v>Normal</v>
      </c>
      <c r="X704" t="str">
        <f>IF(Table1[[#This Row],[Performance
Rating]]&gt;=4, "High Performer", "Low Performer")</f>
        <v>Low Performer</v>
      </c>
    </row>
    <row r="705" spans="2:24" x14ac:dyDescent="0.3">
      <c r="B705" t="s">
        <v>27</v>
      </c>
      <c r="C705" t="s">
        <v>20</v>
      </c>
      <c r="D705">
        <v>1</v>
      </c>
      <c r="E705" t="s">
        <v>28</v>
      </c>
      <c r="F705">
        <v>2</v>
      </c>
      <c r="G705" t="s">
        <v>32</v>
      </c>
      <c r="H705">
        <v>3</v>
      </c>
      <c r="I705">
        <v>4707</v>
      </c>
      <c r="J705">
        <v>12</v>
      </c>
      <c r="K705">
        <v>3</v>
      </c>
      <c r="L705">
        <v>0</v>
      </c>
      <c r="M705">
        <v>6</v>
      </c>
      <c r="N705">
        <v>2</v>
      </c>
      <c r="O705">
        <v>3</v>
      </c>
      <c r="P705">
        <v>4</v>
      </c>
      <c r="Q705">
        <v>2</v>
      </c>
      <c r="R705">
        <v>1</v>
      </c>
      <c r="S705" t="s">
        <v>34</v>
      </c>
      <c r="T705" t="s">
        <v>38</v>
      </c>
      <c r="U705" t="str">
        <f>IF(Table1[[#This Row],[YearsSince
LastPromotion]]&gt; 4, "Delayed", "Normal")</f>
        <v>Normal</v>
      </c>
      <c r="V705" t="str">
        <f>IF(Table1[[#This Row],[Years
InCurrentRole]]&gt;4, "Role Stagnent", "Normal")</f>
        <v>Normal</v>
      </c>
      <c r="W705" t="str">
        <f>IF(AND(Table1[[#This Row],[Years
InCurrentRole]]&gt; 4, Table1[[#This Row],[Performance
Rating]]&gt;=3), "High Risk", "Normal")</f>
        <v>Normal</v>
      </c>
      <c r="X705" t="str">
        <f>IF(Table1[[#This Row],[Performance
Rating]]&gt;=4, "High Performer", "Low Performer")</f>
        <v>Low Performer</v>
      </c>
    </row>
    <row r="706" spans="2:24" x14ac:dyDescent="0.3">
      <c r="B706" t="s">
        <v>27</v>
      </c>
      <c r="C706" t="s">
        <v>25</v>
      </c>
      <c r="D706">
        <v>1</v>
      </c>
      <c r="E706" t="s">
        <v>28</v>
      </c>
      <c r="F706">
        <v>1</v>
      </c>
      <c r="G706" t="s">
        <v>26</v>
      </c>
      <c r="H706">
        <v>1</v>
      </c>
      <c r="I706">
        <v>2960</v>
      </c>
      <c r="J706">
        <v>11</v>
      </c>
      <c r="K706">
        <v>3</v>
      </c>
      <c r="L706">
        <v>0</v>
      </c>
      <c r="M706">
        <v>8</v>
      </c>
      <c r="N706">
        <v>2</v>
      </c>
      <c r="O706">
        <v>3</v>
      </c>
      <c r="P706">
        <v>4</v>
      </c>
      <c r="Q706">
        <v>2</v>
      </c>
      <c r="R706">
        <v>1</v>
      </c>
      <c r="S706" t="s">
        <v>34</v>
      </c>
      <c r="T706" t="s">
        <v>38</v>
      </c>
      <c r="U706" t="str">
        <f>IF(Table1[[#This Row],[YearsSince
LastPromotion]]&gt; 4, "Delayed", "Normal")</f>
        <v>Normal</v>
      </c>
      <c r="V706" t="str">
        <f>IF(Table1[[#This Row],[Years
InCurrentRole]]&gt;4, "Role Stagnent", "Normal")</f>
        <v>Normal</v>
      </c>
      <c r="W706" t="str">
        <f>IF(AND(Table1[[#This Row],[Years
InCurrentRole]]&gt; 4, Table1[[#This Row],[Performance
Rating]]&gt;=3), "High Risk", "Normal")</f>
        <v>Normal</v>
      </c>
      <c r="X706" t="str">
        <f>IF(Table1[[#This Row],[Performance
Rating]]&gt;=4, "High Performer", "Low Performer")</f>
        <v>Low Performer</v>
      </c>
    </row>
    <row r="707" spans="2:24" x14ac:dyDescent="0.3">
      <c r="B707" t="s">
        <v>19</v>
      </c>
      <c r="C707" t="s">
        <v>25</v>
      </c>
      <c r="D707">
        <v>1</v>
      </c>
      <c r="E707" t="s">
        <v>21</v>
      </c>
      <c r="F707">
        <v>1</v>
      </c>
      <c r="G707" t="s">
        <v>26</v>
      </c>
      <c r="H707">
        <v>4</v>
      </c>
      <c r="I707">
        <v>3280</v>
      </c>
      <c r="J707">
        <v>16</v>
      </c>
      <c r="K707">
        <v>3</v>
      </c>
      <c r="L707">
        <v>0</v>
      </c>
      <c r="M707">
        <v>10</v>
      </c>
      <c r="N707">
        <v>2</v>
      </c>
      <c r="O707">
        <v>3</v>
      </c>
      <c r="P707">
        <v>4</v>
      </c>
      <c r="Q707">
        <v>2</v>
      </c>
      <c r="R707">
        <v>1</v>
      </c>
      <c r="S707" t="s">
        <v>34</v>
      </c>
      <c r="T707" t="s">
        <v>38</v>
      </c>
      <c r="U707" t="str">
        <f>IF(Table1[[#This Row],[YearsSince
LastPromotion]]&gt; 4, "Delayed", "Normal")</f>
        <v>Normal</v>
      </c>
      <c r="V707" t="str">
        <f>IF(Table1[[#This Row],[Years
InCurrentRole]]&gt;4, "Role Stagnent", "Normal")</f>
        <v>Normal</v>
      </c>
      <c r="W707" t="str">
        <f>IF(AND(Table1[[#This Row],[Years
InCurrentRole]]&gt; 4, Table1[[#This Row],[Performance
Rating]]&gt;=3), "High Risk", "Normal")</f>
        <v>Normal</v>
      </c>
      <c r="X707" t="str">
        <f>IF(Table1[[#This Row],[Performance
Rating]]&gt;=4, "High Performer", "Low Performer")</f>
        <v>Low Performer</v>
      </c>
    </row>
    <row r="708" spans="2:24" x14ac:dyDescent="0.3">
      <c r="B708" t="s">
        <v>19</v>
      </c>
      <c r="C708" t="s">
        <v>25</v>
      </c>
      <c r="D708">
        <v>1</v>
      </c>
      <c r="E708" t="s">
        <v>21</v>
      </c>
      <c r="F708">
        <v>4</v>
      </c>
      <c r="G708" t="s">
        <v>35</v>
      </c>
      <c r="H708">
        <v>2</v>
      </c>
      <c r="I708">
        <v>16413</v>
      </c>
      <c r="J708">
        <v>16</v>
      </c>
      <c r="K708">
        <v>3</v>
      </c>
      <c r="L708">
        <v>2</v>
      </c>
      <c r="M708">
        <v>27</v>
      </c>
      <c r="N708">
        <v>2</v>
      </c>
      <c r="O708">
        <v>3</v>
      </c>
      <c r="P708">
        <v>4</v>
      </c>
      <c r="Q708">
        <v>2</v>
      </c>
      <c r="R708">
        <v>1</v>
      </c>
      <c r="S708" t="s">
        <v>34</v>
      </c>
      <c r="T708" t="s">
        <v>38</v>
      </c>
      <c r="U708" t="str">
        <f>IF(Table1[[#This Row],[YearsSince
LastPromotion]]&gt; 4, "Delayed", "Normal")</f>
        <v>Normal</v>
      </c>
      <c r="V708" t="str">
        <f>IF(Table1[[#This Row],[Years
InCurrentRole]]&gt;4, "Role Stagnent", "Normal")</f>
        <v>Normal</v>
      </c>
      <c r="W708" t="str">
        <f>IF(AND(Table1[[#This Row],[Years
InCurrentRole]]&gt; 4, Table1[[#This Row],[Performance
Rating]]&gt;=3), "High Risk", "Normal")</f>
        <v>Normal</v>
      </c>
      <c r="X708" t="str">
        <f>IF(Table1[[#This Row],[Performance
Rating]]&gt;=4, "High Performer", "Low Performer")</f>
        <v>Low Performer</v>
      </c>
    </row>
    <row r="709" spans="2:24" x14ac:dyDescent="0.3">
      <c r="B709" t="s">
        <v>27</v>
      </c>
      <c r="C709" t="s">
        <v>25</v>
      </c>
      <c r="D709">
        <v>1</v>
      </c>
      <c r="E709" t="s">
        <v>28</v>
      </c>
      <c r="F709">
        <v>1</v>
      </c>
      <c r="G709" t="s">
        <v>29</v>
      </c>
      <c r="H709">
        <v>4</v>
      </c>
      <c r="I709">
        <v>2587</v>
      </c>
      <c r="J709">
        <v>16</v>
      </c>
      <c r="K709">
        <v>3</v>
      </c>
      <c r="L709">
        <v>0</v>
      </c>
      <c r="M709">
        <v>5</v>
      </c>
      <c r="N709">
        <v>3</v>
      </c>
      <c r="O709">
        <v>3</v>
      </c>
      <c r="P709">
        <v>4</v>
      </c>
      <c r="Q709">
        <v>2</v>
      </c>
      <c r="R709">
        <v>1</v>
      </c>
      <c r="S709" t="s">
        <v>34</v>
      </c>
      <c r="T709" t="s">
        <v>38</v>
      </c>
      <c r="U709" t="str">
        <f>IF(Table1[[#This Row],[YearsSince
LastPromotion]]&gt; 4, "Delayed", "Normal")</f>
        <v>Normal</v>
      </c>
      <c r="V709" t="str">
        <f>IF(Table1[[#This Row],[Years
InCurrentRole]]&gt;4, "Role Stagnent", "Normal")</f>
        <v>Normal</v>
      </c>
      <c r="W709" t="str">
        <f>IF(AND(Table1[[#This Row],[Years
InCurrentRole]]&gt; 4, Table1[[#This Row],[Performance
Rating]]&gt;=3), "High Risk", "Normal")</f>
        <v>Normal</v>
      </c>
      <c r="X709" t="str">
        <f>IF(Table1[[#This Row],[Performance
Rating]]&gt;=4, "High Performer", "Low Performer")</f>
        <v>Low Performer</v>
      </c>
    </row>
    <row r="710" spans="2:24" x14ac:dyDescent="0.3">
      <c r="B710" t="s">
        <v>19</v>
      </c>
      <c r="C710" t="s">
        <v>20</v>
      </c>
      <c r="D710">
        <v>1</v>
      </c>
      <c r="E710" t="s">
        <v>28</v>
      </c>
      <c r="F710">
        <v>2</v>
      </c>
      <c r="G710" t="s">
        <v>32</v>
      </c>
      <c r="H710">
        <v>4</v>
      </c>
      <c r="I710">
        <v>4342</v>
      </c>
      <c r="J710">
        <v>19</v>
      </c>
      <c r="K710">
        <v>3</v>
      </c>
      <c r="L710">
        <v>1</v>
      </c>
      <c r="M710">
        <v>5</v>
      </c>
      <c r="N710">
        <v>3</v>
      </c>
      <c r="O710">
        <v>3</v>
      </c>
      <c r="P710">
        <v>4</v>
      </c>
      <c r="Q710">
        <v>2</v>
      </c>
      <c r="R710">
        <v>1</v>
      </c>
      <c r="S710" t="s">
        <v>34</v>
      </c>
      <c r="T710" t="s">
        <v>38</v>
      </c>
      <c r="U710" t="str">
        <f>IF(Table1[[#This Row],[YearsSince
LastPromotion]]&gt; 4, "Delayed", "Normal")</f>
        <v>Normal</v>
      </c>
      <c r="V710" t="str">
        <f>IF(Table1[[#This Row],[Years
InCurrentRole]]&gt;4, "Role Stagnent", "Normal")</f>
        <v>Normal</v>
      </c>
      <c r="W710" t="str">
        <f>IF(AND(Table1[[#This Row],[Years
InCurrentRole]]&gt; 4, Table1[[#This Row],[Performance
Rating]]&gt;=3), "High Risk", "Normal")</f>
        <v>Normal</v>
      </c>
      <c r="X710" t="str">
        <f>IF(Table1[[#This Row],[Performance
Rating]]&gt;=4, "High Performer", "Low Performer")</f>
        <v>Low Performer</v>
      </c>
    </row>
    <row r="711" spans="2:24" x14ac:dyDescent="0.3">
      <c r="B711" t="s">
        <v>19</v>
      </c>
      <c r="C711" t="s">
        <v>25</v>
      </c>
      <c r="D711">
        <v>1</v>
      </c>
      <c r="E711" t="s">
        <v>21</v>
      </c>
      <c r="F711">
        <v>2</v>
      </c>
      <c r="G711" t="s">
        <v>33</v>
      </c>
      <c r="H711">
        <v>1</v>
      </c>
      <c r="I711">
        <v>4450</v>
      </c>
      <c r="J711">
        <v>11</v>
      </c>
      <c r="K711">
        <v>3</v>
      </c>
      <c r="L711">
        <v>2</v>
      </c>
      <c r="M711">
        <v>5</v>
      </c>
      <c r="N711">
        <v>3</v>
      </c>
      <c r="O711">
        <v>3</v>
      </c>
      <c r="P711">
        <v>4</v>
      </c>
      <c r="Q711">
        <v>2</v>
      </c>
      <c r="R711">
        <v>1</v>
      </c>
      <c r="S711" t="s">
        <v>34</v>
      </c>
      <c r="T711" t="s">
        <v>38</v>
      </c>
      <c r="U711" t="str">
        <f>IF(Table1[[#This Row],[YearsSince
LastPromotion]]&gt; 4, "Delayed", "Normal")</f>
        <v>Normal</v>
      </c>
      <c r="V711" t="str">
        <f>IF(Table1[[#This Row],[Years
InCurrentRole]]&gt;4, "Role Stagnent", "Normal")</f>
        <v>Normal</v>
      </c>
      <c r="W711" t="str">
        <f>IF(AND(Table1[[#This Row],[Years
InCurrentRole]]&gt; 4, Table1[[#This Row],[Performance
Rating]]&gt;=3), "High Risk", "Normal")</f>
        <v>Normal</v>
      </c>
      <c r="X711" t="str">
        <f>IF(Table1[[#This Row],[Performance
Rating]]&gt;=4, "High Performer", "Low Performer")</f>
        <v>Low Performer</v>
      </c>
    </row>
    <row r="712" spans="2:24" x14ac:dyDescent="0.3">
      <c r="B712" t="s">
        <v>19</v>
      </c>
      <c r="C712" t="s">
        <v>25</v>
      </c>
      <c r="D712">
        <v>1</v>
      </c>
      <c r="E712" t="s">
        <v>21</v>
      </c>
      <c r="F712">
        <v>2</v>
      </c>
      <c r="G712" t="s">
        <v>33</v>
      </c>
      <c r="H712">
        <v>3</v>
      </c>
      <c r="I712">
        <v>4898</v>
      </c>
      <c r="J712">
        <v>12</v>
      </c>
      <c r="K712">
        <v>3</v>
      </c>
      <c r="L712">
        <v>2</v>
      </c>
      <c r="M712">
        <v>5</v>
      </c>
      <c r="N712">
        <v>3</v>
      </c>
      <c r="O712">
        <v>3</v>
      </c>
      <c r="P712">
        <v>4</v>
      </c>
      <c r="Q712">
        <v>2</v>
      </c>
      <c r="R712">
        <v>1</v>
      </c>
      <c r="S712" t="s">
        <v>34</v>
      </c>
      <c r="T712" t="s">
        <v>38</v>
      </c>
      <c r="U712" t="str">
        <f>IF(Table1[[#This Row],[YearsSince
LastPromotion]]&gt; 4, "Delayed", "Normal")</f>
        <v>Normal</v>
      </c>
      <c r="V712" t="str">
        <f>IF(Table1[[#This Row],[Years
InCurrentRole]]&gt;4, "Role Stagnent", "Normal")</f>
        <v>Normal</v>
      </c>
      <c r="W712" t="str">
        <f>IF(AND(Table1[[#This Row],[Years
InCurrentRole]]&gt; 4, Table1[[#This Row],[Performance
Rating]]&gt;=3), "High Risk", "Normal")</f>
        <v>Normal</v>
      </c>
      <c r="X712" t="str">
        <f>IF(Table1[[#This Row],[Performance
Rating]]&gt;=4, "High Performer", "Low Performer")</f>
        <v>Low Performer</v>
      </c>
    </row>
    <row r="713" spans="2:24" x14ac:dyDescent="0.3">
      <c r="B713" t="s">
        <v>19</v>
      </c>
      <c r="C713" t="s">
        <v>20</v>
      </c>
      <c r="D713">
        <v>1</v>
      </c>
      <c r="E713" t="s">
        <v>28</v>
      </c>
      <c r="F713">
        <v>3</v>
      </c>
      <c r="G713" t="s">
        <v>32</v>
      </c>
      <c r="H713">
        <v>2</v>
      </c>
      <c r="I713">
        <v>9250</v>
      </c>
      <c r="J713">
        <v>12</v>
      </c>
      <c r="K713">
        <v>3</v>
      </c>
      <c r="L713">
        <v>1</v>
      </c>
      <c r="M713">
        <v>9</v>
      </c>
      <c r="N713">
        <v>3</v>
      </c>
      <c r="O713">
        <v>3</v>
      </c>
      <c r="P713">
        <v>4</v>
      </c>
      <c r="Q713">
        <v>2</v>
      </c>
      <c r="R713">
        <v>1</v>
      </c>
      <c r="S713" t="s">
        <v>34</v>
      </c>
      <c r="T713" t="s">
        <v>38</v>
      </c>
      <c r="U713" t="str">
        <f>IF(Table1[[#This Row],[YearsSince
LastPromotion]]&gt; 4, "Delayed", "Normal")</f>
        <v>Normal</v>
      </c>
      <c r="V713" t="str">
        <f>IF(Table1[[#This Row],[Years
InCurrentRole]]&gt;4, "Role Stagnent", "Normal")</f>
        <v>Normal</v>
      </c>
      <c r="W713" t="str">
        <f>IF(AND(Table1[[#This Row],[Years
InCurrentRole]]&gt; 4, Table1[[#This Row],[Performance
Rating]]&gt;=3), "High Risk", "Normal")</f>
        <v>Normal</v>
      </c>
      <c r="X713" t="str">
        <f>IF(Table1[[#This Row],[Performance
Rating]]&gt;=4, "High Performer", "Low Performer")</f>
        <v>Low Performer</v>
      </c>
    </row>
    <row r="714" spans="2:24" x14ac:dyDescent="0.3">
      <c r="B714" t="s">
        <v>19</v>
      </c>
      <c r="C714" t="s">
        <v>25</v>
      </c>
      <c r="D714">
        <v>1</v>
      </c>
      <c r="E714" t="s">
        <v>28</v>
      </c>
      <c r="F714">
        <v>1</v>
      </c>
      <c r="G714" t="s">
        <v>26</v>
      </c>
      <c r="H714">
        <v>1</v>
      </c>
      <c r="I714">
        <v>2439</v>
      </c>
      <c r="J714">
        <v>14</v>
      </c>
      <c r="K714">
        <v>3</v>
      </c>
      <c r="L714">
        <v>0</v>
      </c>
      <c r="M714">
        <v>4</v>
      </c>
      <c r="N714">
        <v>4</v>
      </c>
      <c r="O714">
        <v>3</v>
      </c>
      <c r="P714">
        <v>4</v>
      </c>
      <c r="Q714">
        <v>2</v>
      </c>
      <c r="R714">
        <v>1</v>
      </c>
      <c r="S714" t="s">
        <v>34</v>
      </c>
      <c r="T714" t="s">
        <v>38</v>
      </c>
      <c r="U714" t="str">
        <f>IF(Table1[[#This Row],[YearsSince
LastPromotion]]&gt; 4, "Delayed", "Normal")</f>
        <v>Normal</v>
      </c>
      <c r="V714" t="str">
        <f>IF(Table1[[#This Row],[Years
InCurrentRole]]&gt;4, "Role Stagnent", "Normal")</f>
        <v>Normal</v>
      </c>
      <c r="W714" t="str">
        <f>IF(AND(Table1[[#This Row],[Years
InCurrentRole]]&gt; 4, Table1[[#This Row],[Performance
Rating]]&gt;=3), "High Risk", "Normal")</f>
        <v>Normal</v>
      </c>
      <c r="X714" t="str">
        <f>IF(Table1[[#This Row],[Performance
Rating]]&gt;=4, "High Performer", "Low Performer")</f>
        <v>Low Performer</v>
      </c>
    </row>
    <row r="715" spans="2:24" x14ac:dyDescent="0.3">
      <c r="B715" t="s">
        <v>19</v>
      </c>
      <c r="C715" t="s">
        <v>20</v>
      </c>
      <c r="D715">
        <v>1</v>
      </c>
      <c r="E715" t="s">
        <v>28</v>
      </c>
      <c r="F715">
        <v>2</v>
      </c>
      <c r="G715" t="s">
        <v>32</v>
      </c>
      <c r="H715">
        <v>1</v>
      </c>
      <c r="I715">
        <v>4898</v>
      </c>
      <c r="J715">
        <v>14</v>
      </c>
      <c r="K715">
        <v>3</v>
      </c>
      <c r="L715">
        <v>0</v>
      </c>
      <c r="M715">
        <v>5</v>
      </c>
      <c r="N715">
        <v>5</v>
      </c>
      <c r="O715">
        <v>3</v>
      </c>
      <c r="P715">
        <v>4</v>
      </c>
      <c r="Q715">
        <v>2</v>
      </c>
      <c r="R715">
        <v>1</v>
      </c>
      <c r="S715" t="s">
        <v>34</v>
      </c>
      <c r="T715" t="s">
        <v>38</v>
      </c>
      <c r="U715" t="str">
        <f>IF(Table1[[#This Row],[YearsSince
LastPromotion]]&gt; 4, "Delayed", "Normal")</f>
        <v>Normal</v>
      </c>
      <c r="V715" t="str">
        <f>IF(Table1[[#This Row],[Years
InCurrentRole]]&gt;4, "Role Stagnent", "Normal")</f>
        <v>Normal</v>
      </c>
      <c r="W715" t="str">
        <f>IF(AND(Table1[[#This Row],[Years
InCurrentRole]]&gt; 4, Table1[[#This Row],[Performance
Rating]]&gt;=3), "High Risk", "Normal")</f>
        <v>Normal</v>
      </c>
      <c r="X715" t="str">
        <f>IF(Table1[[#This Row],[Performance
Rating]]&gt;=4, "High Performer", "Low Performer")</f>
        <v>Low Performer</v>
      </c>
    </row>
    <row r="716" spans="2:24" x14ac:dyDescent="0.3">
      <c r="B716" t="s">
        <v>19</v>
      </c>
      <c r="C716" t="s">
        <v>25</v>
      </c>
      <c r="D716">
        <v>1</v>
      </c>
      <c r="E716" t="s">
        <v>28</v>
      </c>
      <c r="F716">
        <v>2</v>
      </c>
      <c r="G716" t="s">
        <v>31</v>
      </c>
      <c r="H716">
        <v>4</v>
      </c>
      <c r="I716">
        <v>6465</v>
      </c>
      <c r="J716">
        <v>13</v>
      </c>
      <c r="K716">
        <v>3</v>
      </c>
      <c r="L716">
        <v>0</v>
      </c>
      <c r="M716">
        <v>9</v>
      </c>
      <c r="N716">
        <v>5</v>
      </c>
      <c r="O716">
        <v>4</v>
      </c>
      <c r="P716">
        <v>4</v>
      </c>
      <c r="Q716">
        <v>2</v>
      </c>
      <c r="R716">
        <v>1</v>
      </c>
      <c r="S716" t="s">
        <v>34</v>
      </c>
      <c r="T716" t="s">
        <v>38</v>
      </c>
      <c r="U716" t="str">
        <f>IF(Table1[[#This Row],[YearsSince
LastPromotion]]&gt; 4, "Delayed", "Normal")</f>
        <v>Normal</v>
      </c>
      <c r="V716" t="str">
        <f>IF(Table1[[#This Row],[Years
InCurrentRole]]&gt;4, "Role Stagnent", "Normal")</f>
        <v>Normal</v>
      </c>
      <c r="W716" t="str">
        <f>IF(AND(Table1[[#This Row],[Years
InCurrentRole]]&gt; 4, Table1[[#This Row],[Performance
Rating]]&gt;=3), "High Risk", "Normal")</f>
        <v>Normal</v>
      </c>
      <c r="X716" t="str">
        <f>IF(Table1[[#This Row],[Performance
Rating]]&gt;=4, "High Performer", "Low Performer")</f>
        <v>Low Performer</v>
      </c>
    </row>
    <row r="717" spans="2:24" x14ac:dyDescent="0.3">
      <c r="B717" t="s">
        <v>19</v>
      </c>
      <c r="C717" t="s">
        <v>25</v>
      </c>
      <c r="D717">
        <v>1</v>
      </c>
      <c r="E717" t="s">
        <v>21</v>
      </c>
      <c r="F717">
        <v>4</v>
      </c>
      <c r="G717" t="s">
        <v>22</v>
      </c>
      <c r="H717">
        <v>4</v>
      </c>
      <c r="I717">
        <v>16555</v>
      </c>
      <c r="J717">
        <v>13</v>
      </c>
      <c r="K717">
        <v>3</v>
      </c>
      <c r="L717">
        <v>0</v>
      </c>
      <c r="M717">
        <v>31</v>
      </c>
      <c r="N717">
        <v>2</v>
      </c>
      <c r="O717">
        <v>1</v>
      </c>
      <c r="P717">
        <v>5</v>
      </c>
      <c r="Q717">
        <v>2</v>
      </c>
      <c r="R717">
        <v>1</v>
      </c>
      <c r="S717" t="s">
        <v>23</v>
      </c>
      <c r="T717" t="s">
        <v>37</v>
      </c>
      <c r="U717" t="str">
        <f>IF(Table1[[#This Row],[YearsSince
LastPromotion]]&gt; 4, "Delayed", "Normal")</f>
        <v>Normal</v>
      </c>
      <c r="V717" t="str">
        <f>IF(Table1[[#This Row],[Years
InCurrentRole]]&gt;4, "Role Stagnent", "Normal")</f>
        <v>Normal</v>
      </c>
      <c r="W717" t="str">
        <f>IF(AND(Table1[[#This Row],[Years
InCurrentRole]]&gt; 4, Table1[[#This Row],[Performance
Rating]]&gt;=3), "High Risk", "Normal")</f>
        <v>Normal</v>
      </c>
      <c r="X717" t="str">
        <f>IF(Table1[[#This Row],[Performance
Rating]]&gt;=4, "High Performer", "Low Performer")</f>
        <v>Low Performer</v>
      </c>
    </row>
    <row r="718" spans="2:24" x14ac:dyDescent="0.3">
      <c r="B718" t="s">
        <v>19</v>
      </c>
      <c r="C718" t="s">
        <v>25</v>
      </c>
      <c r="D718">
        <v>1</v>
      </c>
      <c r="E718" t="s">
        <v>28</v>
      </c>
      <c r="F718">
        <v>1</v>
      </c>
      <c r="G718" t="s">
        <v>26</v>
      </c>
      <c r="H718">
        <v>2</v>
      </c>
      <c r="I718">
        <v>3420</v>
      </c>
      <c r="J718">
        <v>13</v>
      </c>
      <c r="K718">
        <v>3</v>
      </c>
      <c r="L718">
        <v>0</v>
      </c>
      <c r="M718">
        <v>6</v>
      </c>
      <c r="N718">
        <v>3</v>
      </c>
      <c r="O718">
        <v>2</v>
      </c>
      <c r="P718">
        <v>5</v>
      </c>
      <c r="Q718">
        <v>2</v>
      </c>
      <c r="R718">
        <v>1</v>
      </c>
      <c r="S718" t="s">
        <v>23</v>
      </c>
      <c r="T718" t="s">
        <v>37</v>
      </c>
      <c r="U718" t="str">
        <f>IF(Table1[[#This Row],[YearsSince
LastPromotion]]&gt; 4, "Delayed", "Normal")</f>
        <v>Normal</v>
      </c>
      <c r="V718" t="str">
        <f>IF(Table1[[#This Row],[Years
InCurrentRole]]&gt;4, "Role Stagnent", "Normal")</f>
        <v>Normal</v>
      </c>
      <c r="W718" t="str">
        <f>IF(AND(Table1[[#This Row],[Years
InCurrentRole]]&gt; 4, Table1[[#This Row],[Performance
Rating]]&gt;=3), "High Risk", "Normal")</f>
        <v>Normal</v>
      </c>
      <c r="X718" t="str">
        <f>IF(Table1[[#This Row],[Performance
Rating]]&gt;=4, "High Performer", "Low Performer")</f>
        <v>Low Performer</v>
      </c>
    </row>
    <row r="719" spans="2:24" x14ac:dyDescent="0.3">
      <c r="B719" t="s">
        <v>19</v>
      </c>
      <c r="C719" t="s">
        <v>25</v>
      </c>
      <c r="D719">
        <v>1</v>
      </c>
      <c r="E719" t="s">
        <v>28</v>
      </c>
      <c r="F719">
        <v>1</v>
      </c>
      <c r="G719" t="s">
        <v>26</v>
      </c>
      <c r="H719">
        <v>2</v>
      </c>
      <c r="I719">
        <v>3058</v>
      </c>
      <c r="J719">
        <v>16</v>
      </c>
      <c r="K719">
        <v>3</v>
      </c>
      <c r="L719">
        <v>1</v>
      </c>
      <c r="M719">
        <v>6</v>
      </c>
      <c r="N719">
        <v>3</v>
      </c>
      <c r="O719">
        <v>2</v>
      </c>
      <c r="P719">
        <v>5</v>
      </c>
      <c r="Q719">
        <v>2</v>
      </c>
      <c r="R719">
        <v>1</v>
      </c>
      <c r="S719" t="s">
        <v>23</v>
      </c>
      <c r="T719" t="s">
        <v>37</v>
      </c>
      <c r="U719" t="str">
        <f>IF(Table1[[#This Row],[YearsSince
LastPromotion]]&gt; 4, "Delayed", "Normal")</f>
        <v>Normal</v>
      </c>
      <c r="V719" t="str">
        <f>IF(Table1[[#This Row],[Years
InCurrentRole]]&gt;4, "Role Stagnent", "Normal")</f>
        <v>Normal</v>
      </c>
      <c r="W719" t="str">
        <f>IF(AND(Table1[[#This Row],[Years
InCurrentRole]]&gt; 4, Table1[[#This Row],[Performance
Rating]]&gt;=3), "High Risk", "Normal")</f>
        <v>Normal</v>
      </c>
      <c r="X719" t="str">
        <f>IF(Table1[[#This Row],[Performance
Rating]]&gt;=4, "High Performer", "Low Performer")</f>
        <v>Low Performer</v>
      </c>
    </row>
    <row r="720" spans="2:24" x14ac:dyDescent="0.3">
      <c r="B720" t="s">
        <v>19</v>
      </c>
      <c r="C720" t="s">
        <v>25</v>
      </c>
      <c r="D720">
        <v>1</v>
      </c>
      <c r="E720" t="s">
        <v>28</v>
      </c>
      <c r="F720">
        <v>1</v>
      </c>
      <c r="G720" t="s">
        <v>26</v>
      </c>
      <c r="H720">
        <v>3</v>
      </c>
      <c r="I720">
        <v>3433</v>
      </c>
      <c r="J720">
        <v>13</v>
      </c>
      <c r="K720">
        <v>3</v>
      </c>
      <c r="L720">
        <v>1</v>
      </c>
      <c r="M720">
        <v>10</v>
      </c>
      <c r="N720">
        <v>3</v>
      </c>
      <c r="O720">
        <v>2</v>
      </c>
      <c r="P720">
        <v>5</v>
      </c>
      <c r="Q720">
        <v>2</v>
      </c>
      <c r="R720">
        <v>1</v>
      </c>
      <c r="S720" t="s">
        <v>23</v>
      </c>
      <c r="T720" t="s">
        <v>37</v>
      </c>
      <c r="U720" t="str">
        <f>IF(Table1[[#This Row],[YearsSince
LastPromotion]]&gt; 4, "Delayed", "Normal")</f>
        <v>Normal</v>
      </c>
      <c r="V720" t="str">
        <f>IF(Table1[[#This Row],[Years
InCurrentRole]]&gt;4, "Role Stagnent", "Normal")</f>
        <v>Normal</v>
      </c>
      <c r="W720" t="str">
        <f>IF(AND(Table1[[#This Row],[Years
InCurrentRole]]&gt; 4, Table1[[#This Row],[Performance
Rating]]&gt;=3), "High Risk", "Normal")</f>
        <v>Normal</v>
      </c>
      <c r="X720" t="str">
        <f>IF(Table1[[#This Row],[Performance
Rating]]&gt;=4, "High Performer", "Low Performer")</f>
        <v>Low Performer</v>
      </c>
    </row>
    <row r="721" spans="2:24" x14ac:dyDescent="0.3">
      <c r="B721" t="s">
        <v>19</v>
      </c>
      <c r="C721" t="s">
        <v>25</v>
      </c>
      <c r="D721">
        <v>1</v>
      </c>
      <c r="E721" t="s">
        <v>28</v>
      </c>
      <c r="F721">
        <v>2</v>
      </c>
      <c r="G721" t="s">
        <v>33</v>
      </c>
      <c r="H721">
        <v>2</v>
      </c>
      <c r="I721">
        <v>4325</v>
      </c>
      <c r="J721">
        <v>15</v>
      </c>
      <c r="K721">
        <v>3</v>
      </c>
      <c r="L721">
        <v>0</v>
      </c>
      <c r="M721">
        <v>5</v>
      </c>
      <c r="N721">
        <v>2</v>
      </c>
      <c r="O721">
        <v>3</v>
      </c>
      <c r="P721">
        <v>5</v>
      </c>
      <c r="Q721">
        <v>2</v>
      </c>
      <c r="R721">
        <v>1</v>
      </c>
      <c r="S721" t="s">
        <v>34</v>
      </c>
      <c r="T721" t="s">
        <v>37</v>
      </c>
      <c r="U721" t="str">
        <f>IF(Table1[[#This Row],[YearsSince
LastPromotion]]&gt; 4, "Delayed", "Normal")</f>
        <v>Normal</v>
      </c>
      <c r="V721" t="str">
        <f>IF(Table1[[#This Row],[Years
InCurrentRole]]&gt;4, "Role Stagnent", "Normal")</f>
        <v>Normal</v>
      </c>
      <c r="W721" t="str">
        <f>IF(AND(Table1[[#This Row],[Years
InCurrentRole]]&gt; 4, Table1[[#This Row],[Performance
Rating]]&gt;=3), "High Risk", "Normal")</f>
        <v>Normal</v>
      </c>
      <c r="X721" t="str">
        <f>IF(Table1[[#This Row],[Performance
Rating]]&gt;=4, "High Performer", "Low Performer")</f>
        <v>Low Performer</v>
      </c>
    </row>
    <row r="722" spans="2:24" x14ac:dyDescent="0.3">
      <c r="B722" t="s">
        <v>27</v>
      </c>
      <c r="C722" t="s">
        <v>25</v>
      </c>
      <c r="D722">
        <v>1</v>
      </c>
      <c r="E722" t="s">
        <v>28</v>
      </c>
      <c r="F722">
        <v>2</v>
      </c>
      <c r="G722" t="s">
        <v>33</v>
      </c>
      <c r="H722">
        <v>2</v>
      </c>
      <c r="I722">
        <v>4855</v>
      </c>
      <c r="J722">
        <v>11</v>
      </c>
      <c r="K722">
        <v>3</v>
      </c>
      <c r="L722">
        <v>2</v>
      </c>
      <c r="M722">
        <v>7</v>
      </c>
      <c r="N722">
        <v>2</v>
      </c>
      <c r="O722">
        <v>3</v>
      </c>
      <c r="P722">
        <v>5</v>
      </c>
      <c r="Q722">
        <v>2</v>
      </c>
      <c r="R722">
        <v>1</v>
      </c>
      <c r="S722" t="s">
        <v>34</v>
      </c>
      <c r="T722" t="s">
        <v>37</v>
      </c>
      <c r="U722" t="str">
        <f>IF(Table1[[#This Row],[YearsSince
LastPromotion]]&gt; 4, "Delayed", "Normal")</f>
        <v>Normal</v>
      </c>
      <c r="V722" t="str">
        <f>IF(Table1[[#This Row],[Years
InCurrentRole]]&gt;4, "Role Stagnent", "Normal")</f>
        <v>Normal</v>
      </c>
      <c r="W722" t="str">
        <f>IF(AND(Table1[[#This Row],[Years
InCurrentRole]]&gt; 4, Table1[[#This Row],[Performance
Rating]]&gt;=3), "High Risk", "Normal")</f>
        <v>Normal</v>
      </c>
      <c r="X722" t="str">
        <f>IF(Table1[[#This Row],[Performance
Rating]]&gt;=4, "High Performer", "Low Performer")</f>
        <v>Low Performer</v>
      </c>
    </row>
    <row r="723" spans="2:24" x14ac:dyDescent="0.3">
      <c r="B723" t="s">
        <v>19</v>
      </c>
      <c r="C723" t="s">
        <v>20</v>
      </c>
      <c r="D723">
        <v>1</v>
      </c>
      <c r="E723" t="s">
        <v>28</v>
      </c>
      <c r="F723">
        <v>2</v>
      </c>
      <c r="G723" t="s">
        <v>32</v>
      </c>
      <c r="H723">
        <v>3</v>
      </c>
      <c r="I723">
        <v>5869</v>
      </c>
      <c r="J723">
        <v>11</v>
      </c>
      <c r="K723">
        <v>3</v>
      </c>
      <c r="L723">
        <v>0</v>
      </c>
      <c r="M723">
        <v>8</v>
      </c>
      <c r="N723">
        <v>2</v>
      </c>
      <c r="O723">
        <v>3</v>
      </c>
      <c r="P723">
        <v>5</v>
      </c>
      <c r="Q723">
        <v>2</v>
      </c>
      <c r="R723">
        <v>1</v>
      </c>
      <c r="S723" t="s">
        <v>34</v>
      </c>
      <c r="T723" t="s">
        <v>37</v>
      </c>
      <c r="U723" t="str">
        <f>IF(Table1[[#This Row],[YearsSince
LastPromotion]]&gt; 4, "Delayed", "Normal")</f>
        <v>Normal</v>
      </c>
      <c r="V723" t="str">
        <f>IF(Table1[[#This Row],[Years
InCurrentRole]]&gt;4, "Role Stagnent", "Normal")</f>
        <v>Normal</v>
      </c>
      <c r="W723" t="str">
        <f>IF(AND(Table1[[#This Row],[Years
InCurrentRole]]&gt; 4, Table1[[#This Row],[Performance
Rating]]&gt;=3), "High Risk", "Normal")</f>
        <v>Normal</v>
      </c>
      <c r="X723" t="str">
        <f>IF(Table1[[#This Row],[Performance
Rating]]&gt;=4, "High Performer", "Low Performer")</f>
        <v>Low Performer</v>
      </c>
    </row>
    <row r="724" spans="2:24" x14ac:dyDescent="0.3">
      <c r="B724" t="s">
        <v>19</v>
      </c>
      <c r="C724" t="s">
        <v>20</v>
      </c>
      <c r="D724">
        <v>1</v>
      </c>
      <c r="E724" t="s">
        <v>21</v>
      </c>
      <c r="F724">
        <v>2</v>
      </c>
      <c r="G724" t="s">
        <v>32</v>
      </c>
      <c r="H724">
        <v>4</v>
      </c>
      <c r="I724">
        <v>6583</v>
      </c>
      <c r="J724">
        <v>11</v>
      </c>
      <c r="K724">
        <v>3</v>
      </c>
      <c r="L724">
        <v>1</v>
      </c>
      <c r="M724">
        <v>8</v>
      </c>
      <c r="N724">
        <v>2</v>
      </c>
      <c r="O724">
        <v>3</v>
      </c>
      <c r="P724">
        <v>5</v>
      </c>
      <c r="Q724">
        <v>2</v>
      </c>
      <c r="R724">
        <v>1</v>
      </c>
      <c r="S724" t="s">
        <v>34</v>
      </c>
      <c r="T724" t="s">
        <v>37</v>
      </c>
      <c r="U724" t="str">
        <f>IF(Table1[[#This Row],[YearsSince
LastPromotion]]&gt; 4, "Delayed", "Normal")</f>
        <v>Normal</v>
      </c>
      <c r="V724" t="str">
        <f>IF(Table1[[#This Row],[Years
InCurrentRole]]&gt;4, "Role Stagnent", "Normal")</f>
        <v>Normal</v>
      </c>
      <c r="W724" t="str">
        <f>IF(AND(Table1[[#This Row],[Years
InCurrentRole]]&gt; 4, Table1[[#This Row],[Performance
Rating]]&gt;=3), "High Risk", "Normal")</f>
        <v>Normal</v>
      </c>
      <c r="X724" t="str">
        <f>IF(Table1[[#This Row],[Performance
Rating]]&gt;=4, "High Performer", "Low Performer")</f>
        <v>Low Performer</v>
      </c>
    </row>
    <row r="725" spans="2:24" x14ac:dyDescent="0.3">
      <c r="B725" t="s">
        <v>27</v>
      </c>
      <c r="C725" t="s">
        <v>25</v>
      </c>
      <c r="D725">
        <v>1</v>
      </c>
      <c r="E725" t="s">
        <v>28</v>
      </c>
      <c r="F725">
        <v>5</v>
      </c>
      <c r="G725" t="s">
        <v>22</v>
      </c>
      <c r="H725">
        <v>1</v>
      </c>
      <c r="I725">
        <v>19859</v>
      </c>
      <c r="J725">
        <v>13</v>
      </c>
      <c r="K725">
        <v>3</v>
      </c>
      <c r="L725">
        <v>1</v>
      </c>
      <c r="M725">
        <v>24</v>
      </c>
      <c r="N725">
        <v>2</v>
      </c>
      <c r="O725">
        <v>3</v>
      </c>
      <c r="P725">
        <v>5</v>
      </c>
      <c r="Q725">
        <v>2</v>
      </c>
      <c r="R725">
        <v>1</v>
      </c>
      <c r="S725" t="s">
        <v>34</v>
      </c>
      <c r="T725" t="s">
        <v>37</v>
      </c>
      <c r="U725" t="str">
        <f>IF(Table1[[#This Row],[YearsSince
LastPromotion]]&gt; 4, "Delayed", "Normal")</f>
        <v>Normal</v>
      </c>
      <c r="V725" t="str">
        <f>IF(Table1[[#This Row],[Years
InCurrentRole]]&gt;4, "Role Stagnent", "Normal")</f>
        <v>Normal</v>
      </c>
      <c r="W725" t="str">
        <f>IF(AND(Table1[[#This Row],[Years
InCurrentRole]]&gt; 4, Table1[[#This Row],[Performance
Rating]]&gt;=3), "High Risk", "Normal")</f>
        <v>Normal</v>
      </c>
      <c r="X725" t="str">
        <f>IF(Table1[[#This Row],[Performance
Rating]]&gt;=4, "High Performer", "Low Performer")</f>
        <v>Low Performer</v>
      </c>
    </row>
    <row r="726" spans="2:24" x14ac:dyDescent="0.3">
      <c r="B726" t="s">
        <v>19</v>
      </c>
      <c r="C726" t="s">
        <v>36</v>
      </c>
      <c r="D726">
        <v>1</v>
      </c>
      <c r="E726" t="s">
        <v>21</v>
      </c>
      <c r="F726">
        <v>5</v>
      </c>
      <c r="G726" t="s">
        <v>22</v>
      </c>
      <c r="H726">
        <v>3</v>
      </c>
      <c r="I726">
        <v>19658</v>
      </c>
      <c r="J726">
        <v>11</v>
      </c>
      <c r="K726">
        <v>3</v>
      </c>
      <c r="L726">
        <v>1</v>
      </c>
      <c r="M726">
        <v>27</v>
      </c>
      <c r="N726">
        <v>2</v>
      </c>
      <c r="O726">
        <v>3</v>
      </c>
      <c r="P726">
        <v>5</v>
      </c>
      <c r="Q726">
        <v>2</v>
      </c>
      <c r="R726">
        <v>1</v>
      </c>
      <c r="S726" t="s">
        <v>34</v>
      </c>
      <c r="T726" t="s">
        <v>37</v>
      </c>
      <c r="U726" t="str">
        <f>IF(Table1[[#This Row],[YearsSince
LastPromotion]]&gt; 4, "Delayed", "Normal")</f>
        <v>Normal</v>
      </c>
      <c r="V726" t="str">
        <f>IF(Table1[[#This Row],[Years
InCurrentRole]]&gt;4, "Role Stagnent", "Normal")</f>
        <v>Normal</v>
      </c>
      <c r="W726" t="str">
        <f>IF(AND(Table1[[#This Row],[Years
InCurrentRole]]&gt; 4, Table1[[#This Row],[Performance
Rating]]&gt;=3), "High Risk", "Normal")</f>
        <v>Normal</v>
      </c>
      <c r="X726" t="str">
        <f>IF(Table1[[#This Row],[Performance
Rating]]&gt;=4, "High Performer", "Low Performer")</f>
        <v>Low Performer</v>
      </c>
    </row>
    <row r="727" spans="2:24" x14ac:dyDescent="0.3">
      <c r="B727" t="s">
        <v>19</v>
      </c>
      <c r="C727" t="s">
        <v>20</v>
      </c>
      <c r="D727">
        <v>1</v>
      </c>
      <c r="E727" t="s">
        <v>21</v>
      </c>
      <c r="F727">
        <v>2</v>
      </c>
      <c r="G727" t="s">
        <v>32</v>
      </c>
      <c r="H727">
        <v>3</v>
      </c>
      <c r="I727">
        <v>4601</v>
      </c>
      <c r="J727">
        <v>16</v>
      </c>
      <c r="K727">
        <v>3</v>
      </c>
      <c r="L727">
        <v>0</v>
      </c>
      <c r="M727">
        <v>5</v>
      </c>
      <c r="N727">
        <v>3</v>
      </c>
      <c r="O727">
        <v>3</v>
      </c>
      <c r="P727">
        <v>5</v>
      </c>
      <c r="Q727">
        <v>2</v>
      </c>
      <c r="R727">
        <v>1</v>
      </c>
      <c r="S727" t="s">
        <v>34</v>
      </c>
      <c r="T727" t="s">
        <v>37</v>
      </c>
      <c r="U727" t="str">
        <f>IF(Table1[[#This Row],[YearsSince
LastPromotion]]&gt; 4, "Delayed", "Normal")</f>
        <v>Normal</v>
      </c>
      <c r="V727" t="str">
        <f>IF(Table1[[#This Row],[Years
InCurrentRole]]&gt;4, "Role Stagnent", "Normal")</f>
        <v>Normal</v>
      </c>
      <c r="W727" t="str">
        <f>IF(AND(Table1[[#This Row],[Years
InCurrentRole]]&gt; 4, Table1[[#This Row],[Performance
Rating]]&gt;=3), "High Risk", "Normal")</f>
        <v>Normal</v>
      </c>
      <c r="X727" t="str">
        <f>IF(Table1[[#This Row],[Performance
Rating]]&gt;=4, "High Performer", "Low Performer")</f>
        <v>Low Performer</v>
      </c>
    </row>
    <row r="728" spans="2:24" x14ac:dyDescent="0.3">
      <c r="B728" t="s">
        <v>19</v>
      </c>
      <c r="C728" t="s">
        <v>25</v>
      </c>
      <c r="D728">
        <v>1</v>
      </c>
      <c r="E728" t="s">
        <v>21</v>
      </c>
      <c r="F728">
        <v>1</v>
      </c>
      <c r="G728" t="s">
        <v>26</v>
      </c>
      <c r="H728">
        <v>4</v>
      </c>
      <c r="I728">
        <v>2553</v>
      </c>
      <c r="J728">
        <v>16</v>
      </c>
      <c r="K728">
        <v>3</v>
      </c>
      <c r="L728">
        <v>0</v>
      </c>
      <c r="M728">
        <v>6</v>
      </c>
      <c r="N728">
        <v>3</v>
      </c>
      <c r="O728">
        <v>3</v>
      </c>
      <c r="P728">
        <v>5</v>
      </c>
      <c r="Q728">
        <v>2</v>
      </c>
      <c r="R728">
        <v>1</v>
      </c>
      <c r="S728" t="s">
        <v>34</v>
      </c>
      <c r="T728" t="s">
        <v>37</v>
      </c>
      <c r="U728" t="str">
        <f>IF(Table1[[#This Row],[YearsSince
LastPromotion]]&gt; 4, "Delayed", "Normal")</f>
        <v>Normal</v>
      </c>
      <c r="V728" t="str">
        <f>IF(Table1[[#This Row],[Years
InCurrentRole]]&gt;4, "Role Stagnent", "Normal")</f>
        <v>Normal</v>
      </c>
      <c r="W728" t="str">
        <f>IF(AND(Table1[[#This Row],[Years
InCurrentRole]]&gt; 4, Table1[[#This Row],[Performance
Rating]]&gt;=3), "High Risk", "Normal")</f>
        <v>Normal</v>
      </c>
      <c r="X728" t="str">
        <f>IF(Table1[[#This Row],[Performance
Rating]]&gt;=4, "High Performer", "Low Performer")</f>
        <v>Low Performer</v>
      </c>
    </row>
    <row r="729" spans="2:24" x14ac:dyDescent="0.3">
      <c r="B729" t="s">
        <v>19</v>
      </c>
      <c r="C729" t="s">
        <v>25</v>
      </c>
      <c r="D729">
        <v>1</v>
      </c>
      <c r="E729" t="s">
        <v>21</v>
      </c>
      <c r="F729">
        <v>2</v>
      </c>
      <c r="G729" t="s">
        <v>33</v>
      </c>
      <c r="H729">
        <v>1</v>
      </c>
      <c r="I729">
        <v>4440</v>
      </c>
      <c r="J729">
        <v>19</v>
      </c>
      <c r="K729">
        <v>3</v>
      </c>
      <c r="L729">
        <v>0</v>
      </c>
      <c r="M729">
        <v>9</v>
      </c>
      <c r="N729">
        <v>3</v>
      </c>
      <c r="O729">
        <v>3</v>
      </c>
      <c r="P729">
        <v>5</v>
      </c>
      <c r="Q729">
        <v>2</v>
      </c>
      <c r="R729">
        <v>1</v>
      </c>
      <c r="S729" t="s">
        <v>34</v>
      </c>
      <c r="T729" t="s">
        <v>37</v>
      </c>
      <c r="U729" t="str">
        <f>IF(Table1[[#This Row],[YearsSince
LastPromotion]]&gt; 4, "Delayed", "Normal")</f>
        <v>Normal</v>
      </c>
      <c r="V729" t="str">
        <f>IF(Table1[[#This Row],[Years
InCurrentRole]]&gt;4, "Role Stagnent", "Normal")</f>
        <v>Normal</v>
      </c>
      <c r="W729" t="str">
        <f>IF(AND(Table1[[#This Row],[Years
InCurrentRole]]&gt; 4, Table1[[#This Row],[Performance
Rating]]&gt;=3), "High Risk", "Normal")</f>
        <v>Normal</v>
      </c>
      <c r="X729" t="str">
        <f>IF(Table1[[#This Row],[Performance
Rating]]&gt;=4, "High Performer", "Low Performer")</f>
        <v>Low Performer</v>
      </c>
    </row>
    <row r="730" spans="2:24" x14ac:dyDescent="0.3">
      <c r="B730" t="s">
        <v>19</v>
      </c>
      <c r="C730" t="s">
        <v>25</v>
      </c>
      <c r="D730">
        <v>1</v>
      </c>
      <c r="E730" t="s">
        <v>21</v>
      </c>
      <c r="F730">
        <v>2</v>
      </c>
      <c r="G730" t="s">
        <v>29</v>
      </c>
      <c r="H730">
        <v>3</v>
      </c>
      <c r="I730">
        <v>3149</v>
      </c>
      <c r="J730">
        <v>20</v>
      </c>
      <c r="K730">
        <v>4</v>
      </c>
      <c r="L730">
        <v>1</v>
      </c>
      <c r="M730">
        <v>9</v>
      </c>
      <c r="N730">
        <v>3</v>
      </c>
      <c r="O730">
        <v>3</v>
      </c>
      <c r="P730">
        <v>5</v>
      </c>
      <c r="Q730">
        <v>2</v>
      </c>
      <c r="R730">
        <v>1</v>
      </c>
      <c r="S730" t="s">
        <v>34</v>
      </c>
      <c r="T730" t="s">
        <v>37</v>
      </c>
      <c r="U730" t="str">
        <f>IF(Table1[[#This Row],[YearsSince
LastPromotion]]&gt; 4, "Delayed", "Normal")</f>
        <v>Normal</v>
      </c>
      <c r="V730" t="str">
        <f>IF(Table1[[#This Row],[Years
InCurrentRole]]&gt;4, "Role Stagnent", "Normal")</f>
        <v>Normal</v>
      </c>
      <c r="W730" t="str">
        <f>IF(AND(Table1[[#This Row],[Years
InCurrentRole]]&gt; 4, Table1[[#This Row],[Performance
Rating]]&gt;=3), "High Risk", "Normal")</f>
        <v>Normal</v>
      </c>
      <c r="X730" t="str">
        <f>IF(Table1[[#This Row],[Performance
Rating]]&gt;=4, "High Performer", "Low Performer")</f>
        <v>High Performer</v>
      </c>
    </row>
    <row r="731" spans="2:24" x14ac:dyDescent="0.3">
      <c r="B731" t="s">
        <v>19</v>
      </c>
      <c r="C731" t="s">
        <v>25</v>
      </c>
      <c r="D731">
        <v>1</v>
      </c>
      <c r="E731" t="s">
        <v>21</v>
      </c>
      <c r="F731">
        <v>1</v>
      </c>
      <c r="G731" t="s">
        <v>29</v>
      </c>
      <c r="H731">
        <v>1</v>
      </c>
      <c r="I731">
        <v>2576</v>
      </c>
      <c r="J731">
        <v>16</v>
      </c>
      <c r="K731">
        <v>3</v>
      </c>
      <c r="L731">
        <v>1</v>
      </c>
      <c r="M731">
        <v>8</v>
      </c>
      <c r="N731">
        <v>5</v>
      </c>
      <c r="O731">
        <v>3</v>
      </c>
      <c r="P731">
        <v>5</v>
      </c>
      <c r="Q731">
        <v>2</v>
      </c>
      <c r="R731">
        <v>1</v>
      </c>
      <c r="S731" t="s">
        <v>34</v>
      </c>
      <c r="T731" t="s">
        <v>37</v>
      </c>
      <c r="U731" t="str">
        <f>IF(Table1[[#This Row],[YearsSince
LastPromotion]]&gt; 4, "Delayed", "Normal")</f>
        <v>Normal</v>
      </c>
      <c r="V731" t="str">
        <f>IF(Table1[[#This Row],[Years
InCurrentRole]]&gt;4, "Role Stagnent", "Normal")</f>
        <v>Normal</v>
      </c>
      <c r="W731" t="str">
        <f>IF(AND(Table1[[#This Row],[Years
InCurrentRole]]&gt; 4, Table1[[#This Row],[Performance
Rating]]&gt;=3), "High Risk", "Normal")</f>
        <v>Normal</v>
      </c>
      <c r="X731" t="str">
        <f>IF(Table1[[#This Row],[Performance
Rating]]&gt;=4, "High Performer", "Low Performer")</f>
        <v>Low Performer</v>
      </c>
    </row>
    <row r="732" spans="2:24" x14ac:dyDescent="0.3">
      <c r="B732" t="s">
        <v>19</v>
      </c>
      <c r="C732" t="s">
        <v>25</v>
      </c>
      <c r="D732">
        <v>1</v>
      </c>
      <c r="E732" t="s">
        <v>28</v>
      </c>
      <c r="F732">
        <v>1</v>
      </c>
      <c r="G732" t="s">
        <v>29</v>
      </c>
      <c r="H732">
        <v>3</v>
      </c>
      <c r="I732">
        <v>3708</v>
      </c>
      <c r="J732">
        <v>14</v>
      </c>
      <c r="K732">
        <v>3</v>
      </c>
      <c r="L732">
        <v>0</v>
      </c>
      <c r="M732">
        <v>9</v>
      </c>
      <c r="N732">
        <v>5</v>
      </c>
      <c r="O732">
        <v>3</v>
      </c>
      <c r="P732">
        <v>5</v>
      </c>
      <c r="Q732">
        <v>2</v>
      </c>
      <c r="R732">
        <v>1</v>
      </c>
      <c r="S732" t="s">
        <v>34</v>
      </c>
      <c r="T732" t="s">
        <v>37</v>
      </c>
      <c r="U732" t="str">
        <f>IF(Table1[[#This Row],[YearsSince
LastPromotion]]&gt; 4, "Delayed", "Normal")</f>
        <v>Normal</v>
      </c>
      <c r="V732" t="str">
        <f>IF(Table1[[#This Row],[Years
InCurrentRole]]&gt;4, "Role Stagnent", "Normal")</f>
        <v>Normal</v>
      </c>
      <c r="W732" t="str">
        <f>IF(AND(Table1[[#This Row],[Years
InCurrentRole]]&gt; 4, Table1[[#This Row],[Performance
Rating]]&gt;=3), "High Risk", "Normal")</f>
        <v>Normal</v>
      </c>
      <c r="X732" t="str">
        <f>IF(Table1[[#This Row],[Performance
Rating]]&gt;=4, "High Performer", "Low Performer")</f>
        <v>Low Performer</v>
      </c>
    </row>
    <row r="733" spans="2:24" x14ac:dyDescent="0.3">
      <c r="B733" t="s">
        <v>19</v>
      </c>
      <c r="C733" t="s">
        <v>25</v>
      </c>
      <c r="D733">
        <v>1</v>
      </c>
      <c r="E733" t="s">
        <v>28</v>
      </c>
      <c r="F733">
        <v>1</v>
      </c>
      <c r="G733" t="s">
        <v>29</v>
      </c>
      <c r="H733">
        <v>4</v>
      </c>
      <c r="I733">
        <v>2647</v>
      </c>
      <c r="J733">
        <v>13</v>
      </c>
      <c r="K733">
        <v>3</v>
      </c>
      <c r="L733">
        <v>0</v>
      </c>
      <c r="M733">
        <v>5</v>
      </c>
      <c r="N733">
        <v>6</v>
      </c>
      <c r="O733">
        <v>4</v>
      </c>
      <c r="P733">
        <v>5</v>
      </c>
      <c r="Q733">
        <v>2</v>
      </c>
      <c r="R733">
        <v>1</v>
      </c>
      <c r="S733" t="s">
        <v>34</v>
      </c>
      <c r="T733" t="s">
        <v>37</v>
      </c>
      <c r="U733" t="str">
        <f>IF(Table1[[#This Row],[YearsSince
LastPromotion]]&gt; 4, "Delayed", "Normal")</f>
        <v>Normal</v>
      </c>
      <c r="V733" t="str">
        <f>IF(Table1[[#This Row],[Years
InCurrentRole]]&gt;4, "Role Stagnent", "Normal")</f>
        <v>Normal</v>
      </c>
      <c r="W733" t="str">
        <f>IF(AND(Table1[[#This Row],[Years
InCurrentRole]]&gt; 4, Table1[[#This Row],[Performance
Rating]]&gt;=3), "High Risk", "Normal")</f>
        <v>Normal</v>
      </c>
      <c r="X733" t="str">
        <f>IF(Table1[[#This Row],[Performance
Rating]]&gt;=4, "High Performer", "Low Performer")</f>
        <v>Low Performer</v>
      </c>
    </row>
    <row r="734" spans="2:24" x14ac:dyDescent="0.3">
      <c r="B734" t="s">
        <v>27</v>
      </c>
      <c r="C734" t="s">
        <v>25</v>
      </c>
      <c r="D734">
        <v>1</v>
      </c>
      <c r="E734" t="s">
        <v>28</v>
      </c>
      <c r="F734">
        <v>1</v>
      </c>
      <c r="G734" t="s">
        <v>26</v>
      </c>
      <c r="H734">
        <v>3</v>
      </c>
      <c r="I734">
        <v>2058</v>
      </c>
      <c r="J734">
        <v>14</v>
      </c>
      <c r="K734">
        <v>3</v>
      </c>
      <c r="L734">
        <v>0</v>
      </c>
      <c r="M734">
        <v>7</v>
      </c>
      <c r="N734">
        <v>1</v>
      </c>
      <c r="O734">
        <v>2</v>
      </c>
      <c r="P734">
        <v>6</v>
      </c>
      <c r="Q734">
        <v>2</v>
      </c>
      <c r="R734">
        <v>1</v>
      </c>
      <c r="S734" t="s">
        <v>23</v>
      </c>
      <c r="T734" t="s">
        <v>37</v>
      </c>
      <c r="U734" t="str">
        <f>IF(Table1[[#This Row],[YearsSince
LastPromotion]]&gt; 4, "Delayed", "Normal")</f>
        <v>Normal</v>
      </c>
      <c r="V734" t="str">
        <f>IF(Table1[[#This Row],[Years
InCurrentRole]]&gt;4, "Role Stagnent", "Normal")</f>
        <v>Normal</v>
      </c>
      <c r="W734" t="str">
        <f>IF(AND(Table1[[#This Row],[Years
InCurrentRole]]&gt; 4, Table1[[#This Row],[Performance
Rating]]&gt;=3), "High Risk", "Normal")</f>
        <v>Normal</v>
      </c>
      <c r="X734" t="str">
        <f>IF(Table1[[#This Row],[Performance
Rating]]&gt;=4, "High Performer", "Low Performer")</f>
        <v>Low Performer</v>
      </c>
    </row>
    <row r="735" spans="2:24" x14ac:dyDescent="0.3">
      <c r="B735" t="s">
        <v>19</v>
      </c>
      <c r="C735" t="s">
        <v>25</v>
      </c>
      <c r="D735">
        <v>1</v>
      </c>
      <c r="E735" t="s">
        <v>21</v>
      </c>
      <c r="F735">
        <v>1</v>
      </c>
      <c r="G735" t="s">
        <v>26</v>
      </c>
      <c r="H735">
        <v>4</v>
      </c>
      <c r="I735">
        <v>3445</v>
      </c>
      <c r="J735">
        <v>11</v>
      </c>
      <c r="K735">
        <v>3</v>
      </c>
      <c r="L735">
        <v>0</v>
      </c>
      <c r="M735">
        <v>6</v>
      </c>
      <c r="N735">
        <v>5</v>
      </c>
      <c r="O735">
        <v>2</v>
      </c>
      <c r="P735">
        <v>6</v>
      </c>
      <c r="Q735">
        <v>2</v>
      </c>
      <c r="R735">
        <v>1</v>
      </c>
      <c r="S735" t="s">
        <v>23</v>
      </c>
      <c r="T735" t="s">
        <v>37</v>
      </c>
      <c r="U735" t="str">
        <f>IF(Table1[[#This Row],[YearsSince
LastPromotion]]&gt; 4, "Delayed", "Normal")</f>
        <v>Normal</v>
      </c>
      <c r="V735" t="str">
        <f>IF(Table1[[#This Row],[Years
InCurrentRole]]&gt;4, "Role Stagnent", "Normal")</f>
        <v>Normal</v>
      </c>
      <c r="W735" t="str">
        <f>IF(AND(Table1[[#This Row],[Years
InCurrentRole]]&gt; 4, Table1[[#This Row],[Performance
Rating]]&gt;=3), "High Risk", "Normal")</f>
        <v>Normal</v>
      </c>
      <c r="X735" t="str">
        <f>IF(Table1[[#This Row],[Performance
Rating]]&gt;=4, "High Performer", "Low Performer")</f>
        <v>Low Performer</v>
      </c>
    </row>
    <row r="736" spans="2:24" x14ac:dyDescent="0.3">
      <c r="B736" t="s">
        <v>19</v>
      </c>
      <c r="C736" t="s">
        <v>36</v>
      </c>
      <c r="D736">
        <v>1</v>
      </c>
      <c r="E736" t="s">
        <v>28</v>
      </c>
      <c r="F736">
        <v>1</v>
      </c>
      <c r="G736" t="s">
        <v>36</v>
      </c>
      <c r="H736">
        <v>2</v>
      </c>
      <c r="I736">
        <v>2991</v>
      </c>
      <c r="J736">
        <v>11</v>
      </c>
      <c r="K736">
        <v>3</v>
      </c>
      <c r="L736">
        <v>1</v>
      </c>
      <c r="M736">
        <v>7</v>
      </c>
      <c r="N736">
        <v>2</v>
      </c>
      <c r="O736">
        <v>3</v>
      </c>
      <c r="P736">
        <v>6</v>
      </c>
      <c r="Q736">
        <v>2</v>
      </c>
      <c r="R736">
        <v>1</v>
      </c>
      <c r="S736" t="s">
        <v>34</v>
      </c>
      <c r="T736" t="s">
        <v>37</v>
      </c>
      <c r="U736" t="str">
        <f>IF(Table1[[#This Row],[YearsSince
LastPromotion]]&gt; 4, "Delayed", "Normal")</f>
        <v>Normal</v>
      </c>
      <c r="V736" t="str">
        <f>IF(Table1[[#This Row],[Years
InCurrentRole]]&gt;4, "Role Stagnent", "Normal")</f>
        <v>Normal</v>
      </c>
      <c r="W736" t="str">
        <f>IF(AND(Table1[[#This Row],[Years
InCurrentRole]]&gt; 4, Table1[[#This Row],[Performance
Rating]]&gt;=3), "High Risk", "Normal")</f>
        <v>Normal</v>
      </c>
      <c r="X736" t="str">
        <f>IF(Table1[[#This Row],[Performance
Rating]]&gt;=4, "High Performer", "Low Performer")</f>
        <v>Low Performer</v>
      </c>
    </row>
    <row r="737" spans="2:24" x14ac:dyDescent="0.3">
      <c r="B737" t="s">
        <v>19</v>
      </c>
      <c r="C737" t="s">
        <v>25</v>
      </c>
      <c r="D737">
        <v>1</v>
      </c>
      <c r="E737" t="s">
        <v>21</v>
      </c>
      <c r="F737">
        <v>2</v>
      </c>
      <c r="G737" t="s">
        <v>31</v>
      </c>
      <c r="H737">
        <v>4</v>
      </c>
      <c r="I737">
        <v>5731</v>
      </c>
      <c r="J737">
        <v>13</v>
      </c>
      <c r="K737">
        <v>3</v>
      </c>
      <c r="L737">
        <v>2</v>
      </c>
      <c r="M737">
        <v>9</v>
      </c>
      <c r="N737">
        <v>2</v>
      </c>
      <c r="O737">
        <v>3</v>
      </c>
      <c r="P737">
        <v>6</v>
      </c>
      <c r="Q737">
        <v>2</v>
      </c>
      <c r="R737">
        <v>1</v>
      </c>
      <c r="S737" t="s">
        <v>34</v>
      </c>
      <c r="T737" t="s">
        <v>37</v>
      </c>
      <c r="U737" t="str">
        <f>IF(Table1[[#This Row],[YearsSince
LastPromotion]]&gt; 4, "Delayed", "Normal")</f>
        <v>Normal</v>
      </c>
      <c r="V737" t="str">
        <f>IF(Table1[[#This Row],[Years
InCurrentRole]]&gt;4, "Role Stagnent", "Normal")</f>
        <v>Normal</v>
      </c>
      <c r="W737" t="str">
        <f>IF(AND(Table1[[#This Row],[Years
InCurrentRole]]&gt; 4, Table1[[#This Row],[Performance
Rating]]&gt;=3), "High Risk", "Normal")</f>
        <v>Normal</v>
      </c>
      <c r="X737" t="str">
        <f>IF(Table1[[#This Row],[Performance
Rating]]&gt;=4, "High Performer", "Low Performer")</f>
        <v>Low Performer</v>
      </c>
    </row>
    <row r="738" spans="2:24" x14ac:dyDescent="0.3">
      <c r="B738" t="s">
        <v>19</v>
      </c>
      <c r="C738" t="s">
        <v>25</v>
      </c>
      <c r="D738">
        <v>1</v>
      </c>
      <c r="E738" t="s">
        <v>21</v>
      </c>
      <c r="F738">
        <v>2</v>
      </c>
      <c r="G738" t="s">
        <v>29</v>
      </c>
      <c r="H738">
        <v>2</v>
      </c>
      <c r="I738">
        <v>4425</v>
      </c>
      <c r="J738">
        <v>11</v>
      </c>
      <c r="K738">
        <v>3</v>
      </c>
      <c r="L738">
        <v>0</v>
      </c>
      <c r="M738">
        <v>10</v>
      </c>
      <c r="N738">
        <v>5</v>
      </c>
      <c r="O738">
        <v>3</v>
      </c>
      <c r="P738">
        <v>6</v>
      </c>
      <c r="Q738">
        <v>2</v>
      </c>
      <c r="R738">
        <v>1</v>
      </c>
      <c r="S738" t="s">
        <v>34</v>
      </c>
      <c r="T738" t="s">
        <v>37</v>
      </c>
      <c r="U738" t="str">
        <f>IF(Table1[[#This Row],[YearsSince
LastPromotion]]&gt; 4, "Delayed", "Normal")</f>
        <v>Normal</v>
      </c>
      <c r="V738" t="str">
        <f>IF(Table1[[#This Row],[Years
InCurrentRole]]&gt;4, "Role Stagnent", "Normal")</f>
        <v>Normal</v>
      </c>
      <c r="W738" t="str">
        <f>IF(AND(Table1[[#This Row],[Years
InCurrentRole]]&gt; 4, Table1[[#This Row],[Performance
Rating]]&gt;=3), "High Risk", "Normal")</f>
        <v>Normal</v>
      </c>
      <c r="X738" t="str">
        <f>IF(Table1[[#This Row],[Performance
Rating]]&gt;=4, "High Performer", "Low Performer")</f>
        <v>Low Performer</v>
      </c>
    </row>
    <row r="739" spans="2:24" x14ac:dyDescent="0.3">
      <c r="B739" t="s">
        <v>19</v>
      </c>
      <c r="C739" t="s">
        <v>25</v>
      </c>
      <c r="D739">
        <v>1</v>
      </c>
      <c r="E739" t="s">
        <v>28</v>
      </c>
      <c r="F739">
        <v>1</v>
      </c>
      <c r="G739" t="s">
        <v>29</v>
      </c>
      <c r="H739">
        <v>1</v>
      </c>
      <c r="I739">
        <v>3907</v>
      </c>
      <c r="J739">
        <v>13</v>
      </c>
      <c r="K739">
        <v>3</v>
      </c>
      <c r="L739">
        <v>3</v>
      </c>
      <c r="M739">
        <v>6</v>
      </c>
      <c r="N739">
        <v>2</v>
      </c>
      <c r="O739">
        <v>4</v>
      </c>
      <c r="P739">
        <v>6</v>
      </c>
      <c r="Q739">
        <v>2</v>
      </c>
      <c r="R739">
        <v>1</v>
      </c>
      <c r="S739" t="s">
        <v>34</v>
      </c>
      <c r="T739" t="s">
        <v>37</v>
      </c>
      <c r="U739" t="str">
        <f>IF(Table1[[#This Row],[YearsSince
LastPromotion]]&gt; 4, "Delayed", "Normal")</f>
        <v>Normal</v>
      </c>
      <c r="V739" t="str">
        <f>IF(Table1[[#This Row],[Years
InCurrentRole]]&gt;4, "Role Stagnent", "Normal")</f>
        <v>Normal</v>
      </c>
      <c r="W739" t="str">
        <f>IF(AND(Table1[[#This Row],[Years
InCurrentRole]]&gt; 4, Table1[[#This Row],[Performance
Rating]]&gt;=3), "High Risk", "Normal")</f>
        <v>Normal</v>
      </c>
      <c r="X739" t="str">
        <f>IF(Table1[[#This Row],[Performance
Rating]]&gt;=4, "High Performer", "Low Performer")</f>
        <v>Low Performer</v>
      </c>
    </row>
    <row r="740" spans="2:24" x14ac:dyDescent="0.3">
      <c r="B740" t="s">
        <v>19</v>
      </c>
      <c r="C740" t="s">
        <v>25</v>
      </c>
      <c r="D740">
        <v>1</v>
      </c>
      <c r="E740" t="s">
        <v>21</v>
      </c>
      <c r="F740">
        <v>1</v>
      </c>
      <c r="G740" t="s">
        <v>26</v>
      </c>
      <c r="H740">
        <v>2</v>
      </c>
      <c r="I740">
        <v>2478</v>
      </c>
      <c r="J740">
        <v>12</v>
      </c>
      <c r="K740">
        <v>3</v>
      </c>
      <c r="L740">
        <v>0</v>
      </c>
      <c r="M740">
        <v>4</v>
      </c>
      <c r="N740">
        <v>2</v>
      </c>
      <c r="O740">
        <v>2</v>
      </c>
      <c r="P740">
        <v>4</v>
      </c>
      <c r="Q740">
        <v>3</v>
      </c>
      <c r="R740">
        <v>1</v>
      </c>
      <c r="S740" t="s">
        <v>23</v>
      </c>
      <c r="T740" t="s">
        <v>38</v>
      </c>
      <c r="U740" t="str">
        <f>IF(Table1[[#This Row],[YearsSince
LastPromotion]]&gt; 4, "Delayed", "Normal")</f>
        <v>Normal</v>
      </c>
      <c r="V740" t="str">
        <f>IF(Table1[[#This Row],[Years
InCurrentRole]]&gt;4, "Role Stagnent", "Normal")</f>
        <v>Normal</v>
      </c>
      <c r="W740" t="str">
        <f>IF(AND(Table1[[#This Row],[Years
InCurrentRole]]&gt; 4, Table1[[#This Row],[Performance
Rating]]&gt;=3), "High Risk", "Normal")</f>
        <v>Normal</v>
      </c>
      <c r="X740" t="str">
        <f>IF(Table1[[#This Row],[Performance
Rating]]&gt;=4, "High Performer", "Low Performer")</f>
        <v>Low Performer</v>
      </c>
    </row>
    <row r="741" spans="2:24" x14ac:dyDescent="0.3">
      <c r="B741" t="s">
        <v>19</v>
      </c>
      <c r="C741" t="s">
        <v>25</v>
      </c>
      <c r="D741">
        <v>1</v>
      </c>
      <c r="E741" t="s">
        <v>28</v>
      </c>
      <c r="F741">
        <v>2</v>
      </c>
      <c r="G741" t="s">
        <v>31</v>
      </c>
      <c r="H741">
        <v>3</v>
      </c>
      <c r="I741">
        <v>4617</v>
      </c>
      <c r="J741">
        <v>12</v>
      </c>
      <c r="K741">
        <v>3</v>
      </c>
      <c r="L741">
        <v>0</v>
      </c>
      <c r="M741">
        <v>4</v>
      </c>
      <c r="N741">
        <v>2</v>
      </c>
      <c r="O741">
        <v>2</v>
      </c>
      <c r="P741">
        <v>4</v>
      </c>
      <c r="Q741">
        <v>3</v>
      </c>
      <c r="R741">
        <v>1</v>
      </c>
      <c r="S741" t="s">
        <v>23</v>
      </c>
      <c r="T741" t="s">
        <v>38</v>
      </c>
      <c r="U741" t="str">
        <f>IF(Table1[[#This Row],[YearsSince
LastPromotion]]&gt; 4, "Delayed", "Normal")</f>
        <v>Normal</v>
      </c>
      <c r="V741" t="str">
        <f>IF(Table1[[#This Row],[Years
InCurrentRole]]&gt;4, "Role Stagnent", "Normal")</f>
        <v>Normal</v>
      </c>
      <c r="W741" t="str">
        <f>IF(AND(Table1[[#This Row],[Years
InCurrentRole]]&gt; 4, Table1[[#This Row],[Performance
Rating]]&gt;=3), "High Risk", "Normal")</f>
        <v>Normal</v>
      </c>
      <c r="X741" t="str">
        <f>IF(Table1[[#This Row],[Performance
Rating]]&gt;=4, "High Performer", "Low Performer")</f>
        <v>Low Performer</v>
      </c>
    </row>
    <row r="742" spans="2:24" x14ac:dyDescent="0.3">
      <c r="B742" t="s">
        <v>27</v>
      </c>
      <c r="C742" t="s">
        <v>20</v>
      </c>
      <c r="D742">
        <v>1</v>
      </c>
      <c r="E742" t="s">
        <v>28</v>
      </c>
      <c r="F742">
        <v>2</v>
      </c>
      <c r="G742" t="s">
        <v>32</v>
      </c>
      <c r="H742">
        <v>1</v>
      </c>
      <c r="I742">
        <v>5326</v>
      </c>
      <c r="J742">
        <v>17</v>
      </c>
      <c r="K742">
        <v>3</v>
      </c>
      <c r="L742">
        <v>0</v>
      </c>
      <c r="M742">
        <v>6</v>
      </c>
      <c r="N742">
        <v>2</v>
      </c>
      <c r="O742">
        <v>2</v>
      </c>
      <c r="P742">
        <v>4</v>
      </c>
      <c r="Q742">
        <v>3</v>
      </c>
      <c r="R742">
        <v>1</v>
      </c>
      <c r="S742" t="s">
        <v>23</v>
      </c>
      <c r="T742" t="s">
        <v>38</v>
      </c>
      <c r="U742" t="str">
        <f>IF(Table1[[#This Row],[YearsSince
LastPromotion]]&gt; 4, "Delayed", "Normal")</f>
        <v>Normal</v>
      </c>
      <c r="V742" t="str">
        <f>IF(Table1[[#This Row],[Years
InCurrentRole]]&gt;4, "Role Stagnent", "Normal")</f>
        <v>Normal</v>
      </c>
      <c r="W742" t="str">
        <f>IF(AND(Table1[[#This Row],[Years
InCurrentRole]]&gt; 4, Table1[[#This Row],[Performance
Rating]]&gt;=3), "High Risk", "Normal")</f>
        <v>Normal</v>
      </c>
      <c r="X742" t="str">
        <f>IF(Table1[[#This Row],[Performance
Rating]]&gt;=4, "High Performer", "Low Performer")</f>
        <v>Low Performer</v>
      </c>
    </row>
    <row r="743" spans="2:24" x14ac:dyDescent="0.3">
      <c r="B743" t="s">
        <v>27</v>
      </c>
      <c r="C743" t="s">
        <v>20</v>
      </c>
      <c r="D743">
        <v>1</v>
      </c>
      <c r="E743" t="s">
        <v>21</v>
      </c>
      <c r="F743">
        <v>2</v>
      </c>
      <c r="G743" t="s">
        <v>32</v>
      </c>
      <c r="H743">
        <v>3</v>
      </c>
      <c r="I743">
        <v>5346</v>
      </c>
      <c r="J743">
        <v>13</v>
      </c>
      <c r="K743">
        <v>3</v>
      </c>
      <c r="L743">
        <v>0</v>
      </c>
      <c r="M743">
        <v>7</v>
      </c>
      <c r="N743">
        <v>2</v>
      </c>
      <c r="O743">
        <v>2</v>
      </c>
      <c r="P743">
        <v>4</v>
      </c>
      <c r="Q743">
        <v>3</v>
      </c>
      <c r="R743">
        <v>1</v>
      </c>
      <c r="S743" t="s">
        <v>23</v>
      </c>
      <c r="T743" t="s">
        <v>38</v>
      </c>
      <c r="U743" t="str">
        <f>IF(Table1[[#This Row],[YearsSince
LastPromotion]]&gt; 4, "Delayed", "Normal")</f>
        <v>Normal</v>
      </c>
      <c r="V743" t="str">
        <f>IF(Table1[[#This Row],[Years
InCurrentRole]]&gt;4, "Role Stagnent", "Normal")</f>
        <v>Normal</v>
      </c>
      <c r="W743" t="str">
        <f>IF(AND(Table1[[#This Row],[Years
InCurrentRole]]&gt; 4, Table1[[#This Row],[Performance
Rating]]&gt;=3), "High Risk", "Normal")</f>
        <v>Normal</v>
      </c>
      <c r="X743" t="str">
        <f>IF(Table1[[#This Row],[Performance
Rating]]&gt;=4, "High Performer", "Low Performer")</f>
        <v>Low Performer</v>
      </c>
    </row>
    <row r="744" spans="2:24" x14ac:dyDescent="0.3">
      <c r="B744" t="s">
        <v>19</v>
      </c>
      <c r="C744" t="s">
        <v>20</v>
      </c>
      <c r="D744">
        <v>1</v>
      </c>
      <c r="E744" t="s">
        <v>21</v>
      </c>
      <c r="F744">
        <v>2</v>
      </c>
      <c r="G744" t="s">
        <v>32</v>
      </c>
      <c r="H744">
        <v>1</v>
      </c>
      <c r="I744">
        <v>5454</v>
      </c>
      <c r="J744">
        <v>21</v>
      </c>
      <c r="K744">
        <v>4</v>
      </c>
      <c r="L744">
        <v>1</v>
      </c>
      <c r="M744">
        <v>9</v>
      </c>
      <c r="N744">
        <v>2</v>
      </c>
      <c r="O744">
        <v>2</v>
      </c>
      <c r="P744">
        <v>4</v>
      </c>
      <c r="Q744">
        <v>3</v>
      </c>
      <c r="R744">
        <v>1</v>
      </c>
      <c r="S744" t="s">
        <v>23</v>
      </c>
      <c r="T744" t="s">
        <v>38</v>
      </c>
      <c r="U744" t="str">
        <f>IF(Table1[[#This Row],[YearsSince
LastPromotion]]&gt; 4, "Delayed", "Normal")</f>
        <v>Normal</v>
      </c>
      <c r="V744" t="str">
        <f>IF(Table1[[#This Row],[Years
InCurrentRole]]&gt;4, "Role Stagnent", "Normal")</f>
        <v>Normal</v>
      </c>
      <c r="W744" t="str">
        <f>IF(AND(Table1[[#This Row],[Years
InCurrentRole]]&gt; 4, Table1[[#This Row],[Performance
Rating]]&gt;=3), "High Risk", "Normal")</f>
        <v>Normal</v>
      </c>
      <c r="X744" t="str">
        <f>IF(Table1[[#This Row],[Performance
Rating]]&gt;=4, "High Performer", "Low Performer")</f>
        <v>High Performer</v>
      </c>
    </row>
    <row r="745" spans="2:24" x14ac:dyDescent="0.3">
      <c r="B745" t="s">
        <v>19</v>
      </c>
      <c r="C745" t="s">
        <v>20</v>
      </c>
      <c r="D745">
        <v>1</v>
      </c>
      <c r="E745" t="s">
        <v>21</v>
      </c>
      <c r="F745">
        <v>2</v>
      </c>
      <c r="G745" t="s">
        <v>32</v>
      </c>
      <c r="H745">
        <v>3</v>
      </c>
      <c r="I745">
        <v>5473</v>
      </c>
      <c r="J745">
        <v>11</v>
      </c>
      <c r="K745">
        <v>3</v>
      </c>
      <c r="L745">
        <v>0</v>
      </c>
      <c r="M745">
        <v>20</v>
      </c>
      <c r="N745">
        <v>2</v>
      </c>
      <c r="O745">
        <v>2</v>
      </c>
      <c r="P745">
        <v>4</v>
      </c>
      <c r="Q745">
        <v>3</v>
      </c>
      <c r="R745">
        <v>1</v>
      </c>
      <c r="S745" t="s">
        <v>23</v>
      </c>
      <c r="T745" t="s">
        <v>38</v>
      </c>
      <c r="U745" t="str">
        <f>IF(Table1[[#This Row],[YearsSince
LastPromotion]]&gt; 4, "Delayed", "Normal")</f>
        <v>Normal</v>
      </c>
      <c r="V745" t="str">
        <f>IF(Table1[[#This Row],[Years
InCurrentRole]]&gt;4, "Role Stagnent", "Normal")</f>
        <v>Normal</v>
      </c>
      <c r="W745" t="str">
        <f>IF(AND(Table1[[#This Row],[Years
InCurrentRole]]&gt; 4, Table1[[#This Row],[Performance
Rating]]&gt;=3), "High Risk", "Normal")</f>
        <v>Normal</v>
      </c>
      <c r="X745" t="str">
        <f>IF(Table1[[#This Row],[Performance
Rating]]&gt;=4, "High Performer", "Low Performer")</f>
        <v>Low Performer</v>
      </c>
    </row>
    <row r="746" spans="2:24" x14ac:dyDescent="0.3">
      <c r="B746" t="s">
        <v>19</v>
      </c>
      <c r="C746" t="s">
        <v>25</v>
      </c>
      <c r="D746">
        <v>1</v>
      </c>
      <c r="E746" t="s">
        <v>28</v>
      </c>
      <c r="F746">
        <v>1</v>
      </c>
      <c r="G746" t="s">
        <v>29</v>
      </c>
      <c r="H746">
        <v>1</v>
      </c>
      <c r="I746">
        <v>2451</v>
      </c>
      <c r="J746">
        <v>15</v>
      </c>
      <c r="K746">
        <v>3</v>
      </c>
      <c r="L746">
        <v>1</v>
      </c>
      <c r="M746">
        <v>4</v>
      </c>
      <c r="N746">
        <v>3</v>
      </c>
      <c r="O746">
        <v>2</v>
      </c>
      <c r="P746">
        <v>4</v>
      </c>
      <c r="Q746">
        <v>3</v>
      </c>
      <c r="R746">
        <v>1</v>
      </c>
      <c r="S746" t="s">
        <v>23</v>
      </c>
      <c r="T746" t="s">
        <v>38</v>
      </c>
      <c r="U746" t="str">
        <f>IF(Table1[[#This Row],[YearsSince
LastPromotion]]&gt; 4, "Delayed", "Normal")</f>
        <v>Normal</v>
      </c>
      <c r="V746" t="str">
        <f>IF(Table1[[#This Row],[Years
InCurrentRole]]&gt;4, "Role Stagnent", "Normal")</f>
        <v>Normal</v>
      </c>
      <c r="W746" t="str">
        <f>IF(AND(Table1[[#This Row],[Years
InCurrentRole]]&gt; 4, Table1[[#This Row],[Performance
Rating]]&gt;=3), "High Risk", "Normal")</f>
        <v>Normal</v>
      </c>
      <c r="X746" t="str">
        <f>IF(Table1[[#This Row],[Performance
Rating]]&gt;=4, "High Performer", "Low Performer")</f>
        <v>Low Performer</v>
      </c>
    </row>
    <row r="747" spans="2:24" x14ac:dyDescent="0.3">
      <c r="B747" t="s">
        <v>19</v>
      </c>
      <c r="C747" t="s">
        <v>25</v>
      </c>
      <c r="D747">
        <v>1</v>
      </c>
      <c r="E747" t="s">
        <v>28</v>
      </c>
      <c r="F747">
        <v>2</v>
      </c>
      <c r="G747" t="s">
        <v>26</v>
      </c>
      <c r="H747">
        <v>1</v>
      </c>
      <c r="I747">
        <v>5410</v>
      </c>
      <c r="J747">
        <v>17</v>
      </c>
      <c r="K747">
        <v>3</v>
      </c>
      <c r="L747">
        <v>1</v>
      </c>
      <c r="M747">
        <v>9</v>
      </c>
      <c r="N747">
        <v>3</v>
      </c>
      <c r="O747">
        <v>2</v>
      </c>
      <c r="P747">
        <v>4</v>
      </c>
      <c r="Q747">
        <v>3</v>
      </c>
      <c r="R747">
        <v>1</v>
      </c>
      <c r="S747" t="s">
        <v>23</v>
      </c>
      <c r="T747" t="s">
        <v>38</v>
      </c>
      <c r="U747" t="str">
        <f>IF(Table1[[#This Row],[YearsSince
LastPromotion]]&gt; 4, "Delayed", "Normal")</f>
        <v>Normal</v>
      </c>
      <c r="V747" t="str">
        <f>IF(Table1[[#This Row],[Years
InCurrentRole]]&gt;4, "Role Stagnent", "Normal")</f>
        <v>Normal</v>
      </c>
      <c r="W747" t="str">
        <f>IF(AND(Table1[[#This Row],[Years
InCurrentRole]]&gt; 4, Table1[[#This Row],[Performance
Rating]]&gt;=3), "High Risk", "Normal")</f>
        <v>Normal</v>
      </c>
      <c r="X747" t="str">
        <f>IF(Table1[[#This Row],[Performance
Rating]]&gt;=4, "High Performer", "Low Performer")</f>
        <v>Low Performer</v>
      </c>
    </row>
    <row r="748" spans="2:24" x14ac:dyDescent="0.3">
      <c r="B748" t="s">
        <v>19</v>
      </c>
      <c r="C748" t="s">
        <v>25</v>
      </c>
      <c r="D748">
        <v>1</v>
      </c>
      <c r="E748" t="s">
        <v>28</v>
      </c>
      <c r="F748">
        <v>2</v>
      </c>
      <c r="G748" t="s">
        <v>31</v>
      </c>
      <c r="H748">
        <v>1</v>
      </c>
      <c r="I748">
        <v>6288</v>
      </c>
      <c r="J748">
        <v>15</v>
      </c>
      <c r="K748">
        <v>3</v>
      </c>
      <c r="L748">
        <v>1</v>
      </c>
      <c r="M748">
        <v>13</v>
      </c>
      <c r="N748">
        <v>3</v>
      </c>
      <c r="O748">
        <v>2</v>
      </c>
      <c r="P748">
        <v>4</v>
      </c>
      <c r="Q748">
        <v>3</v>
      </c>
      <c r="R748">
        <v>1</v>
      </c>
      <c r="S748" t="s">
        <v>23</v>
      </c>
      <c r="T748" t="s">
        <v>38</v>
      </c>
      <c r="U748" t="str">
        <f>IF(Table1[[#This Row],[YearsSince
LastPromotion]]&gt; 4, "Delayed", "Normal")</f>
        <v>Normal</v>
      </c>
      <c r="V748" t="str">
        <f>IF(Table1[[#This Row],[Years
InCurrentRole]]&gt;4, "Role Stagnent", "Normal")</f>
        <v>Normal</v>
      </c>
      <c r="W748" t="str">
        <f>IF(AND(Table1[[#This Row],[Years
InCurrentRole]]&gt; 4, Table1[[#This Row],[Performance
Rating]]&gt;=3), "High Risk", "Normal")</f>
        <v>Normal</v>
      </c>
      <c r="X748" t="str">
        <f>IF(Table1[[#This Row],[Performance
Rating]]&gt;=4, "High Performer", "Low Performer")</f>
        <v>Low Performer</v>
      </c>
    </row>
    <row r="749" spans="2:24" x14ac:dyDescent="0.3">
      <c r="B749" t="s">
        <v>19</v>
      </c>
      <c r="C749" t="s">
        <v>25</v>
      </c>
      <c r="D749">
        <v>1</v>
      </c>
      <c r="E749" t="s">
        <v>28</v>
      </c>
      <c r="F749">
        <v>1</v>
      </c>
      <c r="G749" t="s">
        <v>26</v>
      </c>
      <c r="H749">
        <v>4</v>
      </c>
      <c r="I749">
        <v>3904</v>
      </c>
      <c r="J749">
        <v>12</v>
      </c>
      <c r="K749">
        <v>3</v>
      </c>
      <c r="L749">
        <v>0</v>
      </c>
      <c r="M749">
        <v>5</v>
      </c>
      <c r="N749">
        <v>2</v>
      </c>
      <c r="O749">
        <v>3</v>
      </c>
      <c r="P749">
        <v>4</v>
      </c>
      <c r="Q749">
        <v>3</v>
      </c>
      <c r="R749">
        <v>1</v>
      </c>
      <c r="S749" t="s">
        <v>34</v>
      </c>
      <c r="T749" t="s">
        <v>38</v>
      </c>
      <c r="U749" t="str">
        <f>IF(Table1[[#This Row],[YearsSince
LastPromotion]]&gt; 4, "Delayed", "Normal")</f>
        <v>Normal</v>
      </c>
      <c r="V749" t="str">
        <f>IF(Table1[[#This Row],[Years
InCurrentRole]]&gt;4, "Role Stagnent", "Normal")</f>
        <v>Normal</v>
      </c>
      <c r="W749" t="str">
        <f>IF(AND(Table1[[#This Row],[Years
InCurrentRole]]&gt; 4, Table1[[#This Row],[Performance
Rating]]&gt;=3), "High Risk", "Normal")</f>
        <v>Normal</v>
      </c>
      <c r="X749" t="str">
        <f>IF(Table1[[#This Row],[Performance
Rating]]&gt;=4, "High Performer", "Low Performer")</f>
        <v>Low Performer</v>
      </c>
    </row>
    <row r="750" spans="2:24" x14ac:dyDescent="0.3">
      <c r="B750" t="s">
        <v>19</v>
      </c>
      <c r="C750" t="s">
        <v>25</v>
      </c>
      <c r="D750">
        <v>1</v>
      </c>
      <c r="E750" t="s">
        <v>28</v>
      </c>
      <c r="F750">
        <v>2</v>
      </c>
      <c r="G750" t="s">
        <v>29</v>
      </c>
      <c r="H750">
        <v>3</v>
      </c>
      <c r="I750">
        <v>2272</v>
      </c>
      <c r="J750">
        <v>14</v>
      </c>
      <c r="K750">
        <v>3</v>
      </c>
      <c r="L750">
        <v>0</v>
      </c>
      <c r="M750">
        <v>5</v>
      </c>
      <c r="N750">
        <v>2</v>
      </c>
      <c r="O750">
        <v>3</v>
      </c>
      <c r="P750">
        <v>4</v>
      </c>
      <c r="Q750">
        <v>3</v>
      </c>
      <c r="R750">
        <v>1</v>
      </c>
      <c r="S750" t="s">
        <v>34</v>
      </c>
      <c r="T750" t="s">
        <v>38</v>
      </c>
      <c r="U750" t="str">
        <f>IF(Table1[[#This Row],[YearsSince
LastPromotion]]&gt; 4, "Delayed", "Normal")</f>
        <v>Normal</v>
      </c>
      <c r="V750" t="str">
        <f>IF(Table1[[#This Row],[Years
InCurrentRole]]&gt;4, "Role Stagnent", "Normal")</f>
        <v>Normal</v>
      </c>
      <c r="W750" t="str">
        <f>IF(AND(Table1[[#This Row],[Years
InCurrentRole]]&gt; 4, Table1[[#This Row],[Performance
Rating]]&gt;=3), "High Risk", "Normal")</f>
        <v>Normal</v>
      </c>
      <c r="X750" t="str">
        <f>IF(Table1[[#This Row],[Performance
Rating]]&gt;=4, "High Performer", "Low Performer")</f>
        <v>Low Performer</v>
      </c>
    </row>
    <row r="751" spans="2:24" x14ac:dyDescent="0.3">
      <c r="B751" t="s">
        <v>19</v>
      </c>
      <c r="C751" t="s">
        <v>25</v>
      </c>
      <c r="D751">
        <v>1</v>
      </c>
      <c r="E751" t="s">
        <v>28</v>
      </c>
      <c r="F751">
        <v>1</v>
      </c>
      <c r="G751" t="s">
        <v>26</v>
      </c>
      <c r="H751">
        <v>4</v>
      </c>
      <c r="I751">
        <v>2436</v>
      </c>
      <c r="J751">
        <v>12</v>
      </c>
      <c r="K751">
        <v>3</v>
      </c>
      <c r="L751">
        <v>0</v>
      </c>
      <c r="M751">
        <v>6</v>
      </c>
      <c r="N751">
        <v>2</v>
      </c>
      <c r="O751">
        <v>3</v>
      </c>
      <c r="P751">
        <v>4</v>
      </c>
      <c r="Q751">
        <v>3</v>
      </c>
      <c r="R751">
        <v>1</v>
      </c>
      <c r="S751" t="s">
        <v>34</v>
      </c>
      <c r="T751" t="s">
        <v>38</v>
      </c>
      <c r="U751" t="str">
        <f>IF(Table1[[#This Row],[YearsSince
LastPromotion]]&gt; 4, "Delayed", "Normal")</f>
        <v>Normal</v>
      </c>
      <c r="V751" t="str">
        <f>IF(Table1[[#This Row],[Years
InCurrentRole]]&gt;4, "Role Stagnent", "Normal")</f>
        <v>Normal</v>
      </c>
      <c r="W751" t="str">
        <f>IF(AND(Table1[[#This Row],[Years
InCurrentRole]]&gt; 4, Table1[[#This Row],[Performance
Rating]]&gt;=3), "High Risk", "Normal")</f>
        <v>Normal</v>
      </c>
      <c r="X751" t="str">
        <f>IF(Table1[[#This Row],[Performance
Rating]]&gt;=4, "High Performer", "Low Performer")</f>
        <v>Low Performer</v>
      </c>
    </row>
    <row r="752" spans="2:24" x14ac:dyDescent="0.3">
      <c r="B752" t="s">
        <v>19</v>
      </c>
      <c r="C752" t="s">
        <v>25</v>
      </c>
      <c r="D752">
        <v>1</v>
      </c>
      <c r="E752" t="s">
        <v>28</v>
      </c>
      <c r="F752">
        <v>1</v>
      </c>
      <c r="G752" t="s">
        <v>29</v>
      </c>
      <c r="H752">
        <v>2</v>
      </c>
      <c r="I752">
        <v>3597</v>
      </c>
      <c r="J752">
        <v>22</v>
      </c>
      <c r="K752">
        <v>4</v>
      </c>
      <c r="L752">
        <v>0</v>
      </c>
      <c r="M752">
        <v>6</v>
      </c>
      <c r="N752">
        <v>2</v>
      </c>
      <c r="O752">
        <v>3</v>
      </c>
      <c r="P752">
        <v>4</v>
      </c>
      <c r="Q752">
        <v>3</v>
      </c>
      <c r="R752">
        <v>1</v>
      </c>
      <c r="S752" t="s">
        <v>34</v>
      </c>
      <c r="T752" t="s">
        <v>38</v>
      </c>
      <c r="U752" t="str">
        <f>IF(Table1[[#This Row],[YearsSince
LastPromotion]]&gt; 4, "Delayed", "Normal")</f>
        <v>Normal</v>
      </c>
      <c r="V752" t="str">
        <f>IF(Table1[[#This Row],[Years
InCurrentRole]]&gt;4, "Role Stagnent", "Normal")</f>
        <v>Normal</v>
      </c>
      <c r="W752" t="str">
        <f>IF(AND(Table1[[#This Row],[Years
InCurrentRole]]&gt; 4, Table1[[#This Row],[Performance
Rating]]&gt;=3), "High Risk", "Normal")</f>
        <v>Normal</v>
      </c>
      <c r="X752" t="str">
        <f>IF(Table1[[#This Row],[Performance
Rating]]&gt;=4, "High Performer", "Low Performer")</f>
        <v>High Performer</v>
      </c>
    </row>
    <row r="753" spans="2:24" x14ac:dyDescent="0.3">
      <c r="B753" t="s">
        <v>27</v>
      </c>
      <c r="C753" t="s">
        <v>25</v>
      </c>
      <c r="D753">
        <v>1</v>
      </c>
      <c r="E753" t="s">
        <v>28</v>
      </c>
      <c r="F753">
        <v>1</v>
      </c>
      <c r="G753" t="s">
        <v>29</v>
      </c>
      <c r="H753">
        <v>4</v>
      </c>
      <c r="I753">
        <v>3408</v>
      </c>
      <c r="J753">
        <v>13</v>
      </c>
      <c r="K753">
        <v>3</v>
      </c>
      <c r="L753">
        <v>3</v>
      </c>
      <c r="M753">
        <v>8</v>
      </c>
      <c r="N753">
        <v>2</v>
      </c>
      <c r="O753">
        <v>3</v>
      </c>
      <c r="P753">
        <v>4</v>
      </c>
      <c r="Q753">
        <v>3</v>
      </c>
      <c r="R753">
        <v>1</v>
      </c>
      <c r="S753" t="s">
        <v>34</v>
      </c>
      <c r="T753" t="s">
        <v>38</v>
      </c>
      <c r="U753" t="str">
        <f>IF(Table1[[#This Row],[YearsSince
LastPromotion]]&gt; 4, "Delayed", "Normal")</f>
        <v>Normal</v>
      </c>
      <c r="V753" t="str">
        <f>IF(Table1[[#This Row],[Years
InCurrentRole]]&gt;4, "Role Stagnent", "Normal")</f>
        <v>Normal</v>
      </c>
      <c r="W753" t="str">
        <f>IF(AND(Table1[[#This Row],[Years
InCurrentRole]]&gt; 4, Table1[[#This Row],[Performance
Rating]]&gt;=3), "High Risk", "Normal")</f>
        <v>Normal</v>
      </c>
      <c r="X753" t="str">
        <f>IF(Table1[[#This Row],[Performance
Rating]]&gt;=4, "High Performer", "Low Performer")</f>
        <v>Low Performer</v>
      </c>
    </row>
    <row r="754" spans="2:24" x14ac:dyDescent="0.3">
      <c r="B754" t="s">
        <v>19</v>
      </c>
      <c r="C754" t="s">
        <v>25</v>
      </c>
      <c r="D754">
        <v>1</v>
      </c>
      <c r="E754" t="s">
        <v>28</v>
      </c>
      <c r="F754">
        <v>1</v>
      </c>
      <c r="G754" t="s">
        <v>26</v>
      </c>
      <c r="H754">
        <v>1</v>
      </c>
      <c r="I754">
        <v>2996</v>
      </c>
      <c r="J754">
        <v>14</v>
      </c>
      <c r="K754">
        <v>3</v>
      </c>
      <c r="L754">
        <v>2</v>
      </c>
      <c r="M754">
        <v>10</v>
      </c>
      <c r="N754">
        <v>2</v>
      </c>
      <c r="O754">
        <v>3</v>
      </c>
      <c r="P754">
        <v>4</v>
      </c>
      <c r="Q754">
        <v>3</v>
      </c>
      <c r="R754">
        <v>1</v>
      </c>
      <c r="S754" t="s">
        <v>34</v>
      </c>
      <c r="T754" t="s">
        <v>38</v>
      </c>
      <c r="U754" t="str">
        <f>IF(Table1[[#This Row],[YearsSince
LastPromotion]]&gt; 4, "Delayed", "Normal")</f>
        <v>Normal</v>
      </c>
      <c r="V754" t="str">
        <f>IF(Table1[[#This Row],[Years
InCurrentRole]]&gt;4, "Role Stagnent", "Normal")</f>
        <v>Normal</v>
      </c>
      <c r="W754" t="str">
        <f>IF(AND(Table1[[#This Row],[Years
InCurrentRole]]&gt; 4, Table1[[#This Row],[Performance
Rating]]&gt;=3), "High Risk", "Normal")</f>
        <v>Normal</v>
      </c>
      <c r="X754" t="str">
        <f>IF(Table1[[#This Row],[Performance
Rating]]&gt;=4, "High Performer", "Low Performer")</f>
        <v>Low Performer</v>
      </c>
    </row>
    <row r="755" spans="2:24" x14ac:dyDescent="0.3">
      <c r="B755" t="s">
        <v>19</v>
      </c>
      <c r="C755" t="s">
        <v>25</v>
      </c>
      <c r="D755">
        <v>1</v>
      </c>
      <c r="E755" t="s">
        <v>28</v>
      </c>
      <c r="F755">
        <v>3</v>
      </c>
      <c r="G755" t="s">
        <v>31</v>
      </c>
      <c r="H755">
        <v>4</v>
      </c>
      <c r="I755">
        <v>7005</v>
      </c>
      <c r="J755">
        <v>15</v>
      </c>
      <c r="K755">
        <v>3</v>
      </c>
      <c r="L755">
        <v>0</v>
      </c>
      <c r="M755">
        <v>11</v>
      </c>
      <c r="N755">
        <v>2</v>
      </c>
      <c r="O755">
        <v>3</v>
      </c>
      <c r="P755">
        <v>4</v>
      </c>
      <c r="Q755">
        <v>3</v>
      </c>
      <c r="R755">
        <v>1</v>
      </c>
      <c r="S755" t="s">
        <v>34</v>
      </c>
      <c r="T755" t="s">
        <v>38</v>
      </c>
      <c r="U755" t="str">
        <f>IF(Table1[[#This Row],[YearsSince
LastPromotion]]&gt; 4, "Delayed", "Normal")</f>
        <v>Normal</v>
      </c>
      <c r="V755" t="str">
        <f>IF(Table1[[#This Row],[Years
InCurrentRole]]&gt;4, "Role Stagnent", "Normal")</f>
        <v>Normal</v>
      </c>
      <c r="W755" t="str">
        <f>IF(AND(Table1[[#This Row],[Years
InCurrentRole]]&gt; 4, Table1[[#This Row],[Performance
Rating]]&gt;=3), "High Risk", "Normal")</f>
        <v>Normal</v>
      </c>
      <c r="X755" t="str">
        <f>IF(Table1[[#This Row],[Performance
Rating]]&gt;=4, "High Performer", "Low Performer")</f>
        <v>Low Performer</v>
      </c>
    </row>
    <row r="756" spans="2:24" x14ac:dyDescent="0.3">
      <c r="B756" t="s">
        <v>19</v>
      </c>
      <c r="C756" t="s">
        <v>25</v>
      </c>
      <c r="D756">
        <v>1</v>
      </c>
      <c r="E756" t="s">
        <v>28</v>
      </c>
      <c r="F756">
        <v>3</v>
      </c>
      <c r="G756" t="s">
        <v>31</v>
      </c>
      <c r="H756">
        <v>4</v>
      </c>
      <c r="I756">
        <v>10496</v>
      </c>
      <c r="J756">
        <v>15</v>
      </c>
      <c r="K756">
        <v>3</v>
      </c>
      <c r="L756">
        <v>0</v>
      </c>
      <c r="M756">
        <v>20</v>
      </c>
      <c r="N756">
        <v>2</v>
      </c>
      <c r="O756">
        <v>3</v>
      </c>
      <c r="P756">
        <v>4</v>
      </c>
      <c r="Q756">
        <v>3</v>
      </c>
      <c r="R756">
        <v>1</v>
      </c>
      <c r="S756" t="s">
        <v>34</v>
      </c>
      <c r="T756" t="s">
        <v>38</v>
      </c>
      <c r="U756" t="str">
        <f>IF(Table1[[#This Row],[YearsSince
LastPromotion]]&gt; 4, "Delayed", "Normal")</f>
        <v>Normal</v>
      </c>
      <c r="V756" t="str">
        <f>IF(Table1[[#This Row],[Years
InCurrentRole]]&gt;4, "Role Stagnent", "Normal")</f>
        <v>Normal</v>
      </c>
      <c r="W756" t="str">
        <f>IF(AND(Table1[[#This Row],[Years
InCurrentRole]]&gt; 4, Table1[[#This Row],[Performance
Rating]]&gt;=3), "High Risk", "Normal")</f>
        <v>Normal</v>
      </c>
      <c r="X756" t="str">
        <f>IF(Table1[[#This Row],[Performance
Rating]]&gt;=4, "High Performer", "Low Performer")</f>
        <v>Low Performer</v>
      </c>
    </row>
    <row r="757" spans="2:24" x14ac:dyDescent="0.3">
      <c r="B757" t="s">
        <v>27</v>
      </c>
      <c r="C757" t="s">
        <v>25</v>
      </c>
      <c r="D757">
        <v>1</v>
      </c>
      <c r="E757" t="s">
        <v>28</v>
      </c>
      <c r="F757">
        <v>2</v>
      </c>
      <c r="G757" t="s">
        <v>29</v>
      </c>
      <c r="H757">
        <v>1</v>
      </c>
      <c r="I757">
        <v>4284</v>
      </c>
      <c r="J757">
        <v>20</v>
      </c>
      <c r="K757">
        <v>4</v>
      </c>
      <c r="L757">
        <v>0</v>
      </c>
      <c r="M757">
        <v>20</v>
      </c>
      <c r="N757">
        <v>2</v>
      </c>
      <c r="O757">
        <v>3</v>
      </c>
      <c r="P757">
        <v>4</v>
      </c>
      <c r="Q757">
        <v>3</v>
      </c>
      <c r="R757">
        <v>1</v>
      </c>
      <c r="S757" t="s">
        <v>34</v>
      </c>
      <c r="T757" t="s">
        <v>38</v>
      </c>
      <c r="U757" t="str">
        <f>IF(Table1[[#This Row],[YearsSince
LastPromotion]]&gt; 4, "Delayed", "Normal")</f>
        <v>Normal</v>
      </c>
      <c r="V757" t="str">
        <f>IF(Table1[[#This Row],[Years
InCurrentRole]]&gt;4, "Role Stagnent", "Normal")</f>
        <v>Normal</v>
      </c>
      <c r="W757" t="str">
        <f>IF(AND(Table1[[#This Row],[Years
InCurrentRole]]&gt; 4, Table1[[#This Row],[Performance
Rating]]&gt;=3), "High Risk", "Normal")</f>
        <v>Normal</v>
      </c>
      <c r="X757" t="str">
        <f>IF(Table1[[#This Row],[Performance
Rating]]&gt;=4, "High Performer", "Low Performer")</f>
        <v>High Performer</v>
      </c>
    </row>
    <row r="758" spans="2:24" x14ac:dyDescent="0.3">
      <c r="B758" t="s">
        <v>19</v>
      </c>
      <c r="C758" t="s">
        <v>25</v>
      </c>
      <c r="D758">
        <v>1</v>
      </c>
      <c r="E758" t="s">
        <v>28</v>
      </c>
      <c r="F758">
        <v>1</v>
      </c>
      <c r="G758" t="s">
        <v>26</v>
      </c>
      <c r="H758">
        <v>4</v>
      </c>
      <c r="I758">
        <v>4258</v>
      </c>
      <c r="J758">
        <v>18</v>
      </c>
      <c r="K758">
        <v>3</v>
      </c>
      <c r="L758">
        <v>1</v>
      </c>
      <c r="M758">
        <v>5</v>
      </c>
      <c r="N758">
        <v>3</v>
      </c>
      <c r="O758">
        <v>3</v>
      </c>
      <c r="P758">
        <v>4</v>
      </c>
      <c r="Q758">
        <v>3</v>
      </c>
      <c r="R758">
        <v>1</v>
      </c>
      <c r="S758" t="s">
        <v>34</v>
      </c>
      <c r="T758" t="s">
        <v>38</v>
      </c>
      <c r="U758" t="str">
        <f>IF(Table1[[#This Row],[YearsSince
LastPromotion]]&gt; 4, "Delayed", "Normal")</f>
        <v>Normal</v>
      </c>
      <c r="V758" t="str">
        <f>IF(Table1[[#This Row],[Years
InCurrentRole]]&gt;4, "Role Stagnent", "Normal")</f>
        <v>Normal</v>
      </c>
      <c r="W758" t="str">
        <f>IF(AND(Table1[[#This Row],[Years
InCurrentRole]]&gt; 4, Table1[[#This Row],[Performance
Rating]]&gt;=3), "High Risk", "Normal")</f>
        <v>Normal</v>
      </c>
      <c r="X758" t="str">
        <f>IF(Table1[[#This Row],[Performance
Rating]]&gt;=4, "High Performer", "Low Performer")</f>
        <v>Low Performer</v>
      </c>
    </row>
    <row r="759" spans="2:24" x14ac:dyDescent="0.3">
      <c r="B759" t="s">
        <v>19</v>
      </c>
      <c r="C759" t="s">
        <v>20</v>
      </c>
      <c r="D759">
        <v>1</v>
      </c>
      <c r="E759" t="s">
        <v>21</v>
      </c>
      <c r="F759">
        <v>1</v>
      </c>
      <c r="G759" t="s">
        <v>30</v>
      </c>
      <c r="H759">
        <v>3</v>
      </c>
      <c r="I759">
        <v>2231</v>
      </c>
      <c r="J759">
        <v>18</v>
      </c>
      <c r="K759">
        <v>3</v>
      </c>
      <c r="L759">
        <v>1</v>
      </c>
      <c r="M759">
        <v>6</v>
      </c>
      <c r="N759">
        <v>3</v>
      </c>
      <c r="O759">
        <v>3</v>
      </c>
      <c r="P759">
        <v>4</v>
      </c>
      <c r="Q759">
        <v>3</v>
      </c>
      <c r="R759">
        <v>1</v>
      </c>
      <c r="S759" t="s">
        <v>34</v>
      </c>
      <c r="T759" t="s">
        <v>38</v>
      </c>
      <c r="U759" t="str">
        <f>IF(Table1[[#This Row],[YearsSince
LastPromotion]]&gt; 4, "Delayed", "Normal")</f>
        <v>Normal</v>
      </c>
      <c r="V759" t="str">
        <f>IF(Table1[[#This Row],[Years
InCurrentRole]]&gt;4, "Role Stagnent", "Normal")</f>
        <v>Normal</v>
      </c>
      <c r="W759" t="str">
        <f>IF(AND(Table1[[#This Row],[Years
InCurrentRole]]&gt; 4, Table1[[#This Row],[Performance
Rating]]&gt;=3), "High Risk", "Normal")</f>
        <v>Normal</v>
      </c>
      <c r="X759" t="str">
        <f>IF(Table1[[#This Row],[Performance
Rating]]&gt;=4, "High Performer", "Low Performer")</f>
        <v>Low Performer</v>
      </c>
    </row>
    <row r="760" spans="2:24" x14ac:dyDescent="0.3">
      <c r="B760" t="s">
        <v>19</v>
      </c>
      <c r="C760" t="s">
        <v>20</v>
      </c>
      <c r="D760">
        <v>1</v>
      </c>
      <c r="E760" t="s">
        <v>28</v>
      </c>
      <c r="F760">
        <v>2</v>
      </c>
      <c r="G760" t="s">
        <v>32</v>
      </c>
      <c r="H760">
        <v>4</v>
      </c>
      <c r="I760">
        <v>4950</v>
      </c>
      <c r="J760">
        <v>14</v>
      </c>
      <c r="K760">
        <v>3</v>
      </c>
      <c r="L760">
        <v>0</v>
      </c>
      <c r="M760">
        <v>5</v>
      </c>
      <c r="N760">
        <v>4</v>
      </c>
      <c r="O760">
        <v>3</v>
      </c>
      <c r="P760">
        <v>4</v>
      </c>
      <c r="Q760">
        <v>3</v>
      </c>
      <c r="R760">
        <v>1</v>
      </c>
      <c r="S760" t="s">
        <v>34</v>
      </c>
      <c r="T760" t="s">
        <v>38</v>
      </c>
      <c r="U760" t="str">
        <f>IF(Table1[[#This Row],[YearsSince
LastPromotion]]&gt; 4, "Delayed", "Normal")</f>
        <v>Normal</v>
      </c>
      <c r="V760" t="str">
        <f>IF(Table1[[#This Row],[Years
InCurrentRole]]&gt;4, "Role Stagnent", "Normal")</f>
        <v>Normal</v>
      </c>
      <c r="W760" t="str">
        <f>IF(AND(Table1[[#This Row],[Years
InCurrentRole]]&gt; 4, Table1[[#This Row],[Performance
Rating]]&gt;=3), "High Risk", "Normal")</f>
        <v>Normal</v>
      </c>
      <c r="X760" t="str">
        <f>IF(Table1[[#This Row],[Performance
Rating]]&gt;=4, "High Performer", "Low Performer")</f>
        <v>Low Performer</v>
      </c>
    </row>
    <row r="761" spans="2:24" x14ac:dyDescent="0.3">
      <c r="B761" t="s">
        <v>19</v>
      </c>
      <c r="C761" t="s">
        <v>25</v>
      </c>
      <c r="D761">
        <v>1</v>
      </c>
      <c r="E761" t="s">
        <v>28</v>
      </c>
      <c r="F761">
        <v>1</v>
      </c>
      <c r="G761" t="s">
        <v>29</v>
      </c>
      <c r="H761">
        <v>2</v>
      </c>
      <c r="I761">
        <v>2013</v>
      </c>
      <c r="J761">
        <v>11</v>
      </c>
      <c r="K761">
        <v>3</v>
      </c>
      <c r="L761">
        <v>0</v>
      </c>
      <c r="M761">
        <v>15</v>
      </c>
      <c r="N761">
        <v>4</v>
      </c>
      <c r="O761">
        <v>3</v>
      </c>
      <c r="P761">
        <v>4</v>
      </c>
      <c r="Q761">
        <v>3</v>
      </c>
      <c r="R761">
        <v>1</v>
      </c>
      <c r="S761" t="s">
        <v>34</v>
      </c>
      <c r="T761" t="s">
        <v>38</v>
      </c>
      <c r="U761" t="str">
        <f>IF(Table1[[#This Row],[YearsSince
LastPromotion]]&gt; 4, "Delayed", "Normal")</f>
        <v>Normal</v>
      </c>
      <c r="V761" t="str">
        <f>IF(Table1[[#This Row],[Years
InCurrentRole]]&gt;4, "Role Stagnent", "Normal")</f>
        <v>Normal</v>
      </c>
      <c r="W761" t="str">
        <f>IF(AND(Table1[[#This Row],[Years
InCurrentRole]]&gt; 4, Table1[[#This Row],[Performance
Rating]]&gt;=3), "High Risk", "Normal")</f>
        <v>Normal</v>
      </c>
      <c r="X761" t="str">
        <f>IF(Table1[[#This Row],[Performance
Rating]]&gt;=4, "High Performer", "Low Performer")</f>
        <v>Low Performer</v>
      </c>
    </row>
    <row r="762" spans="2:24" x14ac:dyDescent="0.3">
      <c r="B762" t="s">
        <v>27</v>
      </c>
      <c r="C762" t="s">
        <v>20</v>
      </c>
      <c r="D762">
        <v>1</v>
      </c>
      <c r="E762" t="s">
        <v>28</v>
      </c>
      <c r="F762">
        <v>2</v>
      </c>
      <c r="G762" t="s">
        <v>32</v>
      </c>
      <c r="H762">
        <v>3</v>
      </c>
      <c r="I762">
        <v>6796</v>
      </c>
      <c r="J762">
        <v>14</v>
      </c>
      <c r="K762">
        <v>3</v>
      </c>
      <c r="L762">
        <v>1</v>
      </c>
      <c r="M762">
        <v>18</v>
      </c>
      <c r="N762">
        <v>4</v>
      </c>
      <c r="O762">
        <v>3</v>
      </c>
      <c r="P762">
        <v>4</v>
      </c>
      <c r="Q762">
        <v>3</v>
      </c>
      <c r="R762">
        <v>1</v>
      </c>
      <c r="S762" t="s">
        <v>34</v>
      </c>
      <c r="T762" t="s">
        <v>38</v>
      </c>
      <c r="U762" t="str">
        <f>IF(Table1[[#This Row],[YearsSince
LastPromotion]]&gt; 4, "Delayed", "Normal")</f>
        <v>Normal</v>
      </c>
      <c r="V762" t="str">
        <f>IF(Table1[[#This Row],[Years
InCurrentRole]]&gt;4, "Role Stagnent", "Normal")</f>
        <v>Normal</v>
      </c>
      <c r="W762" t="str">
        <f>IF(AND(Table1[[#This Row],[Years
InCurrentRole]]&gt; 4, Table1[[#This Row],[Performance
Rating]]&gt;=3), "High Risk", "Normal")</f>
        <v>Normal</v>
      </c>
      <c r="X762" t="str">
        <f>IF(Table1[[#This Row],[Performance
Rating]]&gt;=4, "High Performer", "Low Performer")</f>
        <v>Low Performer</v>
      </c>
    </row>
    <row r="763" spans="2:24" x14ac:dyDescent="0.3">
      <c r="B763" t="s">
        <v>19</v>
      </c>
      <c r="C763" t="s">
        <v>25</v>
      </c>
      <c r="D763">
        <v>1</v>
      </c>
      <c r="E763" t="s">
        <v>21</v>
      </c>
      <c r="F763">
        <v>1</v>
      </c>
      <c r="G763" t="s">
        <v>26</v>
      </c>
      <c r="H763">
        <v>4</v>
      </c>
      <c r="I763">
        <v>2977</v>
      </c>
      <c r="J763">
        <v>12</v>
      </c>
      <c r="K763">
        <v>3</v>
      </c>
      <c r="L763">
        <v>1</v>
      </c>
      <c r="M763">
        <v>4</v>
      </c>
      <c r="N763">
        <v>5</v>
      </c>
      <c r="O763">
        <v>3</v>
      </c>
      <c r="P763">
        <v>4</v>
      </c>
      <c r="Q763">
        <v>3</v>
      </c>
      <c r="R763">
        <v>1</v>
      </c>
      <c r="S763" t="s">
        <v>34</v>
      </c>
      <c r="T763" t="s">
        <v>38</v>
      </c>
      <c r="U763" t="str">
        <f>IF(Table1[[#This Row],[YearsSince
LastPromotion]]&gt; 4, "Delayed", "Normal")</f>
        <v>Normal</v>
      </c>
      <c r="V763" t="str">
        <f>IF(Table1[[#This Row],[Years
InCurrentRole]]&gt;4, "Role Stagnent", "Normal")</f>
        <v>Normal</v>
      </c>
      <c r="W763" t="str">
        <f>IF(AND(Table1[[#This Row],[Years
InCurrentRole]]&gt; 4, Table1[[#This Row],[Performance
Rating]]&gt;=3), "High Risk", "Normal")</f>
        <v>Normal</v>
      </c>
      <c r="X763" t="str">
        <f>IF(Table1[[#This Row],[Performance
Rating]]&gt;=4, "High Performer", "Low Performer")</f>
        <v>Low Performer</v>
      </c>
    </row>
    <row r="764" spans="2:24" x14ac:dyDescent="0.3">
      <c r="B764" t="s">
        <v>19</v>
      </c>
      <c r="C764" t="s">
        <v>20</v>
      </c>
      <c r="D764">
        <v>1</v>
      </c>
      <c r="E764" t="s">
        <v>21</v>
      </c>
      <c r="F764">
        <v>1</v>
      </c>
      <c r="G764" t="s">
        <v>30</v>
      </c>
      <c r="H764">
        <v>2</v>
      </c>
      <c r="I764">
        <v>3931</v>
      </c>
      <c r="J764">
        <v>11</v>
      </c>
      <c r="K764">
        <v>3</v>
      </c>
      <c r="L764">
        <v>1</v>
      </c>
      <c r="M764">
        <v>6</v>
      </c>
      <c r="N764">
        <v>5</v>
      </c>
      <c r="O764">
        <v>3</v>
      </c>
      <c r="P764">
        <v>4</v>
      </c>
      <c r="Q764">
        <v>3</v>
      </c>
      <c r="R764">
        <v>1</v>
      </c>
      <c r="S764" t="s">
        <v>34</v>
      </c>
      <c r="T764" t="s">
        <v>38</v>
      </c>
      <c r="U764" t="str">
        <f>IF(Table1[[#This Row],[YearsSince
LastPromotion]]&gt; 4, "Delayed", "Normal")</f>
        <v>Normal</v>
      </c>
      <c r="V764" t="str">
        <f>IF(Table1[[#This Row],[Years
InCurrentRole]]&gt;4, "Role Stagnent", "Normal")</f>
        <v>Normal</v>
      </c>
      <c r="W764" t="str">
        <f>IF(AND(Table1[[#This Row],[Years
InCurrentRole]]&gt; 4, Table1[[#This Row],[Performance
Rating]]&gt;=3), "High Risk", "Normal")</f>
        <v>Normal</v>
      </c>
      <c r="X764" t="str">
        <f>IF(Table1[[#This Row],[Performance
Rating]]&gt;=4, "High Performer", "Low Performer")</f>
        <v>Low Performer</v>
      </c>
    </row>
    <row r="765" spans="2:24" x14ac:dyDescent="0.3">
      <c r="B765" t="s">
        <v>19</v>
      </c>
      <c r="C765" t="s">
        <v>25</v>
      </c>
      <c r="D765">
        <v>1</v>
      </c>
      <c r="E765" t="s">
        <v>28</v>
      </c>
      <c r="F765">
        <v>2</v>
      </c>
      <c r="G765" t="s">
        <v>29</v>
      </c>
      <c r="H765">
        <v>3</v>
      </c>
      <c r="I765">
        <v>4404</v>
      </c>
      <c r="J765">
        <v>12</v>
      </c>
      <c r="K765">
        <v>3</v>
      </c>
      <c r="L765">
        <v>0</v>
      </c>
      <c r="M765">
        <v>6</v>
      </c>
      <c r="N765">
        <v>3</v>
      </c>
      <c r="O765">
        <v>4</v>
      </c>
      <c r="P765">
        <v>4</v>
      </c>
      <c r="Q765">
        <v>3</v>
      </c>
      <c r="R765">
        <v>1</v>
      </c>
      <c r="S765" t="s">
        <v>34</v>
      </c>
      <c r="T765" t="s">
        <v>38</v>
      </c>
      <c r="U765" t="str">
        <f>IF(Table1[[#This Row],[YearsSince
LastPromotion]]&gt; 4, "Delayed", "Normal")</f>
        <v>Normal</v>
      </c>
      <c r="V765" t="str">
        <f>IF(Table1[[#This Row],[Years
InCurrentRole]]&gt;4, "Role Stagnent", "Normal")</f>
        <v>Normal</v>
      </c>
      <c r="W765" t="str">
        <f>IF(AND(Table1[[#This Row],[Years
InCurrentRole]]&gt; 4, Table1[[#This Row],[Performance
Rating]]&gt;=3), "High Risk", "Normal")</f>
        <v>Normal</v>
      </c>
      <c r="X765" t="str">
        <f>IF(Table1[[#This Row],[Performance
Rating]]&gt;=4, "High Performer", "Low Performer")</f>
        <v>Low Performer</v>
      </c>
    </row>
    <row r="766" spans="2:24" x14ac:dyDescent="0.3">
      <c r="B766" t="s">
        <v>19</v>
      </c>
      <c r="C766" t="s">
        <v>25</v>
      </c>
      <c r="D766">
        <v>1</v>
      </c>
      <c r="E766" t="s">
        <v>28</v>
      </c>
      <c r="F766">
        <v>3</v>
      </c>
      <c r="G766" t="s">
        <v>31</v>
      </c>
      <c r="H766">
        <v>4</v>
      </c>
      <c r="I766">
        <v>9439</v>
      </c>
      <c r="J766">
        <v>16</v>
      </c>
      <c r="K766">
        <v>3</v>
      </c>
      <c r="L766">
        <v>1</v>
      </c>
      <c r="M766">
        <v>12</v>
      </c>
      <c r="N766">
        <v>2</v>
      </c>
      <c r="O766">
        <v>1</v>
      </c>
      <c r="P766">
        <v>5</v>
      </c>
      <c r="Q766">
        <v>3</v>
      </c>
      <c r="R766">
        <v>1</v>
      </c>
      <c r="S766" t="s">
        <v>23</v>
      </c>
      <c r="T766" t="s">
        <v>37</v>
      </c>
      <c r="U766" t="str">
        <f>IF(Table1[[#This Row],[YearsSince
LastPromotion]]&gt; 4, "Delayed", "Normal")</f>
        <v>Normal</v>
      </c>
      <c r="V766" t="str">
        <f>IF(Table1[[#This Row],[Years
InCurrentRole]]&gt;4, "Role Stagnent", "Normal")</f>
        <v>Normal</v>
      </c>
      <c r="W766" t="str">
        <f>IF(AND(Table1[[#This Row],[Years
InCurrentRole]]&gt; 4, Table1[[#This Row],[Performance
Rating]]&gt;=3), "High Risk", "Normal")</f>
        <v>Normal</v>
      </c>
      <c r="X766" t="str">
        <f>IF(Table1[[#This Row],[Performance
Rating]]&gt;=4, "High Performer", "Low Performer")</f>
        <v>Low Performer</v>
      </c>
    </row>
    <row r="767" spans="2:24" x14ac:dyDescent="0.3">
      <c r="B767" t="s">
        <v>19</v>
      </c>
      <c r="C767" t="s">
        <v>25</v>
      </c>
      <c r="D767">
        <v>1</v>
      </c>
      <c r="E767" t="s">
        <v>28</v>
      </c>
      <c r="F767">
        <v>1</v>
      </c>
      <c r="G767" t="s">
        <v>29</v>
      </c>
      <c r="H767">
        <v>4</v>
      </c>
      <c r="I767">
        <v>2097</v>
      </c>
      <c r="J767">
        <v>15</v>
      </c>
      <c r="K767">
        <v>3</v>
      </c>
      <c r="L767">
        <v>1</v>
      </c>
      <c r="M767">
        <v>9</v>
      </c>
      <c r="N767">
        <v>3</v>
      </c>
      <c r="O767">
        <v>1</v>
      </c>
      <c r="P767">
        <v>5</v>
      </c>
      <c r="Q767">
        <v>3</v>
      </c>
      <c r="R767">
        <v>1</v>
      </c>
      <c r="S767" t="s">
        <v>23</v>
      </c>
      <c r="T767" t="s">
        <v>37</v>
      </c>
      <c r="U767" t="str">
        <f>IF(Table1[[#This Row],[YearsSince
LastPromotion]]&gt; 4, "Delayed", "Normal")</f>
        <v>Normal</v>
      </c>
      <c r="V767" t="str">
        <f>IF(Table1[[#This Row],[Years
InCurrentRole]]&gt;4, "Role Stagnent", "Normal")</f>
        <v>Normal</v>
      </c>
      <c r="W767" t="str">
        <f>IF(AND(Table1[[#This Row],[Years
InCurrentRole]]&gt; 4, Table1[[#This Row],[Performance
Rating]]&gt;=3), "High Risk", "Normal")</f>
        <v>Normal</v>
      </c>
      <c r="X767" t="str">
        <f>IF(Table1[[#This Row],[Performance
Rating]]&gt;=4, "High Performer", "Low Performer")</f>
        <v>Low Performer</v>
      </c>
    </row>
    <row r="768" spans="2:24" x14ac:dyDescent="0.3">
      <c r="B768" t="s">
        <v>19</v>
      </c>
      <c r="C768" t="s">
        <v>25</v>
      </c>
      <c r="D768">
        <v>1</v>
      </c>
      <c r="E768" t="s">
        <v>21</v>
      </c>
      <c r="F768">
        <v>2</v>
      </c>
      <c r="G768" t="s">
        <v>29</v>
      </c>
      <c r="H768">
        <v>4</v>
      </c>
      <c r="I768">
        <v>5231</v>
      </c>
      <c r="J768">
        <v>13</v>
      </c>
      <c r="K768">
        <v>3</v>
      </c>
      <c r="L768">
        <v>1</v>
      </c>
      <c r="M768">
        <v>17</v>
      </c>
      <c r="N768">
        <v>1</v>
      </c>
      <c r="O768">
        <v>2</v>
      </c>
      <c r="P768">
        <v>5</v>
      </c>
      <c r="Q768">
        <v>3</v>
      </c>
      <c r="R768">
        <v>1</v>
      </c>
      <c r="S768" t="s">
        <v>23</v>
      </c>
      <c r="T768" t="s">
        <v>37</v>
      </c>
      <c r="U768" t="str">
        <f>IF(Table1[[#This Row],[YearsSince
LastPromotion]]&gt; 4, "Delayed", "Normal")</f>
        <v>Normal</v>
      </c>
      <c r="V768" t="str">
        <f>IF(Table1[[#This Row],[Years
InCurrentRole]]&gt;4, "Role Stagnent", "Normal")</f>
        <v>Normal</v>
      </c>
      <c r="W768" t="str">
        <f>IF(AND(Table1[[#This Row],[Years
InCurrentRole]]&gt; 4, Table1[[#This Row],[Performance
Rating]]&gt;=3), "High Risk", "Normal")</f>
        <v>Normal</v>
      </c>
      <c r="X768" t="str">
        <f>IF(Table1[[#This Row],[Performance
Rating]]&gt;=4, "High Performer", "Low Performer")</f>
        <v>Low Performer</v>
      </c>
    </row>
    <row r="769" spans="2:24" x14ac:dyDescent="0.3">
      <c r="B769" t="s">
        <v>19</v>
      </c>
      <c r="C769" t="s">
        <v>25</v>
      </c>
      <c r="D769">
        <v>1</v>
      </c>
      <c r="E769" t="s">
        <v>28</v>
      </c>
      <c r="F769">
        <v>1</v>
      </c>
      <c r="G769" t="s">
        <v>26</v>
      </c>
      <c r="H769">
        <v>3</v>
      </c>
      <c r="I769">
        <v>2144</v>
      </c>
      <c r="J769">
        <v>14</v>
      </c>
      <c r="K769">
        <v>3</v>
      </c>
      <c r="L769">
        <v>0</v>
      </c>
      <c r="M769">
        <v>5</v>
      </c>
      <c r="N769">
        <v>3</v>
      </c>
      <c r="O769">
        <v>2</v>
      </c>
      <c r="P769">
        <v>5</v>
      </c>
      <c r="Q769">
        <v>3</v>
      </c>
      <c r="R769">
        <v>1</v>
      </c>
      <c r="S769" t="s">
        <v>23</v>
      </c>
      <c r="T769" t="s">
        <v>37</v>
      </c>
      <c r="U769" t="str">
        <f>IF(Table1[[#This Row],[YearsSince
LastPromotion]]&gt; 4, "Delayed", "Normal")</f>
        <v>Normal</v>
      </c>
      <c r="V769" t="str">
        <f>IF(Table1[[#This Row],[Years
InCurrentRole]]&gt;4, "Role Stagnent", "Normal")</f>
        <v>Normal</v>
      </c>
      <c r="W769" t="str">
        <f>IF(AND(Table1[[#This Row],[Years
InCurrentRole]]&gt; 4, Table1[[#This Row],[Performance
Rating]]&gt;=3), "High Risk", "Normal")</f>
        <v>Normal</v>
      </c>
      <c r="X769" t="str">
        <f>IF(Table1[[#This Row],[Performance
Rating]]&gt;=4, "High Performer", "Low Performer")</f>
        <v>Low Performer</v>
      </c>
    </row>
    <row r="770" spans="2:24" x14ac:dyDescent="0.3">
      <c r="B770" t="s">
        <v>19</v>
      </c>
      <c r="C770" t="s">
        <v>25</v>
      </c>
      <c r="D770">
        <v>1</v>
      </c>
      <c r="E770" t="s">
        <v>28</v>
      </c>
      <c r="F770">
        <v>1</v>
      </c>
      <c r="G770" t="s">
        <v>26</v>
      </c>
      <c r="H770">
        <v>2</v>
      </c>
      <c r="I770">
        <v>2226</v>
      </c>
      <c r="J770">
        <v>11</v>
      </c>
      <c r="K770">
        <v>3</v>
      </c>
      <c r="L770">
        <v>1</v>
      </c>
      <c r="M770">
        <v>6</v>
      </c>
      <c r="N770">
        <v>3</v>
      </c>
      <c r="O770">
        <v>2</v>
      </c>
      <c r="P770">
        <v>5</v>
      </c>
      <c r="Q770">
        <v>3</v>
      </c>
      <c r="R770">
        <v>1</v>
      </c>
      <c r="S770" t="s">
        <v>23</v>
      </c>
      <c r="T770" t="s">
        <v>37</v>
      </c>
      <c r="U770" t="str">
        <f>IF(Table1[[#This Row],[YearsSince
LastPromotion]]&gt; 4, "Delayed", "Normal")</f>
        <v>Normal</v>
      </c>
      <c r="V770" t="str">
        <f>IF(Table1[[#This Row],[Years
InCurrentRole]]&gt;4, "Role Stagnent", "Normal")</f>
        <v>Normal</v>
      </c>
      <c r="W770" t="str">
        <f>IF(AND(Table1[[#This Row],[Years
InCurrentRole]]&gt; 4, Table1[[#This Row],[Performance
Rating]]&gt;=3), "High Risk", "Normal")</f>
        <v>Normal</v>
      </c>
      <c r="X770" t="str">
        <f>IF(Table1[[#This Row],[Performance
Rating]]&gt;=4, "High Performer", "Low Performer")</f>
        <v>Low Performer</v>
      </c>
    </row>
    <row r="771" spans="2:24" x14ac:dyDescent="0.3">
      <c r="B771" t="s">
        <v>19</v>
      </c>
      <c r="C771" t="s">
        <v>25</v>
      </c>
      <c r="D771">
        <v>1</v>
      </c>
      <c r="E771" t="s">
        <v>21</v>
      </c>
      <c r="F771">
        <v>1</v>
      </c>
      <c r="G771" t="s">
        <v>26</v>
      </c>
      <c r="H771">
        <v>3</v>
      </c>
      <c r="I771">
        <v>2645</v>
      </c>
      <c r="J771">
        <v>12</v>
      </c>
      <c r="K771">
        <v>3</v>
      </c>
      <c r="L771">
        <v>2</v>
      </c>
      <c r="M771">
        <v>6</v>
      </c>
      <c r="N771">
        <v>3</v>
      </c>
      <c r="O771">
        <v>2</v>
      </c>
      <c r="P771">
        <v>5</v>
      </c>
      <c r="Q771">
        <v>3</v>
      </c>
      <c r="R771">
        <v>1</v>
      </c>
      <c r="S771" t="s">
        <v>23</v>
      </c>
      <c r="T771" t="s">
        <v>37</v>
      </c>
      <c r="U771" t="str">
        <f>IF(Table1[[#This Row],[YearsSince
LastPromotion]]&gt; 4, "Delayed", "Normal")</f>
        <v>Normal</v>
      </c>
      <c r="V771" t="str">
        <f>IF(Table1[[#This Row],[Years
InCurrentRole]]&gt;4, "Role Stagnent", "Normal")</f>
        <v>Normal</v>
      </c>
      <c r="W771" t="str">
        <f>IF(AND(Table1[[#This Row],[Years
InCurrentRole]]&gt; 4, Table1[[#This Row],[Performance
Rating]]&gt;=3), "High Risk", "Normal")</f>
        <v>Normal</v>
      </c>
      <c r="X771" t="str">
        <f>IF(Table1[[#This Row],[Performance
Rating]]&gt;=4, "High Performer", "Low Performer")</f>
        <v>Low Performer</v>
      </c>
    </row>
    <row r="772" spans="2:24" x14ac:dyDescent="0.3">
      <c r="B772" t="s">
        <v>19</v>
      </c>
      <c r="C772" t="s">
        <v>25</v>
      </c>
      <c r="D772">
        <v>1</v>
      </c>
      <c r="E772" t="s">
        <v>21</v>
      </c>
      <c r="F772">
        <v>2</v>
      </c>
      <c r="G772" t="s">
        <v>26</v>
      </c>
      <c r="H772">
        <v>3</v>
      </c>
      <c r="I772">
        <v>5175</v>
      </c>
      <c r="J772">
        <v>12</v>
      </c>
      <c r="K772">
        <v>3</v>
      </c>
      <c r="L772">
        <v>1</v>
      </c>
      <c r="M772">
        <v>9</v>
      </c>
      <c r="N772">
        <v>3</v>
      </c>
      <c r="O772">
        <v>2</v>
      </c>
      <c r="P772">
        <v>5</v>
      </c>
      <c r="Q772">
        <v>3</v>
      </c>
      <c r="R772">
        <v>1</v>
      </c>
      <c r="S772" t="s">
        <v>23</v>
      </c>
      <c r="T772" t="s">
        <v>37</v>
      </c>
      <c r="U772" t="str">
        <f>IF(Table1[[#This Row],[YearsSince
LastPromotion]]&gt; 4, "Delayed", "Normal")</f>
        <v>Normal</v>
      </c>
      <c r="V772" t="str">
        <f>IF(Table1[[#This Row],[Years
InCurrentRole]]&gt;4, "Role Stagnent", "Normal")</f>
        <v>Normal</v>
      </c>
      <c r="W772" t="str">
        <f>IF(AND(Table1[[#This Row],[Years
InCurrentRole]]&gt; 4, Table1[[#This Row],[Performance
Rating]]&gt;=3), "High Risk", "Normal")</f>
        <v>Normal</v>
      </c>
      <c r="X772" t="str">
        <f>IF(Table1[[#This Row],[Performance
Rating]]&gt;=4, "High Performer", "Low Performer")</f>
        <v>Low Performer</v>
      </c>
    </row>
    <row r="773" spans="2:24" x14ac:dyDescent="0.3">
      <c r="B773" t="s">
        <v>19</v>
      </c>
      <c r="C773" t="s">
        <v>25</v>
      </c>
      <c r="D773">
        <v>1</v>
      </c>
      <c r="E773" t="s">
        <v>28</v>
      </c>
      <c r="F773">
        <v>4</v>
      </c>
      <c r="G773" t="s">
        <v>35</v>
      </c>
      <c r="H773">
        <v>3</v>
      </c>
      <c r="I773">
        <v>17584</v>
      </c>
      <c r="J773">
        <v>16</v>
      </c>
      <c r="K773">
        <v>3</v>
      </c>
      <c r="L773">
        <v>3</v>
      </c>
      <c r="M773">
        <v>21</v>
      </c>
      <c r="N773">
        <v>5</v>
      </c>
      <c r="O773">
        <v>2</v>
      </c>
      <c r="P773">
        <v>5</v>
      </c>
      <c r="Q773">
        <v>3</v>
      </c>
      <c r="R773">
        <v>1</v>
      </c>
      <c r="S773" t="s">
        <v>23</v>
      </c>
      <c r="T773" t="s">
        <v>37</v>
      </c>
      <c r="U773" t="str">
        <f>IF(Table1[[#This Row],[YearsSince
LastPromotion]]&gt; 4, "Delayed", "Normal")</f>
        <v>Normal</v>
      </c>
      <c r="V773" t="str">
        <f>IF(Table1[[#This Row],[Years
InCurrentRole]]&gt;4, "Role Stagnent", "Normal")</f>
        <v>Normal</v>
      </c>
      <c r="W773" t="str">
        <f>IF(AND(Table1[[#This Row],[Years
InCurrentRole]]&gt; 4, Table1[[#This Row],[Performance
Rating]]&gt;=3), "High Risk", "Normal")</f>
        <v>Normal</v>
      </c>
      <c r="X773" t="str">
        <f>IF(Table1[[#This Row],[Performance
Rating]]&gt;=4, "High Performer", "Low Performer")</f>
        <v>Low Performer</v>
      </c>
    </row>
    <row r="774" spans="2:24" x14ac:dyDescent="0.3">
      <c r="B774" t="s">
        <v>19</v>
      </c>
      <c r="C774" t="s">
        <v>20</v>
      </c>
      <c r="D774">
        <v>1</v>
      </c>
      <c r="E774" t="s">
        <v>21</v>
      </c>
      <c r="F774">
        <v>2</v>
      </c>
      <c r="G774" t="s">
        <v>32</v>
      </c>
      <c r="H774">
        <v>4</v>
      </c>
      <c r="I774">
        <v>5666</v>
      </c>
      <c r="J774">
        <v>13</v>
      </c>
      <c r="K774">
        <v>3</v>
      </c>
      <c r="L774">
        <v>0</v>
      </c>
      <c r="M774">
        <v>6</v>
      </c>
      <c r="N774">
        <v>1</v>
      </c>
      <c r="O774">
        <v>3</v>
      </c>
      <c r="P774">
        <v>5</v>
      </c>
      <c r="Q774">
        <v>3</v>
      </c>
      <c r="R774">
        <v>1</v>
      </c>
      <c r="S774" t="s">
        <v>34</v>
      </c>
      <c r="T774" t="s">
        <v>37</v>
      </c>
      <c r="U774" t="str">
        <f>IF(Table1[[#This Row],[YearsSince
LastPromotion]]&gt; 4, "Delayed", "Normal")</f>
        <v>Normal</v>
      </c>
      <c r="V774" t="str">
        <f>IF(Table1[[#This Row],[Years
InCurrentRole]]&gt;4, "Role Stagnent", "Normal")</f>
        <v>Normal</v>
      </c>
      <c r="W774" t="str">
        <f>IF(AND(Table1[[#This Row],[Years
InCurrentRole]]&gt; 4, Table1[[#This Row],[Performance
Rating]]&gt;=3), "High Risk", "Normal")</f>
        <v>Normal</v>
      </c>
      <c r="X774" t="str">
        <f>IF(Table1[[#This Row],[Performance
Rating]]&gt;=4, "High Performer", "Low Performer")</f>
        <v>Low Performer</v>
      </c>
    </row>
    <row r="775" spans="2:24" x14ac:dyDescent="0.3">
      <c r="B775" t="s">
        <v>19</v>
      </c>
      <c r="C775" t="s">
        <v>25</v>
      </c>
      <c r="D775">
        <v>1</v>
      </c>
      <c r="E775" t="s">
        <v>28</v>
      </c>
      <c r="F775">
        <v>1</v>
      </c>
      <c r="G775" t="s">
        <v>29</v>
      </c>
      <c r="H775">
        <v>3</v>
      </c>
      <c r="I775">
        <v>2774</v>
      </c>
      <c r="J775">
        <v>12</v>
      </c>
      <c r="K775">
        <v>3</v>
      </c>
      <c r="L775">
        <v>1</v>
      </c>
      <c r="M775">
        <v>6</v>
      </c>
      <c r="N775">
        <v>2</v>
      </c>
      <c r="O775">
        <v>3</v>
      </c>
      <c r="P775">
        <v>5</v>
      </c>
      <c r="Q775">
        <v>3</v>
      </c>
      <c r="R775">
        <v>1</v>
      </c>
      <c r="S775" t="s">
        <v>34</v>
      </c>
      <c r="T775" t="s">
        <v>37</v>
      </c>
      <c r="U775" t="str">
        <f>IF(Table1[[#This Row],[YearsSince
LastPromotion]]&gt; 4, "Delayed", "Normal")</f>
        <v>Normal</v>
      </c>
      <c r="V775" t="str">
        <f>IF(Table1[[#This Row],[Years
InCurrentRole]]&gt;4, "Role Stagnent", "Normal")</f>
        <v>Normal</v>
      </c>
      <c r="W775" t="str">
        <f>IF(AND(Table1[[#This Row],[Years
InCurrentRole]]&gt; 4, Table1[[#This Row],[Performance
Rating]]&gt;=3), "High Risk", "Normal")</f>
        <v>Normal</v>
      </c>
      <c r="X775" t="str">
        <f>IF(Table1[[#This Row],[Performance
Rating]]&gt;=4, "High Performer", "Low Performer")</f>
        <v>Low Performer</v>
      </c>
    </row>
    <row r="776" spans="2:24" x14ac:dyDescent="0.3">
      <c r="B776" t="s">
        <v>19</v>
      </c>
      <c r="C776" t="s">
        <v>25</v>
      </c>
      <c r="D776">
        <v>1</v>
      </c>
      <c r="E776" t="s">
        <v>28</v>
      </c>
      <c r="F776">
        <v>1</v>
      </c>
      <c r="G776" t="s">
        <v>29</v>
      </c>
      <c r="H776">
        <v>1</v>
      </c>
      <c r="I776">
        <v>3955</v>
      </c>
      <c r="J776">
        <v>16</v>
      </c>
      <c r="K776">
        <v>3</v>
      </c>
      <c r="L776">
        <v>2</v>
      </c>
      <c r="M776">
        <v>6</v>
      </c>
      <c r="N776">
        <v>2</v>
      </c>
      <c r="O776">
        <v>3</v>
      </c>
      <c r="P776">
        <v>5</v>
      </c>
      <c r="Q776">
        <v>3</v>
      </c>
      <c r="R776">
        <v>1</v>
      </c>
      <c r="S776" t="s">
        <v>34</v>
      </c>
      <c r="T776" t="s">
        <v>37</v>
      </c>
      <c r="U776" t="str">
        <f>IF(Table1[[#This Row],[YearsSince
LastPromotion]]&gt; 4, "Delayed", "Normal")</f>
        <v>Normal</v>
      </c>
      <c r="V776" t="str">
        <f>IF(Table1[[#This Row],[Years
InCurrentRole]]&gt;4, "Role Stagnent", "Normal")</f>
        <v>Normal</v>
      </c>
      <c r="W776" t="str">
        <f>IF(AND(Table1[[#This Row],[Years
InCurrentRole]]&gt; 4, Table1[[#This Row],[Performance
Rating]]&gt;=3), "High Risk", "Normal")</f>
        <v>Normal</v>
      </c>
      <c r="X776" t="str">
        <f>IF(Table1[[#This Row],[Performance
Rating]]&gt;=4, "High Performer", "Low Performer")</f>
        <v>Low Performer</v>
      </c>
    </row>
    <row r="777" spans="2:24" x14ac:dyDescent="0.3">
      <c r="B777" t="s">
        <v>19</v>
      </c>
      <c r="C777" t="s">
        <v>25</v>
      </c>
      <c r="D777">
        <v>1</v>
      </c>
      <c r="E777" t="s">
        <v>21</v>
      </c>
      <c r="F777">
        <v>1</v>
      </c>
      <c r="G777" t="s">
        <v>29</v>
      </c>
      <c r="H777">
        <v>3</v>
      </c>
      <c r="I777">
        <v>2974</v>
      </c>
      <c r="J777">
        <v>17</v>
      </c>
      <c r="K777">
        <v>3</v>
      </c>
      <c r="L777">
        <v>1</v>
      </c>
      <c r="M777">
        <v>9</v>
      </c>
      <c r="N777">
        <v>2</v>
      </c>
      <c r="O777">
        <v>3</v>
      </c>
      <c r="P777">
        <v>5</v>
      </c>
      <c r="Q777">
        <v>3</v>
      </c>
      <c r="R777">
        <v>1</v>
      </c>
      <c r="S777" t="s">
        <v>34</v>
      </c>
      <c r="T777" t="s">
        <v>37</v>
      </c>
      <c r="U777" t="str">
        <f>IF(Table1[[#This Row],[YearsSince
LastPromotion]]&gt; 4, "Delayed", "Normal")</f>
        <v>Normal</v>
      </c>
      <c r="V777" t="str">
        <f>IF(Table1[[#This Row],[Years
InCurrentRole]]&gt;4, "Role Stagnent", "Normal")</f>
        <v>Normal</v>
      </c>
      <c r="W777" t="str">
        <f>IF(AND(Table1[[#This Row],[Years
InCurrentRole]]&gt; 4, Table1[[#This Row],[Performance
Rating]]&gt;=3), "High Risk", "Normal")</f>
        <v>Normal</v>
      </c>
      <c r="X777" t="str">
        <f>IF(Table1[[#This Row],[Performance
Rating]]&gt;=4, "High Performer", "Low Performer")</f>
        <v>Low Performer</v>
      </c>
    </row>
    <row r="778" spans="2:24" x14ac:dyDescent="0.3">
      <c r="B778" t="s">
        <v>19</v>
      </c>
      <c r="C778" t="s">
        <v>25</v>
      </c>
      <c r="D778">
        <v>1</v>
      </c>
      <c r="E778" t="s">
        <v>28</v>
      </c>
      <c r="F778">
        <v>2</v>
      </c>
      <c r="G778" t="s">
        <v>31</v>
      </c>
      <c r="H778">
        <v>3</v>
      </c>
      <c r="I778">
        <v>5660</v>
      </c>
      <c r="J778">
        <v>13</v>
      </c>
      <c r="K778">
        <v>3</v>
      </c>
      <c r="L778">
        <v>1</v>
      </c>
      <c r="M778">
        <v>12</v>
      </c>
      <c r="N778">
        <v>2</v>
      </c>
      <c r="O778">
        <v>3</v>
      </c>
      <c r="P778">
        <v>5</v>
      </c>
      <c r="Q778">
        <v>3</v>
      </c>
      <c r="R778">
        <v>1</v>
      </c>
      <c r="S778" t="s">
        <v>34</v>
      </c>
      <c r="T778" t="s">
        <v>37</v>
      </c>
      <c r="U778" t="str">
        <f>IF(Table1[[#This Row],[YearsSince
LastPromotion]]&gt; 4, "Delayed", "Normal")</f>
        <v>Normal</v>
      </c>
      <c r="V778" t="str">
        <f>IF(Table1[[#This Row],[Years
InCurrentRole]]&gt;4, "Role Stagnent", "Normal")</f>
        <v>Normal</v>
      </c>
      <c r="W778" t="str">
        <f>IF(AND(Table1[[#This Row],[Years
InCurrentRole]]&gt; 4, Table1[[#This Row],[Performance
Rating]]&gt;=3), "High Risk", "Normal")</f>
        <v>Normal</v>
      </c>
      <c r="X778" t="str">
        <f>IF(Table1[[#This Row],[Performance
Rating]]&gt;=4, "High Performer", "Low Performer")</f>
        <v>Low Performer</v>
      </c>
    </row>
    <row r="779" spans="2:24" x14ac:dyDescent="0.3">
      <c r="B779" t="s">
        <v>19</v>
      </c>
      <c r="C779" t="s">
        <v>25</v>
      </c>
      <c r="D779">
        <v>1</v>
      </c>
      <c r="E779" t="s">
        <v>28</v>
      </c>
      <c r="F779">
        <v>1</v>
      </c>
      <c r="G779" t="s">
        <v>29</v>
      </c>
      <c r="H779">
        <v>4</v>
      </c>
      <c r="I779">
        <v>2720</v>
      </c>
      <c r="J779">
        <v>13</v>
      </c>
      <c r="K779">
        <v>3</v>
      </c>
      <c r="L779">
        <v>0</v>
      </c>
      <c r="M779">
        <v>6</v>
      </c>
      <c r="N779">
        <v>3</v>
      </c>
      <c r="O779">
        <v>3</v>
      </c>
      <c r="P779">
        <v>5</v>
      </c>
      <c r="Q779">
        <v>3</v>
      </c>
      <c r="R779">
        <v>1</v>
      </c>
      <c r="S779" t="s">
        <v>34</v>
      </c>
      <c r="T779" t="s">
        <v>37</v>
      </c>
      <c r="U779" t="str">
        <f>IF(Table1[[#This Row],[YearsSince
LastPromotion]]&gt; 4, "Delayed", "Normal")</f>
        <v>Normal</v>
      </c>
      <c r="V779" t="str">
        <f>IF(Table1[[#This Row],[Years
InCurrentRole]]&gt;4, "Role Stagnent", "Normal")</f>
        <v>Normal</v>
      </c>
      <c r="W779" t="str">
        <f>IF(AND(Table1[[#This Row],[Years
InCurrentRole]]&gt; 4, Table1[[#This Row],[Performance
Rating]]&gt;=3), "High Risk", "Normal")</f>
        <v>Normal</v>
      </c>
      <c r="X779" t="str">
        <f>IF(Table1[[#This Row],[Performance
Rating]]&gt;=4, "High Performer", "Low Performer")</f>
        <v>Low Performer</v>
      </c>
    </row>
    <row r="780" spans="2:24" x14ac:dyDescent="0.3">
      <c r="B780" t="s">
        <v>19</v>
      </c>
      <c r="C780" t="s">
        <v>20</v>
      </c>
      <c r="D780">
        <v>1</v>
      </c>
      <c r="E780" t="s">
        <v>28</v>
      </c>
      <c r="F780">
        <v>3</v>
      </c>
      <c r="G780" t="s">
        <v>32</v>
      </c>
      <c r="H780">
        <v>4</v>
      </c>
      <c r="I780">
        <v>9713</v>
      </c>
      <c r="J780">
        <v>13</v>
      </c>
      <c r="K780">
        <v>3</v>
      </c>
      <c r="L780">
        <v>3</v>
      </c>
      <c r="M780">
        <v>9</v>
      </c>
      <c r="N780">
        <v>3</v>
      </c>
      <c r="O780">
        <v>3</v>
      </c>
      <c r="P780">
        <v>5</v>
      </c>
      <c r="Q780">
        <v>3</v>
      </c>
      <c r="R780">
        <v>1</v>
      </c>
      <c r="S780" t="s">
        <v>34</v>
      </c>
      <c r="T780" t="s">
        <v>37</v>
      </c>
      <c r="U780" t="str">
        <f>IF(Table1[[#This Row],[YearsSince
LastPromotion]]&gt; 4, "Delayed", "Normal")</f>
        <v>Normal</v>
      </c>
      <c r="V780" t="str">
        <f>IF(Table1[[#This Row],[Years
InCurrentRole]]&gt;4, "Role Stagnent", "Normal")</f>
        <v>Normal</v>
      </c>
      <c r="W780" t="str">
        <f>IF(AND(Table1[[#This Row],[Years
InCurrentRole]]&gt; 4, Table1[[#This Row],[Performance
Rating]]&gt;=3), "High Risk", "Normal")</f>
        <v>Normal</v>
      </c>
      <c r="X780" t="str">
        <f>IF(Table1[[#This Row],[Performance
Rating]]&gt;=4, "High Performer", "Low Performer")</f>
        <v>Low Performer</v>
      </c>
    </row>
    <row r="781" spans="2:24" x14ac:dyDescent="0.3">
      <c r="B781" t="s">
        <v>19</v>
      </c>
      <c r="C781" t="s">
        <v>20</v>
      </c>
      <c r="D781">
        <v>1</v>
      </c>
      <c r="E781" t="s">
        <v>21</v>
      </c>
      <c r="F781">
        <v>2</v>
      </c>
      <c r="G781" t="s">
        <v>32</v>
      </c>
      <c r="H781">
        <v>1</v>
      </c>
      <c r="I781">
        <v>5376</v>
      </c>
      <c r="J781">
        <v>19</v>
      </c>
      <c r="K781">
        <v>3</v>
      </c>
      <c r="L781">
        <v>2</v>
      </c>
      <c r="M781">
        <v>10</v>
      </c>
      <c r="N781">
        <v>3</v>
      </c>
      <c r="O781">
        <v>3</v>
      </c>
      <c r="P781">
        <v>5</v>
      </c>
      <c r="Q781">
        <v>3</v>
      </c>
      <c r="R781">
        <v>1</v>
      </c>
      <c r="S781" t="s">
        <v>34</v>
      </c>
      <c r="T781" t="s">
        <v>37</v>
      </c>
      <c r="U781" t="str">
        <f>IF(Table1[[#This Row],[YearsSince
LastPromotion]]&gt; 4, "Delayed", "Normal")</f>
        <v>Normal</v>
      </c>
      <c r="V781" t="str">
        <f>IF(Table1[[#This Row],[Years
InCurrentRole]]&gt;4, "Role Stagnent", "Normal")</f>
        <v>Normal</v>
      </c>
      <c r="W781" t="str">
        <f>IF(AND(Table1[[#This Row],[Years
InCurrentRole]]&gt; 4, Table1[[#This Row],[Performance
Rating]]&gt;=3), "High Risk", "Normal")</f>
        <v>Normal</v>
      </c>
      <c r="X781" t="str">
        <f>IF(Table1[[#This Row],[Performance
Rating]]&gt;=4, "High Performer", "Low Performer")</f>
        <v>Low Performer</v>
      </c>
    </row>
    <row r="782" spans="2:24" x14ac:dyDescent="0.3">
      <c r="B782" t="s">
        <v>19</v>
      </c>
      <c r="C782" t="s">
        <v>20</v>
      </c>
      <c r="D782">
        <v>1</v>
      </c>
      <c r="E782" t="s">
        <v>28</v>
      </c>
      <c r="F782">
        <v>3</v>
      </c>
      <c r="G782" t="s">
        <v>32</v>
      </c>
      <c r="H782">
        <v>4</v>
      </c>
      <c r="I782">
        <v>7428</v>
      </c>
      <c r="J782">
        <v>12</v>
      </c>
      <c r="K782">
        <v>3</v>
      </c>
      <c r="L782">
        <v>0</v>
      </c>
      <c r="M782">
        <v>12</v>
      </c>
      <c r="N782">
        <v>3</v>
      </c>
      <c r="O782">
        <v>3</v>
      </c>
      <c r="P782">
        <v>5</v>
      </c>
      <c r="Q782">
        <v>3</v>
      </c>
      <c r="R782">
        <v>1</v>
      </c>
      <c r="S782" t="s">
        <v>34</v>
      </c>
      <c r="T782" t="s">
        <v>37</v>
      </c>
      <c r="U782" t="str">
        <f>IF(Table1[[#This Row],[YearsSince
LastPromotion]]&gt; 4, "Delayed", "Normal")</f>
        <v>Normal</v>
      </c>
      <c r="V782" t="str">
        <f>IF(Table1[[#This Row],[Years
InCurrentRole]]&gt;4, "Role Stagnent", "Normal")</f>
        <v>Normal</v>
      </c>
      <c r="W782" t="str">
        <f>IF(AND(Table1[[#This Row],[Years
InCurrentRole]]&gt; 4, Table1[[#This Row],[Performance
Rating]]&gt;=3), "High Risk", "Normal")</f>
        <v>Normal</v>
      </c>
      <c r="X782" t="str">
        <f>IF(Table1[[#This Row],[Performance
Rating]]&gt;=4, "High Performer", "Low Performer")</f>
        <v>Low Performer</v>
      </c>
    </row>
    <row r="783" spans="2:24" x14ac:dyDescent="0.3">
      <c r="B783" t="s">
        <v>19</v>
      </c>
      <c r="C783" t="s">
        <v>25</v>
      </c>
      <c r="D783">
        <v>1</v>
      </c>
      <c r="E783" t="s">
        <v>28</v>
      </c>
      <c r="F783">
        <v>1</v>
      </c>
      <c r="G783" t="s">
        <v>26</v>
      </c>
      <c r="H783">
        <v>4</v>
      </c>
      <c r="I783">
        <v>2782</v>
      </c>
      <c r="J783">
        <v>22</v>
      </c>
      <c r="K783">
        <v>4</v>
      </c>
      <c r="L783">
        <v>1</v>
      </c>
      <c r="M783">
        <v>12</v>
      </c>
      <c r="N783">
        <v>3</v>
      </c>
      <c r="O783">
        <v>3</v>
      </c>
      <c r="P783">
        <v>5</v>
      </c>
      <c r="Q783">
        <v>3</v>
      </c>
      <c r="R783">
        <v>1</v>
      </c>
      <c r="S783" t="s">
        <v>34</v>
      </c>
      <c r="T783" t="s">
        <v>37</v>
      </c>
      <c r="U783" t="str">
        <f>IF(Table1[[#This Row],[YearsSince
LastPromotion]]&gt; 4, "Delayed", "Normal")</f>
        <v>Normal</v>
      </c>
      <c r="V783" t="str">
        <f>IF(Table1[[#This Row],[Years
InCurrentRole]]&gt;4, "Role Stagnent", "Normal")</f>
        <v>Normal</v>
      </c>
      <c r="W783" t="str">
        <f>IF(AND(Table1[[#This Row],[Years
InCurrentRole]]&gt; 4, Table1[[#This Row],[Performance
Rating]]&gt;=3), "High Risk", "Normal")</f>
        <v>Normal</v>
      </c>
      <c r="X783" t="str">
        <f>IF(Table1[[#This Row],[Performance
Rating]]&gt;=4, "High Performer", "Low Performer")</f>
        <v>High Performer</v>
      </c>
    </row>
    <row r="784" spans="2:24" x14ac:dyDescent="0.3">
      <c r="B784" t="s">
        <v>19</v>
      </c>
      <c r="C784" t="s">
        <v>20</v>
      </c>
      <c r="D784">
        <v>1</v>
      </c>
      <c r="E784" t="s">
        <v>28</v>
      </c>
      <c r="F784">
        <v>2</v>
      </c>
      <c r="G784" t="s">
        <v>32</v>
      </c>
      <c r="H784">
        <v>4</v>
      </c>
      <c r="I784">
        <v>4684</v>
      </c>
      <c r="J784">
        <v>13</v>
      </c>
      <c r="K784">
        <v>3</v>
      </c>
      <c r="L784">
        <v>0</v>
      </c>
      <c r="M784">
        <v>5</v>
      </c>
      <c r="N784">
        <v>4</v>
      </c>
      <c r="O784">
        <v>3</v>
      </c>
      <c r="P784">
        <v>5</v>
      </c>
      <c r="Q784">
        <v>3</v>
      </c>
      <c r="R784">
        <v>1</v>
      </c>
      <c r="S784" t="s">
        <v>34</v>
      </c>
      <c r="T784" t="s">
        <v>37</v>
      </c>
      <c r="U784" t="str">
        <f>IF(Table1[[#This Row],[YearsSince
LastPromotion]]&gt; 4, "Delayed", "Normal")</f>
        <v>Normal</v>
      </c>
      <c r="V784" t="str">
        <f>IF(Table1[[#This Row],[Years
InCurrentRole]]&gt;4, "Role Stagnent", "Normal")</f>
        <v>Normal</v>
      </c>
      <c r="W784" t="str">
        <f>IF(AND(Table1[[#This Row],[Years
InCurrentRole]]&gt; 4, Table1[[#This Row],[Performance
Rating]]&gt;=3), "High Risk", "Normal")</f>
        <v>Normal</v>
      </c>
      <c r="X784" t="str">
        <f>IF(Table1[[#This Row],[Performance
Rating]]&gt;=4, "High Performer", "Low Performer")</f>
        <v>Low Performer</v>
      </c>
    </row>
    <row r="785" spans="2:24" x14ac:dyDescent="0.3">
      <c r="B785" t="s">
        <v>27</v>
      </c>
      <c r="C785" t="s">
        <v>20</v>
      </c>
      <c r="D785">
        <v>1</v>
      </c>
      <c r="E785" t="s">
        <v>21</v>
      </c>
      <c r="F785">
        <v>1</v>
      </c>
      <c r="G785" t="s">
        <v>30</v>
      </c>
      <c r="H785">
        <v>2</v>
      </c>
      <c r="I785">
        <v>3202</v>
      </c>
      <c r="J785">
        <v>16</v>
      </c>
      <c r="K785">
        <v>3</v>
      </c>
      <c r="L785">
        <v>0</v>
      </c>
      <c r="M785">
        <v>6</v>
      </c>
      <c r="N785">
        <v>4</v>
      </c>
      <c r="O785">
        <v>3</v>
      </c>
      <c r="P785">
        <v>5</v>
      </c>
      <c r="Q785">
        <v>3</v>
      </c>
      <c r="R785">
        <v>1</v>
      </c>
      <c r="S785" t="s">
        <v>34</v>
      </c>
      <c r="T785" t="s">
        <v>37</v>
      </c>
      <c r="U785" t="str">
        <f>IF(Table1[[#This Row],[YearsSince
LastPromotion]]&gt; 4, "Delayed", "Normal")</f>
        <v>Normal</v>
      </c>
      <c r="V785" t="str">
        <f>IF(Table1[[#This Row],[Years
InCurrentRole]]&gt;4, "Role Stagnent", "Normal")</f>
        <v>Normal</v>
      </c>
      <c r="W785" t="str">
        <f>IF(AND(Table1[[#This Row],[Years
InCurrentRole]]&gt; 4, Table1[[#This Row],[Performance
Rating]]&gt;=3), "High Risk", "Normal")</f>
        <v>Normal</v>
      </c>
      <c r="X785" t="str">
        <f>IF(Table1[[#This Row],[Performance
Rating]]&gt;=4, "High Performer", "Low Performer")</f>
        <v>Low Performer</v>
      </c>
    </row>
    <row r="786" spans="2:24" x14ac:dyDescent="0.3">
      <c r="B786" t="s">
        <v>19</v>
      </c>
      <c r="C786" t="s">
        <v>25</v>
      </c>
      <c r="D786">
        <v>1</v>
      </c>
      <c r="E786" t="s">
        <v>21</v>
      </c>
      <c r="F786">
        <v>2</v>
      </c>
      <c r="G786" t="s">
        <v>33</v>
      </c>
      <c r="H786">
        <v>1</v>
      </c>
      <c r="I786">
        <v>5485</v>
      </c>
      <c r="J786">
        <v>11</v>
      </c>
      <c r="K786">
        <v>3</v>
      </c>
      <c r="L786">
        <v>2</v>
      </c>
      <c r="M786">
        <v>9</v>
      </c>
      <c r="N786">
        <v>4</v>
      </c>
      <c r="O786">
        <v>3</v>
      </c>
      <c r="P786">
        <v>5</v>
      </c>
      <c r="Q786">
        <v>3</v>
      </c>
      <c r="R786">
        <v>1</v>
      </c>
      <c r="S786" t="s">
        <v>34</v>
      </c>
      <c r="T786" t="s">
        <v>37</v>
      </c>
      <c r="U786" t="str">
        <f>IF(Table1[[#This Row],[YearsSince
LastPromotion]]&gt; 4, "Delayed", "Normal")</f>
        <v>Normal</v>
      </c>
      <c r="V786" t="str">
        <f>IF(Table1[[#This Row],[Years
InCurrentRole]]&gt;4, "Role Stagnent", "Normal")</f>
        <v>Normal</v>
      </c>
      <c r="W786" t="str">
        <f>IF(AND(Table1[[#This Row],[Years
InCurrentRole]]&gt; 4, Table1[[#This Row],[Performance
Rating]]&gt;=3), "High Risk", "Normal")</f>
        <v>Normal</v>
      </c>
      <c r="X786" t="str">
        <f>IF(Table1[[#This Row],[Performance
Rating]]&gt;=4, "High Performer", "Low Performer")</f>
        <v>Low Performer</v>
      </c>
    </row>
    <row r="787" spans="2:24" x14ac:dyDescent="0.3">
      <c r="B787" t="s">
        <v>19</v>
      </c>
      <c r="C787" t="s">
        <v>25</v>
      </c>
      <c r="D787">
        <v>1</v>
      </c>
      <c r="E787" t="s">
        <v>21</v>
      </c>
      <c r="F787">
        <v>1</v>
      </c>
      <c r="G787" t="s">
        <v>26</v>
      </c>
      <c r="H787">
        <v>3</v>
      </c>
      <c r="I787">
        <v>2007</v>
      </c>
      <c r="J787">
        <v>13</v>
      </c>
      <c r="K787">
        <v>3</v>
      </c>
      <c r="L787">
        <v>2</v>
      </c>
      <c r="M787">
        <v>5</v>
      </c>
      <c r="N787">
        <v>5</v>
      </c>
      <c r="O787">
        <v>3</v>
      </c>
      <c r="P787">
        <v>5</v>
      </c>
      <c r="Q787">
        <v>3</v>
      </c>
      <c r="R787">
        <v>1</v>
      </c>
      <c r="S787" t="s">
        <v>34</v>
      </c>
      <c r="T787" t="s">
        <v>37</v>
      </c>
      <c r="U787" t="str">
        <f>IF(Table1[[#This Row],[YearsSince
LastPromotion]]&gt; 4, "Delayed", "Normal")</f>
        <v>Normal</v>
      </c>
      <c r="V787" t="str">
        <f>IF(Table1[[#This Row],[Years
InCurrentRole]]&gt;4, "Role Stagnent", "Normal")</f>
        <v>Normal</v>
      </c>
      <c r="W787" t="str">
        <f>IF(AND(Table1[[#This Row],[Years
InCurrentRole]]&gt; 4, Table1[[#This Row],[Performance
Rating]]&gt;=3), "High Risk", "Normal")</f>
        <v>Normal</v>
      </c>
      <c r="X787" t="str">
        <f>IF(Table1[[#This Row],[Performance
Rating]]&gt;=4, "High Performer", "Low Performer")</f>
        <v>Low Performer</v>
      </c>
    </row>
    <row r="788" spans="2:24" x14ac:dyDescent="0.3">
      <c r="B788" t="s">
        <v>19</v>
      </c>
      <c r="C788" t="s">
        <v>36</v>
      </c>
      <c r="D788">
        <v>1</v>
      </c>
      <c r="E788" t="s">
        <v>28</v>
      </c>
      <c r="F788">
        <v>1</v>
      </c>
      <c r="G788" t="s">
        <v>36</v>
      </c>
      <c r="H788">
        <v>3</v>
      </c>
      <c r="I788">
        <v>2064</v>
      </c>
      <c r="J788">
        <v>21</v>
      </c>
      <c r="K788">
        <v>4</v>
      </c>
      <c r="L788">
        <v>1</v>
      </c>
      <c r="M788">
        <v>6</v>
      </c>
      <c r="N788">
        <v>3</v>
      </c>
      <c r="O788">
        <v>4</v>
      </c>
      <c r="P788">
        <v>5</v>
      </c>
      <c r="Q788">
        <v>3</v>
      </c>
      <c r="R788">
        <v>1</v>
      </c>
      <c r="S788" t="s">
        <v>34</v>
      </c>
      <c r="T788" t="s">
        <v>37</v>
      </c>
      <c r="U788" t="str">
        <f>IF(Table1[[#This Row],[YearsSince
LastPromotion]]&gt; 4, "Delayed", "Normal")</f>
        <v>Normal</v>
      </c>
      <c r="V788" t="str">
        <f>IF(Table1[[#This Row],[Years
InCurrentRole]]&gt;4, "Role Stagnent", "Normal")</f>
        <v>Normal</v>
      </c>
      <c r="W788" t="str">
        <f>IF(AND(Table1[[#This Row],[Years
InCurrentRole]]&gt; 4, Table1[[#This Row],[Performance
Rating]]&gt;=3), "High Risk", "Normal")</f>
        <v>Normal</v>
      </c>
      <c r="X788" t="str">
        <f>IF(Table1[[#This Row],[Performance
Rating]]&gt;=4, "High Performer", "Low Performer")</f>
        <v>High Performer</v>
      </c>
    </row>
    <row r="789" spans="2:24" x14ac:dyDescent="0.3">
      <c r="B789" t="s">
        <v>19</v>
      </c>
      <c r="C789" t="s">
        <v>20</v>
      </c>
      <c r="D789">
        <v>1</v>
      </c>
      <c r="E789" t="s">
        <v>28</v>
      </c>
      <c r="F789">
        <v>2</v>
      </c>
      <c r="G789" t="s">
        <v>32</v>
      </c>
      <c r="H789">
        <v>2</v>
      </c>
      <c r="I789">
        <v>6272</v>
      </c>
      <c r="J789">
        <v>20</v>
      </c>
      <c r="K789">
        <v>4</v>
      </c>
      <c r="L789">
        <v>2</v>
      </c>
      <c r="M789">
        <v>6</v>
      </c>
      <c r="N789">
        <v>5</v>
      </c>
      <c r="O789">
        <v>4</v>
      </c>
      <c r="P789">
        <v>5</v>
      </c>
      <c r="Q789">
        <v>3</v>
      </c>
      <c r="R789">
        <v>1</v>
      </c>
      <c r="S789" t="s">
        <v>34</v>
      </c>
      <c r="T789" t="s">
        <v>37</v>
      </c>
      <c r="U789" t="str">
        <f>IF(Table1[[#This Row],[YearsSince
LastPromotion]]&gt; 4, "Delayed", "Normal")</f>
        <v>Normal</v>
      </c>
      <c r="V789" t="str">
        <f>IF(Table1[[#This Row],[Years
InCurrentRole]]&gt;4, "Role Stagnent", "Normal")</f>
        <v>Normal</v>
      </c>
      <c r="W789" t="str">
        <f>IF(AND(Table1[[#This Row],[Years
InCurrentRole]]&gt; 4, Table1[[#This Row],[Performance
Rating]]&gt;=3), "High Risk", "Normal")</f>
        <v>Normal</v>
      </c>
      <c r="X789" t="str">
        <f>IF(Table1[[#This Row],[Performance
Rating]]&gt;=4, "High Performer", "Low Performer")</f>
        <v>High Performer</v>
      </c>
    </row>
    <row r="790" spans="2:24" x14ac:dyDescent="0.3">
      <c r="B790" t="s">
        <v>19</v>
      </c>
      <c r="C790" t="s">
        <v>20</v>
      </c>
      <c r="D790">
        <v>1</v>
      </c>
      <c r="E790" t="s">
        <v>28</v>
      </c>
      <c r="F790">
        <v>2</v>
      </c>
      <c r="G790" t="s">
        <v>32</v>
      </c>
      <c r="H790">
        <v>4</v>
      </c>
      <c r="I790">
        <v>9525</v>
      </c>
      <c r="J790">
        <v>14</v>
      </c>
      <c r="K790">
        <v>3</v>
      </c>
      <c r="L790">
        <v>2</v>
      </c>
      <c r="M790">
        <v>6</v>
      </c>
      <c r="N790">
        <v>2</v>
      </c>
      <c r="O790">
        <v>2</v>
      </c>
      <c r="P790">
        <v>6</v>
      </c>
      <c r="Q790">
        <v>3</v>
      </c>
      <c r="R790">
        <v>1</v>
      </c>
      <c r="S790" t="s">
        <v>23</v>
      </c>
      <c r="T790" t="s">
        <v>37</v>
      </c>
      <c r="U790" t="str">
        <f>IF(Table1[[#This Row],[YearsSince
LastPromotion]]&gt; 4, "Delayed", "Normal")</f>
        <v>Normal</v>
      </c>
      <c r="V790" t="str">
        <f>IF(Table1[[#This Row],[Years
InCurrentRole]]&gt;4, "Role Stagnent", "Normal")</f>
        <v>Normal</v>
      </c>
      <c r="W790" t="str">
        <f>IF(AND(Table1[[#This Row],[Years
InCurrentRole]]&gt; 4, Table1[[#This Row],[Performance
Rating]]&gt;=3), "High Risk", "Normal")</f>
        <v>Normal</v>
      </c>
      <c r="X790" t="str">
        <f>IF(Table1[[#This Row],[Performance
Rating]]&gt;=4, "High Performer", "Low Performer")</f>
        <v>Low Performer</v>
      </c>
    </row>
    <row r="791" spans="2:24" x14ac:dyDescent="0.3">
      <c r="B791" t="s">
        <v>19</v>
      </c>
      <c r="C791" t="s">
        <v>25</v>
      </c>
      <c r="D791">
        <v>1</v>
      </c>
      <c r="E791" t="s">
        <v>28</v>
      </c>
      <c r="F791">
        <v>2</v>
      </c>
      <c r="G791" t="s">
        <v>33</v>
      </c>
      <c r="H791">
        <v>4</v>
      </c>
      <c r="I791">
        <v>7379</v>
      </c>
      <c r="J791">
        <v>11</v>
      </c>
      <c r="K791">
        <v>3</v>
      </c>
      <c r="L791">
        <v>1</v>
      </c>
      <c r="M791">
        <v>12</v>
      </c>
      <c r="N791">
        <v>3</v>
      </c>
      <c r="O791">
        <v>2</v>
      </c>
      <c r="P791">
        <v>6</v>
      </c>
      <c r="Q791">
        <v>3</v>
      </c>
      <c r="R791">
        <v>1</v>
      </c>
      <c r="S791" t="s">
        <v>23</v>
      </c>
      <c r="T791" t="s">
        <v>37</v>
      </c>
      <c r="U791" t="str">
        <f>IF(Table1[[#This Row],[YearsSince
LastPromotion]]&gt; 4, "Delayed", "Normal")</f>
        <v>Normal</v>
      </c>
      <c r="V791" t="str">
        <f>IF(Table1[[#This Row],[Years
InCurrentRole]]&gt;4, "Role Stagnent", "Normal")</f>
        <v>Normal</v>
      </c>
      <c r="W791" t="str">
        <f>IF(AND(Table1[[#This Row],[Years
InCurrentRole]]&gt; 4, Table1[[#This Row],[Performance
Rating]]&gt;=3), "High Risk", "Normal")</f>
        <v>Normal</v>
      </c>
      <c r="X791" t="str">
        <f>IF(Table1[[#This Row],[Performance
Rating]]&gt;=4, "High Performer", "Low Performer")</f>
        <v>Low Performer</v>
      </c>
    </row>
    <row r="792" spans="2:24" x14ac:dyDescent="0.3">
      <c r="B792" t="s">
        <v>19</v>
      </c>
      <c r="C792" t="s">
        <v>25</v>
      </c>
      <c r="D792">
        <v>1</v>
      </c>
      <c r="E792" t="s">
        <v>21</v>
      </c>
      <c r="F792">
        <v>1</v>
      </c>
      <c r="G792" t="s">
        <v>26</v>
      </c>
      <c r="H792">
        <v>4</v>
      </c>
      <c r="I792">
        <v>3760</v>
      </c>
      <c r="J792">
        <v>13</v>
      </c>
      <c r="K792">
        <v>3</v>
      </c>
      <c r="L792">
        <v>0</v>
      </c>
      <c r="M792">
        <v>6</v>
      </c>
      <c r="N792">
        <v>2</v>
      </c>
      <c r="O792">
        <v>3</v>
      </c>
      <c r="P792">
        <v>6</v>
      </c>
      <c r="Q792">
        <v>3</v>
      </c>
      <c r="R792">
        <v>1</v>
      </c>
      <c r="S792" t="s">
        <v>34</v>
      </c>
      <c r="T792" t="s">
        <v>37</v>
      </c>
      <c r="U792" t="str">
        <f>IF(Table1[[#This Row],[YearsSince
LastPromotion]]&gt; 4, "Delayed", "Normal")</f>
        <v>Normal</v>
      </c>
      <c r="V792" t="str">
        <f>IF(Table1[[#This Row],[Years
InCurrentRole]]&gt;4, "Role Stagnent", "Normal")</f>
        <v>Normal</v>
      </c>
      <c r="W792" t="str">
        <f>IF(AND(Table1[[#This Row],[Years
InCurrentRole]]&gt; 4, Table1[[#This Row],[Performance
Rating]]&gt;=3), "High Risk", "Normal")</f>
        <v>Normal</v>
      </c>
      <c r="X792" t="str">
        <f>IF(Table1[[#This Row],[Performance
Rating]]&gt;=4, "High Performer", "Low Performer")</f>
        <v>Low Performer</v>
      </c>
    </row>
    <row r="793" spans="2:24" x14ac:dyDescent="0.3">
      <c r="B793" t="s">
        <v>19</v>
      </c>
      <c r="C793" t="s">
        <v>25</v>
      </c>
      <c r="D793">
        <v>1</v>
      </c>
      <c r="E793" t="s">
        <v>28</v>
      </c>
      <c r="F793">
        <v>2</v>
      </c>
      <c r="G793" t="s">
        <v>31</v>
      </c>
      <c r="H793">
        <v>1</v>
      </c>
      <c r="I793">
        <v>4000</v>
      </c>
      <c r="J793">
        <v>12</v>
      </c>
      <c r="K793">
        <v>3</v>
      </c>
      <c r="L793">
        <v>2</v>
      </c>
      <c r="M793">
        <v>6</v>
      </c>
      <c r="N793">
        <v>2</v>
      </c>
      <c r="O793">
        <v>3</v>
      </c>
      <c r="P793">
        <v>6</v>
      </c>
      <c r="Q793">
        <v>3</v>
      </c>
      <c r="R793">
        <v>1</v>
      </c>
      <c r="S793" t="s">
        <v>34</v>
      </c>
      <c r="T793" t="s">
        <v>37</v>
      </c>
      <c r="U793" t="str">
        <f>IF(Table1[[#This Row],[YearsSince
LastPromotion]]&gt; 4, "Delayed", "Normal")</f>
        <v>Normal</v>
      </c>
      <c r="V793" t="str">
        <f>IF(Table1[[#This Row],[Years
InCurrentRole]]&gt;4, "Role Stagnent", "Normal")</f>
        <v>Normal</v>
      </c>
      <c r="W793" t="str">
        <f>IF(AND(Table1[[#This Row],[Years
InCurrentRole]]&gt; 4, Table1[[#This Row],[Performance
Rating]]&gt;=3), "High Risk", "Normal")</f>
        <v>Normal</v>
      </c>
      <c r="X793" t="str">
        <f>IF(Table1[[#This Row],[Performance
Rating]]&gt;=4, "High Performer", "Low Performer")</f>
        <v>Low Performer</v>
      </c>
    </row>
    <row r="794" spans="2:24" x14ac:dyDescent="0.3">
      <c r="B794" t="s">
        <v>19</v>
      </c>
      <c r="C794" t="s">
        <v>36</v>
      </c>
      <c r="D794">
        <v>1</v>
      </c>
      <c r="E794" t="s">
        <v>28</v>
      </c>
      <c r="F794">
        <v>2</v>
      </c>
      <c r="G794" t="s">
        <v>36</v>
      </c>
      <c r="H794">
        <v>3</v>
      </c>
      <c r="I794">
        <v>6077</v>
      </c>
      <c r="J794">
        <v>11</v>
      </c>
      <c r="K794">
        <v>3</v>
      </c>
      <c r="L794">
        <v>0</v>
      </c>
      <c r="M794">
        <v>10</v>
      </c>
      <c r="N794">
        <v>2</v>
      </c>
      <c r="O794">
        <v>3</v>
      </c>
      <c r="P794">
        <v>6</v>
      </c>
      <c r="Q794">
        <v>3</v>
      </c>
      <c r="R794">
        <v>1</v>
      </c>
      <c r="S794" t="s">
        <v>34</v>
      </c>
      <c r="T794" t="s">
        <v>37</v>
      </c>
      <c r="U794" t="str">
        <f>IF(Table1[[#This Row],[YearsSince
LastPromotion]]&gt; 4, "Delayed", "Normal")</f>
        <v>Normal</v>
      </c>
      <c r="V794" t="str">
        <f>IF(Table1[[#This Row],[Years
InCurrentRole]]&gt;4, "Role Stagnent", "Normal")</f>
        <v>Normal</v>
      </c>
      <c r="W794" t="str">
        <f>IF(AND(Table1[[#This Row],[Years
InCurrentRole]]&gt; 4, Table1[[#This Row],[Performance
Rating]]&gt;=3), "High Risk", "Normal")</f>
        <v>Normal</v>
      </c>
      <c r="X794" t="str">
        <f>IF(Table1[[#This Row],[Performance
Rating]]&gt;=4, "High Performer", "Low Performer")</f>
        <v>Low Performer</v>
      </c>
    </row>
    <row r="795" spans="2:24" x14ac:dyDescent="0.3">
      <c r="B795" t="s">
        <v>27</v>
      </c>
      <c r="C795" t="s">
        <v>25</v>
      </c>
      <c r="D795">
        <v>1</v>
      </c>
      <c r="E795" t="s">
        <v>21</v>
      </c>
      <c r="F795">
        <v>1</v>
      </c>
      <c r="G795" t="s">
        <v>29</v>
      </c>
      <c r="H795">
        <v>3</v>
      </c>
      <c r="I795">
        <v>2886</v>
      </c>
      <c r="J795">
        <v>16</v>
      </c>
      <c r="K795">
        <v>3</v>
      </c>
      <c r="L795">
        <v>1</v>
      </c>
      <c r="M795">
        <v>6</v>
      </c>
      <c r="N795">
        <v>4</v>
      </c>
      <c r="O795">
        <v>3</v>
      </c>
      <c r="P795">
        <v>6</v>
      </c>
      <c r="Q795">
        <v>3</v>
      </c>
      <c r="R795">
        <v>1</v>
      </c>
      <c r="S795" t="s">
        <v>34</v>
      </c>
      <c r="T795" t="s">
        <v>37</v>
      </c>
      <c r="U795" t="str">
        <f>IF(Table1[[#This Row],[YearsSince
LastPromotion]]&gt; 4, "Delayed", "Normal")</f>
        <v>Normal</v>
      </c>
      <c r="V795" t="str">
        <f>IF(Table1[[#This Row],[Years
InCurrentRole]]&gt;4, "Role Stagnent", "Normal")</f>
        <v>Normal</v>
      </c>
      <c r="W795" t="str">
        <f>IF(AND(Table1[[#This Row],[Years
InCurrentRole]]&gt; 4, Table1[[#This Row],[Performance
Rating]]&gt;=3), "High Risk", "Normal")</f>
        <v>Normal</v>
      </c>
      <c r="X795" t="str">
        <f>IF(Table1[[#This Row],[Performance
Rating]]&gt;=4, "High Performer", "Low Performer")</f>
        <v>Low Performer</v>
      </c>
    </row>
    <row r="796" spans="2:24" x14ac:dyDescent="0.3">
      <c r="B796" t="s">
        <v>19</v>
      </c>
      <c r="C796" t="s">
        <v>20</v>
      </c>
      <c r="D796">
        <v>1</v>
      </c>
      <c r="E796" t="s">
        <v>21</v>
      </c>
      <c r="F796">
        <v>2</v>
      </c>
      <c r="G796" t="s">
        <v>32</v>
      </c>
      <c r="H796">
        <v>1</v>
      </c>
      <c r="I796">
        <v>4103</v>
      </c>
      <c r="J796">
        <v>17</v>
      </c>
      <c r="K796">
        <v>3</v>
      </c>
      <c r="L796">
        <v>1</v>
      </c>
      <c r="M796">
        <v>10</v>
      </c>
      <c r="N796">
        <v>2</v>
      </c>
      <c r="O796">
        <v>3</v>
      </c>
      <c r="P796">
        <v>9</v>
      </c>
      <c r="Q796">
        <v>3</v>
      </c>
      <c r="R796">
        <v>1</v>
      </c>
      <c r="S796" t="s">
        <v>34</v>
      </c>
      <c r="T796" t="s">
        <v>37</v>
      </c>
      <c r="U796" t="str">
        <f>IF(Table1[[#This Row],[YearsSince
LastPromotion]]&gt; 4, "Delayed", "Normal")</f>
        <v>Normal</v>
      </c>
      <c r="V796" t="str">
        <f>IF(Table1[[#This Row],[Years
InCurrentRole]]&gt;4, "Role Stagnent", "Normal")</f>
        <v>Normal</v>
      </c>
      <c r="W796" t="str">
        <f>IF(AND(Table1[[#This Row],[Years
InCurrentRole]]&gt; 4, Table1[[#This Row],[Performance
Rating]]&gt;=3), "High Risk", "Normal")</f>
        <v>Normal</v>
      </c>
      <c r="X796" t="str">
        <f>IF(Table1[[#This Row],[Performance
Rating]]&gt;=4, "High Performer", "Low Performer")</f>
        <v>Low Performer</v>
      </c>
    </row>
    <row r="797" spans="2:24" x14ac:dyDescent="0.3">
      <c r="B797" t="s">
        <v>19</v>
      </c>
      <c r="C797" t="s">
        <v>20</v>
      </c>
      <c r="D797">
        <v>1</v>
      </c>
      <c r="E797" t="s">
        <v>21</v>
      </c>
      <c r="F797">
        <v>4</v>
      </c>
      <c r="G797" t="s">
        <v>22</v>
      </c>
      <c r="H797">
        <v>4</v>
      </c>
      <c r="I797">
        <v>17650</v>
      </c>
      <c r="J797">
        <v>13</v>
      </c>
      <c r="K797">
        <v>3</v>
      </c>
      <c r="L797">
        <v>1</v>
      </c>
      <c r="M797">
        <v>26</v>
      </c>
      <c r="N797">
        <v>4</v>
      </c>
      <c r="O797">
        <v>4</v>
      </c>
      <c r="P797">
        <v>9</v>
      </c>
      <c r="Q797">
        <v>3</v>
      </c>
      <c r="R797">
        <v>1</v>
      </c>
      <c r="S797" t="s">
        <v>34</v>
      </c>
      <c r="T797" t="s">
        <v>37</v>
      </c>
      <c r="U797" t="str">
        <f>IF(Table1[[#This Row],[YearsSince
LastPromotion]]&gt; 4, "Delayed", "Normal")</f>
        <v>Normal</v>
      </c>
      <c r="V797" t="str">
        <f>IF(Table1[[#This Row],[Years
InCurrentRole]]&gt;4, "Role Stagnent", "Normal")</f>
        <v>Normal</v>
      </c>
      <c r="W797" t="str">
        <f>IF(AND(Table1[[#This Row],[Years
InCurrentRole]]&gt; 4, Table1[[#This Row],[Performance
Rating]]&gt;=3), "High Risk", "Normal")</f>
        <v>Normal</v>
      </c>
      <c r="X797" t="str">
        <f>IF(Table1[[#This Row],[Performance
Rating]]&gt;=4, "High Performer", "Low Performer")</f>
        <v>Low Performer</v>
      </c>
    </row>
    <row r="798" spans="2:24" x14ac:dyDescent="0.3">
      <c r="B798" t="s">
        <v>19</v>
      </c>
      <c r="C798" t="s">
        <v>20</v>
      </c>
      <c r="D798">
        <v>1</v>
      </c>
      <c r="E798" t="s">
        <v>28</v>
      </c>
      <c r="F798">
        <v>2</v>
      </c>
      <c r="G798" t="s">
        <v>32</v>
      </c>
      <c r="H798">
        <v>3</v>
      </c>
      <c r="I798">
        <v>6578</v>
      </c>
      <c r="J798">
        <v>18</v>
      </c>
      <c r="K798">
        <v>3</v>
      </c>
      <c r="L798">
        <v>1</v>
      </c>
      <c r="M798">
        <v>10</v>
      </c>
      <c r="N798">
        <v>3</v>
      </c>
      <c r="O798">
        <v>3</v>
      </c>
      <c r="P798">
        <v>10</v>
      </c>
      <c r="Q798">
        <v>3</v>
      </c>
      <c r="R798">
        <v>1</v>
      </c>
      <c r="S798" t="s">
        <v>34</v>
      </c>
      <c r="T798" t="s">
        <v>37</v>
      </c>
      <c r="U798" t="str">
        <f>IF(Table1[[#This Row],[YearsSince
LastPromotion]]&gt; 4, "Delayed", "Normal")</f>
        <v>Normal</v>
      </c>
      <c r="V798" t="str">
        <f>IF(Table1[[#This Row],[Years
InCurrentRole]]&gt;4, "Role Stagnent", "Normal")</f>
        <v>Normal</v>
      </c>
      <c r="W798" t="str">
        <f>IF(AND(Table1[[#This Row],[Years
InCurrentRole]]&gt; 4, Table1[[#This Row],[Performance
Rating]]&gt;=3), "High Risk", "Normal")</f>
        <v>Normal</v>
      </c>
      <c r="X798" t="str">
        <f>IF(Table1[[#This Row],[Performance
Rating]]&gt;=4, "High Performer", "Low Performer")</f>
        <v>Low Performer</v>
      </c>
    </row>
    <row r="799" spans="2:24" x14ac:dyDescent="0.3">
      <c r="B799" t="s">
        <v>19</v>
      </c>
      <c r="C799" t="s">
        <v>20</v>
      </c>
      <c r="D799">
        <v>1</v>
      </c>
      <c r="E799" t="s">
        <v>28</v>
      </c>
      <c r="F799">
        <v>2</v>
      </c>
      <c r="G799" t="s">
        <v>32</v>
      </c>
      <c r="H799">
        <v>4</v>
      </c>
      <c r="I799">
        <v>6230</v>
      </c>
      <c r="J799">
        <v>14</v>
      </c>
      <c r="K799">
        <v>3</v>
      </c>
      <c r="L799">
        <v>0</v>
      </c>
      <c r="M799">
        <v>16</v>
      </c>
      <c r="N799">
        <v>3</v>
      </c>
      <c r="O799">
        <v>3</v>
      </c>
      <c r="P799">
        <v>14</v>
      </c>
      <c r="Q799">
        <v>3</v>
      </c>
      <c r="R799">
        <v>1</v>
      </c>
      <c r="S799" t="s">
        <v>34</v>
      </c>
      <c r="T799" t="s">
        <v>37</v>
      </c>
      <c r="U799" t="str">
        <f>IF(Table1[[#This Row],[YearsSince
LastPromotion]]&gt; 4, "Delayed", "Normal")</f>
        <v>Normal</v>
      </c>
      <c r="V799" t="str">
        <f>IF(Table1[[#This Row],[Years
InCurrentRole]]&gt;4, "Role Stagnent", "Normal")</f>
        <v>Normal</v>
      </c>
      <c r="W799" t="str">
        <f>IF(AND(Table1[[#This Row],[Years
InCurrentRole]]&gt; 4, Table1[[#This Row],[Performance
Rating]]&gt;=3), "High Risk", "Normal")</f>
        <v>Normal</v>
      </c>
      <c r="X799" t="str">
        <f>IF(Table1[[#This Row],[Performance
Rating]]&gt;=4, "High Performer", "Low Performer")</f>
        <v>Low Performer</v>
      </c>
    </row>
    <row r="800" spans="2:24" x14ac:dyDescent="0.3">
      <c r="B800" t="s">
        <v>19</v>
      </c>
      <c r="C800" t="s">
        <v>36</v>
      </c>
      <c r="D800">
        <v>1</v>
      </c>
      <c r="E800" t="s">
        <v>28</v>
      </c>
      <c r="F800">
        <v>1</v>
      </c>
      <c r="G800" t="s">
        <v>36</v>
      </c>
      <c r="H800">
        <v>3</v>
      </c>
      <c r="I800">
        <v>4323</v>
      </c>
      <c r="J800">
        <v>17</v>
      </c>
      <c r="K800">
        <v>3</v>
      </c>
      <c r="L800">
        <v>0</v>
      </c>
      <c r="M800">
        <v>6</v>
      </c>
      <c r="N800">
        <v>2</v>
      </c>
      <c r="O800">
        <v>1</v>
      </c>
      <c r="P800">
        <v>5</v>
      </c>
      <c r="Q800">
        <v>4</v>
      </c>
      <c r="R800">
        <v>1</v>
      </c>
      <c r="S800" t="s">
        <v>23</v>
      </c>
      <c r="T800" t="s">
        <v>37</v>
      </c>
      <c r="U800" t="str">
        <f>IF(Table1[[#This Row],[YearsSince
LastPromotion]]&gt; 4, "Delayed", "Normal")</f>
        <v>Normal</v>
      </c>
      <c r="V800" t="str">
        <f>IF(Table1[[#This Row],[Years
InCurrentRole]]&gt;4, "Role Stagnent", "Normal")</f>
        <v>Normal</v>
      </c>
      <c r="W800" t="str">
        <f>IF(AND(Table1[[#This Row],[Years
InCurrentRole]]&gt; 4, Table1[[#This Row],[Performance
Rating]]&gt;=3), "High Risk", "Normal")</f>
        <v>Normal</v>
      </c>
      <c r="X800" t="str">
        <f>IF(Table1[[#This Row],[Performance
Rating]]&gt;=4, "High Performer", "Low Performer")</f>
        <v>Low Performer</v>
      </c>
    </row>
    <row r="801" spans="2:24" x14ac:dyDescent="0.3">
      <c r="B801" t="s">
        <v>19</v>
      </c>
      <c r="C801" t="s">
        <v>25</v>
      </c>
      <c r="D801">
        <v>1</v>
      </c>
      <c r="E801" t="s">
        <v>21</v>
      </c>
      <c r="F801">
        <v>3</v>
      </c>
      <c r="G801" t="s">
        <v>33</v>
      </c>
      <c r="H801">
        <v>3</v>
      </c>
      <c r="I801">
        <v>10502</v>
      </c>
      <c r="J801">
        <v>17</v>
      </c>
      <c r="K801">
        <v>3</v>
      </c>
      <c r="L801">
        <v>1</v>
      </c>
      <c r="M801">
        <v>33</v>
      </c>
      <c r="N801">
        <v>2</v>
      </c>
      <c r="O801">
        <v>1</v>
      </c>
      <c r="P801">
        <v>5</v>
      </c>
      <c r="Q801">
        <v>4</v>
      </c>
      <c r="R801">
        <v>1</v>
      </c>
      <c r="S801" t="s">
        <v>23</v>
      </c>
      <c r="T801" t="s">
        <v>37</v>
      </c>
      <c r="U801" t="str">
        <f>IF(Table1[[#This Row],[YearsSince
LastPromotion]]&gt; 4, "Delayed", "Normal")</f>
        <v>Normal</v>
      </c>
      <c r="V801" t="str">
        <f>IF(Table1[[#This Row],[Years
InCurrentRole]]&gt;4, "Role Stagnent", "Normal")</f>
        <v>Normal</v>
      </c>
      <c r="W801" t="str">
        <f>IF(AND(Table1[[#This Row],[Years
InCurrentRole]]&gt; 4, Table1[[#This Row],[Performance
Rating]]&gt;=3), "High Risk", "Normal")</f>
        <v>Normal</v>
      </c>
      <c r="X801" t="str">
        <f>IF(Table1[[#This Row],[Performance
Rating]]&gt;=4, "High Performer", "Low Performer")</f>
        <v>Low Performer</v>
      </c>
    </row>
    <row r="802" spans="2:24" x14ac:dyDescent="0.3">
      <c r="B802" t="s">
        <v>27</v>
      </c>
      <c r="C802" t="s">
        <v>25</v>
      </c>
      <c r="D802">
        <v>1</v>
      </c>
      <c r="E802" t="s">
        <v>28</v>
      </c>
      <c r="F802">
        <v>1</v>
      </c>
      <c r="G802" t="s">
        <v>29</v>
      </c>
      <c r="H802">
        <v>1</v>
      </c>
      <c r="I802">
        <v>2018</v>
      </c>
      <c r="J802">
        <v>14</v>
      </c>
      <c r="K802">
        <v>3</v>
      </c>
      <c r="L802">
        <v>0</v>
      </c>
      <c r="M802">
        <v>15</v>
      </c>
      <c r="N802">
        <v>3</v>
      </c>
      <c r="O802">
        <v>1</v>
      </c>
      <c r="P802">
        <v>5</v>
      </c>
      <c r="Q802">
        <v>4</v>
      </c>
      <c r="R802">
        <v>1</v>
      </c>
      <c r="S802" t="s">
        <v>23</v>
      </c>
      <c r="T802" t="s">
        <v>37</v>
      </c>
      <c r="U802" t="str">
        <f>IF(Table1[[#This Row],[YearsSince
LastPromotion]]&gt; 4, "Delayed", "Normal")</f>
        <v>Normal</v>
      </c>
      <c r="V802" t="str">
        <f>IF(Table1[[#This Row],[Years
InCurrentRole]]&gt;4, "Role Stagnent", "Normal")</f>
        <v>Normal</v>
      </c>
      <c r="W802" t="str">
        <f>IF(AND(Table1[[#This Row],[Years
InCurrentRole]]&gt; 4, Table1[[#This Row],[Performance
Rating]]&gt;=3), "High Risk", "Normal")</f>
        <v>Normal</v>
      </c>
      <c r="X802" t="str">
        <f>IF(Table1[[#This Row],[Performance
Rating]]&gt;=4, "High Performer", "Low Performer")</f>
        <v>Low Performer</v>
      </c>
    </row>
    <row r="803" spans="2:24" x14ac:dyDescent="0.3">
      <c r="B803" t="s">
        <v>19</v>
      </c>
      <c r="C803" t="s">
        <v>25</v>
      </c>
      <c r="D803">
        <v>1</v>
      </c>
      <c r="E803" t="s">
        <v>28</v>
      </c>
      <c r="F803">
        <v>4</v>
      </c>
      <c r="G803" t="s">
        <v>35</v>
      </c>
      <c r="H803">
        <v>4</v>
      </c>
      <c r="I803">
        <v>17399</v>
      </c>
      <c r="J803">
        <v>22</v>
      </c>
      <c r="K803">
        <v>4</v>
      </c>
      <c r="L803">
        <v>1</v>
      </c>
      <c r="M803">
        <v>32</v>
      </c>
      <c r="N803">
        <v>1</v>
      </c>
      <c r="O803">
        <v>2</v>
      </c>
      <c r="P803">
        <v>5</v>
      </c>
      <c r="Q803">
        <v>4</v>
      </c>
      <c r="R803">
        <v>1</v>
      </c>
      <c r="S803" t="s">
        <v>23</v>
      </c>
      <c r="T803" t="s">
        <v>37</v>
      </c>
      <c r="U803" t="str">
        <f>IF(Table1[[#This Row],[YearsSince
LastPromotion]]&gt; 4, "Delayed", "Normal")</f>
        <v>Normal</v>
      </c>
      <c r="V803" t="str">
        <f>IF(Table1[[#This Row],[Years
InCurrentRole]]&gt;4, "Role Stagnent", "Normal")</f>
        <v>Normal</v>
      </c>
      <c r="W803" t="str">
        <f>IF(AND(Table1[[#This Row],[Years
InCurrentRole]]&gt; 4, Table1[[#This Row],[Performance
Rating]]&gt;=3), "High Risk", "Normal")</f>
        <v>Normal</v>
      </c>
      <c r="X803" t="str">
        <f>IF(Table1[[#This Row],[Performance
Rating]]&gt;=4, "High Performer", "Low Performer")</f>
        <v>High Performer</v>
      </c>
    </row>
    <row r="804" spans="2:24" x14ac:dyDescent="0.3">
      <c r="B804" t="s">
        <v>19</v>
      </c>
      <c r="C804" t="s">
        <v>25</v>
      </c>
      <c r="D804">
        <v>1</v>
      </c>
      <c r="E804" t="s">
        <v>21</v>
      </c>
      <c r="F804">
        <v>1</v>
      </c>
      <c r="G804" t="s">
        <v>26</v>
      </c>
      <c r="H804">
        <v>4</v>
      </c>
      <c r="I804">
        <v>2168</v>
      </c>
      <c r="J804">
        <v>18</v>
      </c>
      <c r="K804">
        <v>3</v>
      </c>
      <c r="L804">
        <v>1</v>
      </c>
      <c r="M804">
        <v>6</v>
      </c>
      <c r="N804">
        <v>2</v>
      </c>
      <c r="O804">
        <v>2</v>
      </c>
      <c r="P804">
        <v>5</v>
      </c>
      <c r="Q804">
        <v>4</v>
      </c>
      <c r="R804">
        <v>1</v>
      </c>
      <c r="S804" t="s">
        <v>23</v>
      </c>
      <c r="T804" t="s">
        <v>37</v>
      </c>
      <c r="U804" t="str">
        <f>IF(Table1[[#This Row],[YearsSince
LastPromotion]]&gt; 4, "Delayed", "Normal")</f>
        <v>Normal</v>
      </c>
      <c r="V804" t="str">
        <f>IF(Table1[[#This Row],[Years
InCurrentRole]]&gt;4, "Role Stagnent", "Normal")</f>
        <v>Normal</v>
      </c>
      <c r="W804" t="str">
        <f>IF(AND(Table1[[#This Row],[Years
InCurrentRole]]&gt; 4, Table1[[#This Row],[Performance
Rating]]&gt;=3), "High Risk", "Normal")</f>
        <v>Normal</v>
      </c>
      <c r="X804" t="str">
        <f>IF(Table1[[#This Row],[Performance
Rating]]&gt;=4, "High Performer", "Low Performer")</f>
        <v>Low Performer</v>
      </c>
    </row>
    <row r="805" spans="2:24" x14ac:dyDescent="0.3">
      <c r="B805" t="s">
        <v>19</v>
      </c>
      <c r="C805" t="s">
        <v>25</v>
      </c>
      <c r="D805">
        <v>1</v>
      </c>
      <c r="E805" t="s">
        <v>21</v>
      </c>
      <c r="F805">
        <v>2</v>
      </c>
      <c r="G805" t="s">
        <v>33</v>
      </c>
      <c r="H805">
        <v>4</v>
      </c>
      <c r="I805">
        <v>5238</v>
      </c>
      <c r="J805">
        <v>20</v>
      </c>
      <c r="K805">
        <v>4</v>
      </c>
      <c r="L805">
        <v>0</v>
      </c>
      <c r="M805">
        <v>9</v>
      </c>
      <c r="N805">
        <v>3</v>
      </c>
      <c r="O805">
        <v>2</v>
      </c>
      <c r="P805">
        <v>5</v>
      </c>
      <c r="Q805">
        <v>4</v>
      </c>
      <c r="R805">
        <v>1</v>
      </c>
      <c r="S805" t="s">
        <v>23</v>
      </c>
      <c r="T805" t="s">
        <v>37</v>
      </c>
      <c r="U805" t="str">
        <f>IF(Table1[[#This Row],[YearsSince
LastPromotion]]&gt; 4, "Delayed", "Normal")</f>
        <v>Normal</v>
      </c>
      <c r="V805" t="str">
        <f>IF(Table1[[#This Row],[Years
InCurrentRole]]&gt;4, "Role Stagnent", "Normal")</f>
        <v>Normal</v>
      </c>
      <c r="W805" t="str">
        <f>IF(AND(Table1[[#This Row],[Years
InCurrentRole]]&gt; 4, Table1[[#This Row],[Performance
Rating]]&gt;=3), "High Risk", "Normal")</f>
        <v>Normal</v>
      </c>
      <c r="X805" t="str">
        <f>IF(Table1[[#This Row],[Performance
Rating]]&gt;=4, "High Performer", "Low Performer")</f>
        <v>High Performer</v>
      </c>
    </row>
    <row r="806" spans="2:24" x14ac:dyDescent="0.3">
      <c r="B806" t="s">
        <v>19</v>
      </c>
      <c r="C806" t="s">
        <v>20</v>
      </c>
      <c r="D806">
        <v>1</v>
      </c>
      <c r="E806" t="s">
        <v>21</v>
      </c>
      <c r="F806">
        <v>2</v>
      </c>
      <c r="G806" t="s">
        <v>32</v>
      </c>
      <c r="H806">
        <v>3</v>
      </c>
      <c r="I806">
        <v>4591</v>
      </c>
      <c r="J806">
        <v>17</v>
      </c>
      <c r="K806">
        <v>3</v>
      </c>
      <c r="L806">
        <v>1</v>
      </c>
      <c r="M806">
        <v>11</v>
      </c>
      <c r="N806">
        <v>4</v>
      </c>
      <c r="O806">
        <v>2</v>
      </c>
      <c r="P806">
        <v>5</v>
      </c>
      <c r="Q806">
        <v>4</v>
      </c>
      <c r="R806">
        <v>1</v>
      </c>
      <c r="S806" t="s">
        <v>23</v>
      </c>
      <c r="T806" t="s">
        <v>37</v>
      </c>
      <c r="U806" t="str">
        <f>IF(Table1[[#This Row],[YearsSince
LastPromotion]]&gt; 4, "Delayed", "Normal")</f>
        <v>Normal</v>
      </c>
      <c r="V806" t="str">
        <f>IF(Table1[[#This Row],[Years
InCurrentRole]]&gt;4, "Role Stagnent", "Normal")</f>
        <v>Normal</v>
      </c>
      <c r="W806" t="str">
        <f>IF(AND(Table1[[#This Row],[Years
InCurrentRole]]&gt; 4, Table1[[#This Row],[Performance
Rating]]&gt;=3), "High Risk", "Normal")</f>
        <v>Normal</v>
      </c>
      <c r="X806" t="str">
        <f>IF(Table1[[#This Row],[Performance
Rating]]&gt;=4, "High Performer", "Low Performer")</f>
        <v>Low Performer</v>
      </c>
    </row>
    <row r="807" spans="2:24" x14ac:dyDescent="0.3">
      <c r="B807" t="s">
        <v>19</v>
      </c>
      <c r="C807" t="s">
        <v>20</v>
      </c>
      <c r="D807">
        <v>1</v>
      </c>
      <c r="E807" t="s">
        <v>28</v>
      </c>
      <c r="F807">
        <v>2</v>
      </c>
      <c r="G807" t="s">
        <v>32</v>
      </c>
      <c r="H807">
        <v>2</v>
      </c>
      <c r="I807">
        <v>6349</v>
      </c>
      <c r="J807">
        <v>13</v>
      </c>
      <c r="K807">
        <v>3</v>
      </c>
      <c r="L807">
        <v>1</v>
      </c>
      <c r="M807">
        <v>6</v>
      </c>
      <c r="N807">
        <v>0</v>
      </c>
      <c r="O807">
        <v>3</v>
      </c>
      <c r="P807">
        <v>5</v>
      </c>
      <c r="Q807">
        <v>4</v>
      </c>
      <c r="R807">
        <v>1</v>
      </c>
      <c r="S807" t="s">
        <v>34</v>
      </c>
      <c r="T807" t="s">
        <v>37</v>
      </c>
      <c r="U807" t="str">
        <f>IF(Table1[[#This Row],[YearsSince
LastPromotion]]&gt; 4, "Delayed", "Normal")</f>
        <v>Normal</v>
      </c>
      <c r="V807" t="str">
        <f>IF(Table1[[#This Row],[Years
InCurrentRole]]&gt;4, "Role Stagnent", "Normal")</f>
        <v>Normal</v>
      </c>
      <c r="W807" t="str">
        <f>IF(AND(Table1[[#This Row],[Years
InCurrentRole]]&gt; 4, Table1[[#This Row],[Performance
Rating]]&gt;=3), "High Risk", "Normal")</f>
        <v>Normal</v>
      </c>
      <c r="X807" t="str">
        <f>IF(Table1[[#This Row],[Performance
Rating]]&gt;=4, "High Performer", "Low Performer")</f>
        <v>Low Performer</v>
      </c>
    </row>
    <row r="808" spans="2:24" x14ac:dyDescent="0.3">
      <c r="B808" t="s">
        <v>27</v>
      </c>
      <c r="C808" t="s">
        <v>25</v>
      </c>
      <c r="D808">
        <v>1</v>
      </c>
      <c r="E808" t="s">
        <v>28</v>
      </c>
      <c r="F808">
        <v>1</v>
      </c>
      <c r="G808" t="s">
        <v>29</v>
      </c>
      <c r="H808">
        <v>3</v>
      </c>
      <c r="I808">
        <v>3989</v>
      </c>
      <c r="J808">
        <v>11</v>
      </c>
      <c r="K808">
        <v>3</v>
      </c>
      <c r="L808">
        <v>0</v>
      </c>
      <c r="M808">
        <v>5</v>
      </c>
      <c r="N808">
        <v>2</v>
      </c>
      <c r="O808">
        <v>3</v>
      </c>
      <c r="P808">
        <v>5</v>
      </c>
      <c r="Q808">
        <v>4</v>
      </c>
      <c r="R808">
        <v>1</v>
      </c>
      <c r="S808" t="s">
        <v>34</v>
      </c>
      <c r="T808" t="s">
        <v>37</v>
      </c>
      <c r="U808" t="str">
        <f>IF(Table1[[#This Row],[YearsSince
LastPromotion]]&gt; 4, "Delayed", "Normal")</f>
        <v>Normal</v>
      </c>
      <c r="V808" t="str">
        <f>IF(Table1[[#This Row],[Years
InCurrentRole]]&gt;4, "Role Stagnent", "Normal")</f>
        <v>Normal</v>
      </c>
      <c r="W808" t="str">
        <f>IF(AND(Table1[[#This Row],[Years
InCurrentRole]]&gt; 4, Table1[[#This Row],[Performance
Rating]]&gt;=3), "High Risk", "Normal")</f>
        <v>Normal</v>
      </c>
      <c r="X808" t="str">
        <f>IF(Table1[[#This Row],[Performance
Rating]]&gt;=4, "High Performer", "Low Performer")</f>
        <v>Low Performer</v>
      </c>
    </row>
    <row r="809" spans="2:24" x14ac:dyDescent="0.3">
      <c r="B809" t="s">
        <v>19</v>
      </c>
      <c r="C809" t="s">
        <v>36</v>
      </c>
      <c r="D809">
        <v>1</v>
      </c>
      <c r="E809" t="s">
        <v>28</v>
      </c>
      <c r="F809">
        <v>1</v>
      </c>
      <c r="G809" t="s">
        <v>36</v>
      </c>
      <c r="H809">
        <v>3</v>
      </c>
      <c r="I809">
        <v>3600</v>
      </c>
      <c r="J809">
        <v>13</v>
      </c>
      <c r="K809">
        <v>3</v>
      </c>
      <c r="L809">
        <v>1</v>
      </c>
      <c r="M809">
        <v>5</v>
      </c>
      <c r="N809">
        <v>2</v>
      </c>
      <c r="O809">
        <v>3</v>
      </c>
      <c r="P809">
        <v>5</v>
      </c>
      <c r="Q809">
        <v>4</v>
      </c>
      <c r="R809">
        <v>1</v>
      </c>
      <c r="S809" t="s">
        <v>34</v>
      </c>
      <c r="T809" t="s">
        <v>37</v>
      </c>
      <c r="U809" t="str">
        <f>IF(Table1[[#This Row],[YearsSince
LastPromotion]]&gt; 4, "Delayed", "Normal")</f>
        <v>Normal</v>
      </c>
      <c r="V809" t="str">
        <f>IF(Table1[[#This Row],[Years
InCurrentRole]]&gt;4, "Role Stagnent", "Normal")</f>
        <v>Normal</v>
      </c>
      <c r="W809" t="str">
        <f>IF(AND(Table1[[#This Row],[Years
InCurrentRole]]&gt; 4, Table1[[#This Row],[Performance
Rating]]&gt;=3), "High Risk", "Normal")</f>
        <v>Normal</v>
      </c>
      <c r="X809" t="str">
        <f>IF(Table1[[#This Row],[Performance
Rating]]&gt;=4, "High Performer", "Low Performer")</f>
        <v>Low Performer</v>
      </c>
    </row>
    <row r="810" spans="2:24" x14ac:dyDescent="0.3">
      <c r="B810" t="s">
        <v>19</v>
      </c>
      <c r="C810" t="s">
        <v>20</v>
      </c>
      <c r="D810">
        <v>1</v>
      </c>
      <c r="E810" t="s">
        <v>21</v>
      </c>
      <c r="F810">
        <v>2</v>
      </c>
      <c r="G810" t="s">
        <v>32</v>
      </c>
      <c r="H810">
        <v>1</v>
      </c>
      <c r="I810">
        <v>4639</v>
      </c>
      <c r="J810">
        <v>15</v>
      </c>
      <c r="K810">
        <v>3</v>
      </c>
      <c r="L810">
        <v>1</v>
      </c>
      <c r="M810">
        <v>5</v>
      </c>
      <c r="N810">
        <v>2</v>
      </c>
      <c r="O810">
        <v>3</v>
      </c>
      <c r="P810">
        <v>5</v>
      </c>
      <c r="Q810">
        <v>4</v>
      </c>
      <c r="R810">
        <v>1</v>
      </c>
      <c r="S810" t="s">
        <v>34</v>
      </c>
      <c r="T810" t="s">
        <v>37</v>
      </c>
      <c r="U810" t="str">
        <f>IF(Table1[[#This Row],[YearsSince
LastPromotion]]&gt; 4, "Delayed", "Normal")</f>
        <v>Normal</v>
      </c>
      <c r="V810" t="str">
        <f>IF(Table1[[#This Row],[Years
InCurrentRole]]&gt;4, "Role Stagnent", "Normal")</f>
        <v>Normal</v>
      </c>
      <c r="W810" t="str">
        <f>IF(AND(Table1[[#This Row],[Years
InCurrentRole]]&gt; 4, Table1[[#This Row],[Performance
Rating]]&gt;=3), "High Risk", "Normal")</f>
        <v>Normal</v>
      </c>
      <c r="X810" t="str">
        <f>IF(Table1[[#This Row],[Performance
Rating]]&gt;=4, "High Performer", "Low Performer")</f>
        <v>Low Performer</v>
      </c>
    </row>
    <row r="811" spans="2:24" x14ac:dyDescent="0.3">
      <c r="B811" t="s">
        <v>19</v>
      </c>
      <c r="C811" t="s">
        <v>25</v>
      </c>
      <c r="D811">
        <v>1</v>
      </c>
      <c r="E811" t="s">
        <v>28</v>
      </c>
      <c r="F811">
        <v>2</v>
      </c>
      <c r="G811" t="s">
        <v>33</v>
      </c>
      <c r="H811">
        <v>3</v>
      </c>
      <c r="I811">
        <v>4345</v>
      </c>
      <c r="J811">
        <v>12</v>
      </c>
      <c r="K811">
        <v>3</v>
      </c>
      <c r="L811">
        <v>1</v>
      </c>
      <c r="M811">
        <v>6</v>
      </c>
      <c r="N811">
        <v>2</v>
      </c>
      <c r="O811">
        <v>3</v>
      </c>
      <c r="P811">
        <v>5</v>
      </c>
      <c r="Q811">
        <v>4</v>
      </c>
      <c r="R811">
        <v>1</v>
      </c>
      <c r="S811" t="s">
        <v>34</v>
      </c>
      <c r="T811" t="s">
        <v>37</v>
      </c>
      <c r="U811" t="str">
        <f>IF(Table1[[#This Row],[YearsSince
LastPromotion]]&gt; 4, "Delayed", "Normal")</f>
        <v>Normal</v>
      </c>
      <c r="V811" t="str">
        <f>IF(Table1[[#This Row],[Years
InCurrentRole]]&gt;4, "Role Stagnent", "Normal")</f>
        <v>Normal</v>
      </c>
      <c r="W811" t="str">
        <f>IF(AND(Table1[[#This Row],[Years
InCurrentRole]]&gt; 4, Table1[[#This Row],[Performance
Rating]]&gt;=3), "High Risk", "Normal")</f>
        <v>Normal</v>
      </c>
      <c r="X811" t="str">
        <f>IF(Table1[[#This Row],[Performance
Rating]]&gt;=4, "High Performer", "Low Performer")</f>
        <v>Low Performer</v>
      </c>
    </row>
    <row r="812" spans="2:24" x14ac:dyDescent="0.3">
      <c r="B812" t="s">
        <v>27</v>
      </c>
      <c r="C812" t="s">
        <v>20</v>
      </c>
      <c r="D812">
        <v>1</v>
      </c>
      <c r="E812" t="s">
        <v>21</v>
      </c>
      <c r="F812">
        <v>2</v>
      </c>
      <c r="G812" t="s">
        <v>32</v>
      </c>
      <c r="H812">
        <v>3</v>
      </c>
      <c r="I812">
        <v>6397</v>
      </c>
      <c r="J812">
        <v>12</v>
      </c>
      <c r="K812">
        <v>3</v>
      </c>
      <c r="L812">
        <v>0</v>
      </c>
      <c r="M812">
        <v>8</v>
      </c>
      <c r="N812">
        <v>2</v>
      </c>
      <c r="O812">
        <v>3</v>
      </c>
      <c r="P812">
        <v>5</v>
      </c>
      <c r="Q812">
        <v>4</v>
      </c>
      <c r="R812">
        <v>1</v>
      </c>
      <c r="S812" t="s">
        <v>34</v>
      </c>
      <c r="T812" t="s">
        <v>37</v>
      </c>
      <c r="U812" t="str">
        <f>IF(Table1[[#This Row],[YearsSince
LastPromotion]]&gt; 4, "Delayed", "Normal")</f>
        <v>Normal</v>
      </c>
      <c r="V812" t="str">
        <f>IF(Table1[[#This Row],[Years
InCurrentRole]]&gt;4, "Role Stagnent", "Normal")</f>
        <v>Normal</v>
      </c>
      <c r="W812" t="str">
        <f>IF(AND(Table1[[#This Row],[Years
InCurrentRole]]&gt; 4, Table1[[#This Row],[Performance
Rating]]&gt;=3), "High Risk", "Normal")</f>
        <v>Normal</v>
      </c>
      <c r="X812" t="str">
        <f>IF(Table1[[#This Row],[Performance
Rating]]&gt;=4, "High Performer", "Low Performer")</f>
        <v>Low Performer</v>
      </c>
    </row>
    <row r="813" spans="2:24" x14ac:dyDescent="0.3">
      <c r="B813" t="s">
        <v>19</v>
      </c>
      <c r="C813" t="s">
        <v>25</v>
      </c>
      <c r="D813">
        <v>1</v>
      </c>
      <c r="E813" t="s">
        <v>28</v>
      </c>
      <c r="F813">
        <v>1</v>
      </c>
      <c r="G813" t="s">
        <v>26</v>
      </c>
      <c r="H813">
        <v>3</v>
      </c>
      <c r="I813">
        <v>3038</v>
      </c>
      <c r="J813">
        <v>20</v>
      </c>
      <c r="K813">
        <v>4</v>
      </c>
      <c r="L813">
        <v>0</v>
      </c>
      <c r="M813">
        <v>8</v>
      </c>
      <c r="N813">
        <v>2</v>
      </c>
      <c r="O813">
        <v>3</v>
      </c>
      <c r="P813">
        <v>5</v>
      </c>
      <c r="Q813">
        <v>4</v>
      </c>
      <c r="R813">
        <v>1</v>
      </c>
      <c r="S813" t="s">
        <v>34</v>
      </c>
      <c r="T813" t="s">
        <v>37</v>
      </c>
      <c r="U813" t="str">
        <f>IF(Table1[[#This Row],[YearsSince
LastPromotion]]&gt; 4, "Delayed", "Normal")</f>
        <v>Normal</v>
      </c>
      <c r="V813" t="str">
        <f>IF(Table1[[#This Row],[Years
InCurrentRole]]&gt;4, "Role Stagnent", "Normal")</f>
        <v>Normal</v>
      </c>
      <c r="W813" t="str">
        <f>IF(AND(Table1[[#This Row],[Years
InCurrentRole]]&gt; 4, Table1[[#This Row],[Performance
Rating]]&gt;=3), "High Risk", "Normal")</f>
        <v>Normal</v>
      </c>
      <c r="X813" t="str">
        <f>IF(Table1[[#This Row],[Performance
Rating]]&gt;=4, "High Performer", "Low Performer")</f>
        <v>High Performer</v>
      </c>
    </row>
    <row r="814" spans="2:24" x14ac:dyDescent="0.3">
      <c r="B814" t="s">
        <v>27</v>
      </c>
      <c r="C814" t="s">
        <v>20</v>
      </c>
      <c r="D814">
        <v>1</v>
      </c>
      <c r="E814" t="s">
        <v>28</v>
      </c>
      <c r="F814">
        <v>3</v>
      </c>
      <c r="G814" t="s">
        <v>32</v>
      </c>
      <c r="H814">
        <v>2</v>
      </c>
      <c r="I814">
        <v>9094</v>
      </c>
      <c r="J814">
        <v>12</v>
      </c>
      <c r="K814">
        <v>3</v>
      </c>
      <c r="L814">
        <v>0</v>
      </c>
      <c r="M814">
        <v>9</v>
      </c>
      <c r="N814">
        <v>2</v>
      </c>
      <c r="O814">
        <v>3</v>
      </c>
      <c r="P814">
        <v>5</v>
      </c>
      <c r="Q814">
        <v>4</v>
      </c>
      <c r="R814">
        <v>1</v>
      </c>
      <c r="S814" t="s">
        <v>34</v>
      </c>
      <c r="T814" t="s">
        <v>37</v>
      </c>
      <c r="U814" t="str">
        <f>IF(Table1[[#This Row],[YearsSince
LastPromotion]]&gt; 4, "Delayed", "Normal")</f>
        <v>Normal</v>
      </c>
      <c r="V814" t="str">
        <f>IF(Table1[[#This Row],[Years
InCurrentRole]]&gt;4, "Role Stagnent", "Normal")</f>
        <v>Normal</v>
      </c>
      <c r="W814" t="str">
        <f>IF(AND(Table1[[#This Row],[Years
InCurrentRole]]&gt; 4, Table1[[#This Row],[Performance
Rating]]&gt;=3), "High Risk", "Normal")</f>
        <v>Normal</v>
      </c>
      <c r="X814" t="str">
        <f>IF(Table1[[#This Row],[Performance
Rating]]&gt;=4, "High Performer", "Low Performer")</f>
        <v>Low Performer</v>
      </c>
    </row>
    <row r="815" spans="2:24" x14ac:dyDescent="0.3">
      <c r="B815" t="s">
        <v>19</v>
      </c>
      <c r="C815" t="s">
        <v>25</v>
      </c>
      <c r="D815">
        <v>1</v>
      </c>
      <c r="E815" t="s">
        <v>21</v>
      </c>
      <c r="F815">
        <v>4</v>
      </c>
      <c r="G815" t="s">
        <v>22</v>
      </c>
      <c r="H815">
        <v>4</v>
      </c>
      <c r="I815">
        <v>16659</v>
      </c>
      <c r="J815">
        <v>13</v>
      </c>
      <c r="K815">
        <v>3</v>
      </c>
      <c r="L815">
        <v>0</v>
      </c>
      <c r="M815">
        <v>30</v>
      </c>
      <c r="N815">
        <v>2</v>
      </c>
      <c r="O815">
        <v>3</v>
      </c>
      <c r="P815">
        <v>5</v>
      </c>
      <c r="Q815">
        <v>4</v>
      </c>
      <c r="R815">
        <v>1</v>
      </c>
      <c r="S815" t="s">
        <v>34</v>
      </c>
      <c r="T815" t="s">
        <v>37</v>
      </c>
      <c r="U815" t="str">
        <f>IF(Table1[[#This Row],[YearsSince
LastPromotion]]&gt; 4, "Delayed", "Normal")</f>
        <v>Normal</v>
      </c>
      <c r="V815" t="str">
        <f>IF(Table1[[#This Row],[Years
InCurrentRole]]&gt;4, "Role Stagnent", "Normal")</f>
        <v>Normal</v>
      </c>
      <c r="W815" t="str">
        <f>IF(AND(Table1[[#This Row],[Years
InCurrentRole]]&gt; 4, Table1[[#This Row],[Performance
Rating]]&gt;=3), "High Risk", "Normal")</f>
        <v>Normal</v>
      </c>
      <c r="X815" t="str">
        <f>IF(Table1[[#This Row],[Performance
Rating]]&gt;=4, "High Performer", "Low Performer")</f>
        <v>Low Performer</v>
      </c>
    </row>
    <row r="816" spans="2:24" x14ac:dyDescent="0.3">
      <c r="B816" t="s">
        <v>19</v>
      </c>
      <c r="C816" t="s">
        <v>20</v>
      </c>
      <c r="D816">
        <v>1</v>
      </c>
      <c r="E816" t="s">
        <v>21</v>
      </c>
      <c r="F816">
        <v>2</v>
      </c>
      <c r="G816" t="s">
        <v>32</v>
      </c>
      <c r="H816">
        <v>4</v>
      </c>
      <c r="I816">
        <v>4487</v>
      </c>
      <c r="J816">
        <v>11</v>
      </c>
      <c r="K816">
        <v>3</v>
      </c>
      <c r="L816">
        <v>0</v>
      </c>
      <c r="M816">
        <v>5</v>
      </c>
      <c r="N816">
        <v>3</v>
      </c>
      <c r="O816">
        <v>3</v>
      </c>
      <c r="P816">
        <v>5</v>
      </c>
      <c r="Q816">
        <v>4</v>
      </c>
      <c r="R816">
        <v>1</v>
      </c>
      <c r="S816" t="s">
        <v>34</v>
      </c>
      <c r="T816" t="s">
        <v>37</v>
      </c>
      <c r="U816" t="str">
        <f>IF(Table1[[#This Row],[YearsSince
LastPromotion]]&gt; 4, "Delayed", "Normal")</f>
        <v>Normal</v>
      </c>
      <c r="V816" t="str">
        <f>IF(Table1[[#This Row],[Years
InCurrentRole]]&gt;4, "Role Stagnent", "Normal")</f>
        <v>Normal</v>
      </c>
      <c r="W816" t="str">
        <f>IF(AND(Table1[[#This Row],[Years
InCurrentRole]]&gt; 4, Table1[[#This Row],[Performance
Rating]]&gt;=3), "High Risk", "Normal")</f>
        <v>Normal</v>
      </c>
      <c r="X816" t="str">
        <f>IF(Table1[[#This Row],[Performance
Rating]]&gt;=4, "High Performer", "Low Performer")</f>
        <v>Low Performer</v>
      </c>
    </row>
    <row r="817" spans="2:24" x14ac:dyDescent="0.3">
      <c r="B817" t="s">
        <v>19</v>
      </c>
      <c r="C817" t="s">
        <v>25</v>
      </c>
      <c r="D817">
        <v>1</v>
      </c>
      <c r="E817" t="s">
        <v>28</v>
      </c>
      <c r="F817">
        <v>2</v>
      </c>
      <c r="G817" t="s">
        <v>33</v>
      </c>
      <c r="H817">
        <v>2</v>
      </c>
      <c r="I817">
        <v>5295</v>
      </c>
      <c r="J817">
        <v>21</v>
      </c>
      <c r="K817">
        <v>4</v>
      </c>
      <c r="L817">
        <v>0</v>
      </c>
      <c r="M817">
        <v>7</v>
      </c>
      <c r="N817">
        <v>3</v>
      </c>
      <c r="O817">
        <v>3</v>
      </c>
      <c r="P817">
        <v>5</v>
      </c>
      <c r="Q817">
        <v>4</v>
      </c>
      <c r="R817">
        <v>1</v>
      </c>
      <c r="S817" t="s">
        <v>34</v>
      </c>
      <c r="T817" t="s">
        <v>37</v>
      </c>
      <c r="U817" t="str">
        <f>IF(Table1[[#This Row],[YearsSince
LastPromotion]]&gt; 4, "Delayed", "Normal")</f>
        <v>Normal</v>
      </c>
      <c r="V817" t="str">
        <f>IF(Table1[[#This Row],[Years
InCurrentRole]]&gt;4, "Role Stagnent", "Normal")</f>
        <v>Normal</v>
      </c>
      <c r="W817" t="str">
        <f>IF(AND(Table1[[#This Row],[Years
InCurrentRole]]&gt; 4, Table1[[#This Row],[Performance
Rating]]&gt;=3), "High Risk", "Normal")</f>
        <v>Normal</v>
      </c>
      <c r="X817" t="str">
        <f>IF(Table1[[#This Row],[Performance
Rating]]&gt;=4, "High Performer", "Low Performer")</f>
        <v>High Performer</v>
      </c>
    </row>
    <row r="818" spans="2:24" x14ac:dyDescent="0.3">
      <c r="B818" t="s">
        <v>19</v>
      </c>
      <c r="C818" t="s">
        <v>25</v>
      </c>
      <c r="D818">
        <v>1</v>
      </c>
      <c r="E818" t="s">
        <v>28</v>
      </c>
      <c r="F818">
        <v>2</v>
      </c>
      <c r="G818" t="s">
        <v>33</v>
      </c>
      <c r="H818">
        <v>2</v>
      </c>
      <c r="I818">
        <v>6032</v>
      </c>
      <c r="J818">
        <v>15</v>
      </c>
      <c r="K818">
        <v>3</v>
      </c>
      <c r="L818">
        <v>0</v>
      </c>
      <c r="M818">
        <v>8</v>
      </c>
      <c r="N818">
        <v>3</v>
      </c>
      <c r="O818">
        <v>3</v>
      </c>
      <c r="P818">
        <v>5</v>
      </c>
      <c r="Q818">
        <v>4</v>
      </c>
      <c r="R818">
        <v>1</v>
      </c>
      <c r="S818" t="s">
        <v>34</v>
      </c>
      <c r="T818" t="s">
        <v>37</v>
      </c>
      <c r="U818" t="str">
        <f>IF(Table1[[#This Row],[YearsSince
LastPromotion]]&gt; 4, "Delayed", "Normal")</f>
        <v>Normal</v>
      </c>
      <c r="V818" t="str">
        <f>IF(Table1[[#This Row],[Years
InCurrentRole]]&gt;4, "Role Stagnent", "Normal")</f>
        <v>Normal</v>
      </c>
      <c r="W818" t="str">
        <f>IF(AND(Table1[[#This Row],[Years
InCurrentRole]]&gt; 4, Table1[[#This Row],[Performance
Rating]]&gt;=3), "High Risk", "Normal")</f>
        <v>Normal</v>
      </c>
      <c r="X818" t="str">
        <f>IF(Table1[[#This Row],[Performance
Rating]]&gt;=4, "High Performer", "Low Performer")</f>
        <v>Low Performer</v>
      </c>
    </row>
    <row r="819" spans="2:24" x14ac:dyDescent="0.3">
      <c r="B819" t="s">
        <v>19</v>
      </c>
      <c r="C819" t="s">
        <v>20</v>
      </c>
      <c r="D819">
        <v>1</v>
      </c>
      <c r="E819" t="s">
        <v>21</v>
      </c>
      <c r="F819">
        <v>2</v>
      </c>
      <c r="G819" t="s">
        <v>32</v>
      </c>
      <c r="H819">
        <v>2</v>
      </c>
      <c r="I819">
        <v>4393</v>
      </c>
      <c r="J819">
        <v>21</v>
      </c>
      <c r="K819">
        <v>4</v>
      </c>
      <c r="L819">
        <v>1</v>
      </c>
      <c r="M819">
        <v>14</v>
      </c>
      <c r="N819">
        <v>3</v>
      </c>
      <c r="O819">
        <v>3</v>
      </c>
      <c r="P819">
        <v>5</v>
      </c>
      <c r="Q819">
        <v>4</v>
      </c>
      <c r="R819">
        <v>1</v>
      </c>
      <c r="S819" t="s">
        <v>34</v>
      </c>
      <c r="T819" t="s">
        <v>37</v>
      </c>
      <c r="U819" t="str">
        <f>IF(Table1[[#This Row],[YearsSince
LastPromotion]]&gt; 4, "Delayed", "Normal")</f>
        <v>Normal</v>
      </c>
      <c r="V819" t="str">
        <f>IF(Table1[[#This Row],[Years
InCurrentRole]]&gt;4, "Role Stagnent", "Normal")</f>
        <v>Normal</v>
      </c>
      <c r="W819" t="str">
        <f>IF(AND(Table1[[#This Row],[Years
InCurrentRole]]&gt; 4, Table1[[#This Row],[Performance
Rating]]&gt;=3), "High Risk", "Normal")</f>
        <v>Normal</v>
      </c>
      <c r="X819" t="str">
        <f>IF(Table1[[#This Row],[Performance
Rating]]&gt;=4, "High Performer", "Low Performer")</f>
        <v>High Performer</v>
      </c>
    </row>
    <row r="820" spans="2:24" x14ac:dyDescent="0.3">
      <c r="B820" t="s">
        <v>19</v>
      </c>
      <c r="C820" t="s">
        <v>20</v>
      </c>
      <c r="D820">
        <v>1</v>
      </c>
      <c r="E820" t="s">
        <v>28</v>
      </c>
      <c r="F820">
        <v>2</v>
      </c>
      <c r="G820" t="s">
        <v>32</v>
      </c>
      <c r="H820">
        <v>1</v>
      </c>
      <c r="I820">
        <v>8463</v>
      </c>
      <c r="J820">
        <v>18</v>
      </c>
      <c r="K820">
        <v>3</v>
      </c>
      <c r="L820">
        <v>0</v>
      </c>
      <c r="M820">
        <v>6</v>
      </c>
      <c r="N820">
        <v>4</v>
      </c>
      <c r="O820">
        <v>3</v>
      </c>
      <c r="P820">
        <v>5</v>
      </c>
      <c r="Q820">
        <v>4</v>
      </c>
      <c r="R820">
        <v>1</v>
      </c>
      <c r="S820" t="s">
        <v>34</v>
      </c>
      <c r="T820" t="s">
        <v>37</v>
      </c>
      <c r="U820" t="str">
        <f>IF(Table1[[#This Row],[YearsSince
LastPromotion]]&gt; 4, "Delayed", "Normal")</f>
        <v>Normal</v>
      </c>
      <c r="V820" t="str">
        <f>IF(Table1[[#This Row],[Years
InCurrentRole]]&gt;4, "Role Stagnent", "Normal")</f>
        <v>Normal</v>
      </c>
      <c r="W820" t="str">
        <f>IF(AND(Table1[[#This Row],[Years
InCurrentRole]]&gt; 4, Table1[[#This Row],[Performance
Rating]]&gt;=3), "High Risk", "Normal")</f>
        <v>Normal</v>
      </c>
      <c r="X820" t="str">
        <f>IF(Table1[[#This Row],[Performance
Rating]]&gt;=4, "High Performer", "Low Performer")</f>
        <v>Low Performer</v>
      </c>
    </row>
    <row r="821" spans="2:24" x14ac:dyDescent="0.3">
      <c r="B821" t="s">
        <v>19</v>
      </c>
      <c r="C821" t="s">
        <v>20</v>
      </c>
      <c r="D821">
        <v>1</v>
      </c>
      <c r="E821" t="s">
        <v>21</v>
      </c>
      <c r="F821">
        <v>2</v>
      </c>
      <c r="G821" t="s">
        <v>32</v>
      </c>
      <c r="H821">
        <v>2</v>
      </c>
      <c r="I821">
        <v>5715</v>
      </c>
      <c r="J821">
        <v>12</v>
      </c>
      <c r="K821">
        <v>3</v>
      </c>
      <c r="L821">
        <v>2</v>
      </c>
      <c r="M821">
        <v>8</v>
      </c>
      <c r="N821">
        <v>5</v>
      </c>
      <c r="O821">
        <v>3</v>
      </c>
      <c r="P821">
        <v>5</v>
      </c>
      <c r="Q821">
        <v>4</v>
      </c>
      <c r="R821">
        <v>1</v>
      </c>
      <c r="S821" t="s">
        <v>34</v>
      </c>
      <c r="T821" t="s">
        <v>37</v>
      </c>
      <c r="U821" t="str">
        <f>IF(Table1[[#This Row],[YearsSince
LastPromotion]]&gt; 4, "Delayed", "Normal")</f>
        <v>Normal</v>
      </c>
      <c r="V821" t="str">
        <f>IF(Table1[[#This Row],[Years
InCurrentRole]]&gt;4, "Role Stagnent", "Normal")</f>
        <v>Normal</v>
      </c>
      <c r="W821" t="str">
        <f>IF(AND(Table1[[#This Row],[Years
InCurrentRole]]&gt; 4, Table1[[#This Row],[Performance
Rating]]&gt;=3), "High Risk", "Normal")</f>
        <v>Normal</v>
      </c>
      <c r="X821" t="str">
        <f>IF(Table1[[#This Row],[Performance
Rating]]&gt;=4, "High Performer", "Low Performer")</f>
        <v>Low Performer</v>
      </c>
    </row>
    <row r="822" spans="2:24" x14ac:dyDescent="0.3">
      <c r="B822" t="s">
        <v>27</v>
      </c>
      <c r="C822" t="s">
        <v>25</v>
      </c>
      <c r="D822">
        <v>1</v>
      </c>
      <c r="E822" t="s">
        <v>28</v>
      </c>
      <c r="F822">
        <v>1</v>
      </c>
      <c r="G822" t="s">
        <v>29</v>
      </c>
      <c r="H822">
        <v>2</v>
      </c>
      <c r="I822">
        <v>3479</v>
      </c>
      <c r="J822">
        <v>11</v>
      </c>
      <c r="K822">
        <v>3</v>
      </c>
      <c r="L822">
        <v>0</v>
      </c>
      <c r="M822">
        <v>6</v>
      </c>
      <c r="N822">
        <v>2</v>
      </c>
      <c r="O822">
        <v>4</v>
      </c>
      <c r="P822">
        <v>5</v>
      </c>
      <c r="Q822">
        <v>4</v>
      </c>
      <c r="R822">
        <v>1</v>
      </c>
      <c r="S822" t="s">
        <v>34</v>
      </c>
      <c r="T822" t="s">
        <v>37</v>
      </c>
      <c r="U822" t="str">
        <f>IF(Table1[[#This Row],[YearsSince
LastPromotion]]&gt; 4, "Delayed", "Normal")</f>
        <v>Normal</v>
      </c>
      <c r="V822" t="str">
        <f>IF(Table1[[#This Row],[Years
InCurrentRole]]&gt;4, "Role Stagnent", "Normal")</f>
        <v>Normal</v>
      </c>
      <c r="W822" t="str">
        <f>IF(AND(Table1[[#This Row],[Years
InCurrentRole]]&gt; 4, Table1[[#This Row],[Performance
Rating]]&gt;=3), "High Risk", "Normal")</f>
        <v>Normal</v>
      </c>
      <c r="X822" t="str">
        <f>IF(Table1[[#This Row],[Performance
Rating]]&gt;=4, "High Performer", "Low Performer")</f>
        <v>Low Performer</v>
      </c>
    </row>
    <row r="823" spans="2:24" x14ac:dyDescent="0.3">
      <c r="B823" t="s">
        <v>19</v>
      </c>
      <c r="C823" t="s">
        <v>25</v>
      </c>
      <c r="D823">
        <v>1</v>
      </c>
      <c r="E823" t="s">
        <v>28</v>
      </c>
      <c r="F823">
        <v>1</v>
      </c>
      <c r="G823" t="s">
        <v>26</v>
      </c>
      <c r="H823">
        <v>4</v>
      </c>
      <c r="I823">
        <v>4930</v>
      </c>
      <c r="J823">
        <v>14</v>
      </c>
      <c r="K823">
        <v>3</v>
      </c>
      <c r="L823">
        <v>0</v>
      </c>
      <c r="M823">
        <v>6</v>
      </c>
      <c r="N823">
        <v>2</v>
      </c>
      <c r="O823">
        <v>4</v>
      </c>
      <c r="P823">
        <v>5</v>
      </c>
      <c r="Q823">
        <v>4</v>
      </c>
      <c r="R823">
        <v>1</v>
      </c>
      <c r="S823" t="s">
        <v>34</v>
      </c>
      <c r="T823" t="s">
        <v>37</v>
      </c>
      <c r="U823" t="str">
        <f>IF(Table1[[#This Row],[YearsSince
LastPromotion]]&gt; 4, "Delayed", "Normal")</f>
        <v>Normal</v>
      </c>
      <c r="V823" t="str">
        <f>IF(Table1[[#This Row],[Years
InCurrentRole]]&gt;4, "Role Stagnent", "Normal")</f>
        <v>Normal</v>
      </c>
      <c r="W823" t="str">
        <f>IF(AND(Table1[[#This Row],[Years
InCurrentRole]]&gt; 4, Table1[[#This Row],[Performance
Rating]]&gt;=3), "High Risk", "Normal")</f>
        <v>Normal</v>
      </c>
      <c r="X823" t="str">
        <f>IF(Table1[[#This Row],[Performance
Rating]]&gt;=4, "High Performer", "Low Performer")</f>
        <v>Low Performer</v>
      </c>
    </row>
    <row r="824" spans="2:24" x14ac:dyDescent="0.3">
      <c r="B824" t="s">
        <v>19</v>
      </c>
      <c r="C824" t="s">
        <v>20</v>
      </c>
      <c r="D824">
        <v>1</v>
      </c>
      <c r="E824" t="s">
        <v>28</v>
      </c>
      <c r="F824">
        <v>2</v>
      </c>
      <c r="G824" t="s">
        <v>32</v>
      </c>
      <c r="H824">
        <v>4</v>
      </c>
      <c r="I824">
        <v>9998</v>
      </c>
      <c r="J824">
        <v>13</v>
      </c>
      <c r="K824">
        <v>3</v>
      </c>
      <c r="L824">
        <v>0</v>
      </c>
      <c r="M824">
        <v>8</v>
      </c>
      <c r="N824">
        <v>2</v>
      </c>
      <c r="O824">
        <v>4</v>
      </c>
      <c r="P824">
        <v>5</v>
      </c>
      <c r="Q824">
        <v>4</v>
      </c>
      <c r="R824">
        <v>1</v>
      </c>
      <c r="S824" t="s">
        <v>34</v>
      </c>
      <c r="T824" t="s">
        <v>37</v>
      </c>
      <c r="U824" t="str">
        <f>IF(Table1[[#This Row],[YearsSince
LastPromotion]]&gt; 4, "Delayed", "Normal")</f>
        <v>Normal</v>
      </c>
      <c r="V824" t="str">
        <f>IF(Table1[[#This Row],[Years
InCurrentRole]]&gt;4, "Role Stagnent", "Normal")</f>
        <v>Normal</v>
      </c>
      <c r="W824" t="str">
        <f>IF(AND(Table1[[#This Row],[Years
InCurrentRole]]&gt; 4, Table1[[#This Row],[Performance
Rating]]&gt;=3), "High Risk", "Normal")</f>
        <v>Normal</v>
      </c>
      <c r="X824" t="str">
        <f>IF(Table1[[#This Row],[Performance
Rating]]&gt;=4, "High Performer", "Low Performer")</f>
        <v>Low Performer</v>
      </c>
    </row>
    <row r="825" spans="2:24" x14ac:dyDescent="0.3">
      <c r="B825" t="s">
        <v>19</v>
      </c>
      <c r="C825" t="s">
        <v>20</v>
      </c>
      <c r="D825">
        <v>1</v>
      </c>
      <c r="E825" t="s">
        <v>28</v>
      </c>
      <c r="F825">
        <v>2</v>
      </c>
      <c r="G825" t="s">
        <v>32</v>
      </c>
      <c r="H825">
        <v>4</v>
      </c>
      <c r="I825">
        <v>6120</v>
      </c>
      <c r="J825">
        <v>12</v>
      </c>
      <c r="K825">
        <v>3</v>
      </c>
      <c r="L825">
        <v>2</v>
      </c>
      <c r="M825">
        <v>8</v>
      </c>
      <c r="N825">
        <v>2</v>
      </c>
      <c r="O825">
        <v>4</v>
      </c>
      <c r="P825">
        <v>5</v>
      </c>
      <c r="Q825">
        <v>4</v>
      </c>
      <c r="R825">
        <v>1</v>
      </c>
      <c r="S825" t="s">
        <v>34</v>
      </c>
      <c r="T825" t="s">
        <v>37</v>
      </c>
      <c r="U825" t="str">
        <f>IF(Table1[[#This Row],[YearsSince
LastPromotion]]&gt; 4, "Delayed", "Normal")</f>
        <v>Normal</v>
      </c>
      <c r="V825" t="str">
        <f>IF(Table1[[#This Row],[Years
InCurrentRole]]&gt;4, "Role Stagnent", "Normal")</f>
        <v>Normal</v>
      </c>
      <c r="W825" t="str">
        <f>IF(AND(Table1[[#This Row],[Years
InCurrentRole]]&gt; 4, Table1[[#This Row],[Performance
Rating]]&gt;=3), "High Risk", "Normal")</f>
        <v>Normal</v>
      </c>
      <c r="X825" t="str">
        <f>IF(Table1[[#This Row],[Performance
Rating]]&gt;=4, "High Performer", "Low Performer")</f>
        <v>Low Performer</v>
      </c>
    </row>
    <row r="826" spans="2:24" x14ac:dyDescent="0.3">
      <c r="B826" t="s">
        <v>19</v>
      </c>
      <c r="C826" t="s">
        <v>25</v>
      </c>
      <c r="D826">
        <v>1</v>
      </c>
      <c r="E826" t="s">
        <v>28</v>
      </c>
      <c r="F826">
        <v>1</v>
      </c>
      <c r="G826" t="s">
        <v>26</v>
      </c>
      <c r="H826">
        <v>2</v>
      </c>
      <c r="I826">
        <v>2141</v>
      </c>
      <c r="J826">
        <v>12</v>
      </c>
      <c r="K826">
        <v>3</v>
      </c>
      <c r="L826">
        <v>1</v>
      </c>
      <c r="M826">
        <v>6</v>
      </c>
      <c r="N826">
        <v>3</v>
      </c>
      <c r="O826">
        <v>2</v>
      </c>
      <c r="P826">
        <v>6</v>
      </c>
      <c r="Q826">
        <v>4</v>
      </c>
      <c r="R826">
        <v>1</v>
      </c>
      <c r="S826" t="s">
        <v>23</v>
      </c>
      <c r="T826" t="s">
        <v>37</v>
      </c>
      <c r="U826" t="str">
        <f>IF(Table1[[#This Row],[YearsSince
LastPromotion]]&gt; 4, "Delayed", "Normal")</f>
        <v>Normal</v>
      </c>
      <c r="V826" t="str">
        <f>IF(Table1[[#This Row],[Years
InCurrentRole]]&gt;4, "Role Stagnent", "Normal")</f>
        <v>Normal</v>
      </c>
      <c r="W826" t="str">
        <f>IF(AND(Table1[[#This Row],[Years
InCurrentRole]]&gt; 4, Table1[[#This Row],[Performance
Rating]]&gt;=3), "High Risk", "Normal")</f>
        <v>Normal</v>
      </c>
      <c r="X826" t="str">
        <f>IF(Table1[[#This Row],[Performance
Rating]]&gt;=4, "High Performer", "Low Performer")</f>
        <v>Low Performer</v>
      </c>
    </row>
    <row r="827" spans="2:24" x14ac:dyDescent="0.3">
      <c r="B827" t="s">
        <v>19</v>
      </c>
      <c r="C827" t="s">
        <v>25</v>
      </c>
      <c r="D827">
        <v>1</v>
      </c>
      <c r="E827" t="s">
        <v>28</v>
      </c>
      <c r="F827">
        <v>1</v>
      </c>
      <c r="G827" t="s">
        <v>26</v>
      </c>
      <c r="H827">
        <v>3</v>
      </c>
      <c r="I827">
        <v>2996</v>
      </c>
      <c r="J827">
        <v>15</v>
      </c>
      <c r="K827">
        <v>3</v>
      </c>
      <c r="L827">
        <v>0</v>
      </c>
      <c r="M827">
        <v>8</v>
      </c>
      <c r="N827">
        <v>2</v>
      </c>
      <c r="O827">
        <v>3</v>
      </c>
      <c r="P827">
        <v>6</v>
      </c>
      <c r="Q827">
        <v>4</v>
      </c>
      <c r="R827">
        <v>1</v>
      </c>
      <c r="S827" t="s">
        <v>34</v>
      </c>
      <c r="T827" t="s">
        <v>37</v>
      </c>
      <c r="U827" t="str">
        <f>IF(Table1[[#This Row],[YearsSince
LastPromotion]]&gt; 4, "Delayed", "Normal")</f>
        <v>Normal</v>
      </c>
      <c r="V827" t="str">
        <f>IF(Table1[[#This Row],[Years
InCurrentRole]]&gt;4, "Role Stagnent", "Normal")</f>
        <v>Normal</v>
      </c>
      <c r="W827" t="str">
        <f>IF(AND(Table1[[#This Row],[Years
InCurrentRole]]&gt; 4, Table1[[#This Row],[Performance
Rating]]&gt;=3), "High Risk", "Normal")</f>
        <v>Normal</v>
      </c>
      <c r="X827" t="str">
        <f>IF(Table1[[#This Row],[Performance
Rating]]&gt;=4, "High Performer", "Low Performer")</f>
        <v>Low Performer</v>
      </c>
    </row>
    <row r="828" spans="2:24" x14ac:dyDescent="0.3">
      <c r="B828" t="s">
        <v>27</v>
      </c>
      <c r="C828" t="s">
        <v>20</v>
      </c>
      <c r="D828">
        <v>1</v>
      </c>
      <c r="E828" t="s">
        <v>28</v>
      </c>
      <c r="F828">
        <v>2</v>
      </c>
      <c r="G828" t="s">
        <v>32</v>
      </c>
      <c r="H828">
        <v>3</v>
      </c>
      <c r="I828">
        <v>6380</v>
      </c>
      <c r="J828">
        <v>12</v>
      </c>
      <c r="K828">
        <v>3</v>
      </c>
      <c r="L828">
        <v>2</v>
      </c>
      <c r="M828">
        <v>8</v>
      </c>
      <c r="N828">
        <v>6</v>
      </c>
      <c r="O828">
        <v>3</v>
      </c>
      <c r="P828">
        <v>6</v>
      </c>
      <c r="Q828">
        <v>4</v>
      </c>
      <c r="R828">
        <v>1</v>
      </c>
      <c r="S828" t="s">
        <v>34</v>
      </c>
      <c r="T828" t="s">
        <v>37</v>
      </c>
      <c r="U828" t="str">
        <f>IF(Table1[[#This Row],[YearsSince
LastPromotion]]&gt; 4, "Delayed", "Normal")</f>
        <v>Normal</v>
      </c>
      <c r="V828" t="str">
        <f>IF(Table1[[#This Row],[Years
InCurrentRole]]&gt;4, "Role Stagnent", "Normal")</f>
        <v>Normal</v>
      </c>
      <c r="W828" t="str">
        <f>IF(AND(Table1[[#This Row],[Years
InCurrentRole]]&gt; 4, Table1[[#This Row],[Performance
Rating]]&gt;=3), "High Risk", "Normal")</f>
        <v>Normal</v>
      </c>
      <c r="X828" t="str">
        <f>IF(Table1[[#This Row],[Performance
Rating]]&gt;=4, "High Performer", "Low Performer")</f>
        <v>Low Performer</v>
      </c>
    </row>
    <row r="829" spans="2:24" x14ac:dyDescent="0.3">
      <c r="B829" t="s">
        <v>19</v>
      </c>
      <c r="C829" t="s">
        <v>25</v>
      </c>
      <c r="D829">
        <v>1</v>
      </c>
      <c r="E829" t="s">
        <v>28</v>
      </c>
      <c r="F829">
        <v>2</v>
      </c>
      <c r="G829" t="s">
        <v>31</v>
      </c>
      <c r="H829">
        <v>4</v>
      </c>
      <c r="I829">
        <v>8853</v>
      </c>
      <c r="J829">
        <v>19</v>
      </c>
      <c r="K829">
        <v>3</v>
      </c>
      <c r="L829">
        <v>1</v>
      </c>
      <c r="M829">
        <v>6</v>
      </c>
      <c r="N829">
        <v>0</v>
      </c>
      <c r="O829">
        <v>4</v>
      </c>
      <c r="P829">
        <v>6</v>
      </c>
      <c r="Q829">
        <v>4</v>
      </c>
      <c r="R829">
        <v>1</v>
      </c>
      <c r="S829" t="s">
        <v>34</v>
      </c>
      <c r="T829" t="s">
        <v>37</v>
      </c>
      <c r="U829" t="str">
        <f>IF(Table1[[#This Row],[YearsSince
LastPromotion]]&gt; 4, "Delayed", "Normal")</f>
        <v>Normal</v>
      </c>
      <c r="V829" t="str">
        <f>IF(Table1[[#This Row],[Years
InCurrentRole]]&gt;4, "Role Stagnent", "Normal")</f>
        <v>Normal</v>
      </c>
      <c r="W829" t="str">
        <f>IF(AND(Table1[[#This Row],[Years
InCurrentRole]]&gt; 4, Table1[[#This Row],[Performance
Rating]]&gt;=3), "High Risk", "Normal")</f>
        <v>Normal</v>
      </c>
      <c r="X829" t="str">
        <f>IF(Table1[[#This Row],[Performance
Rating]]&gt;=4, "High Performer", "Low Performer")</f>
        <v>Low Performer</v>
      </c>
    </row>
    <row r="830" spans="2:24" x14ac:dyDescent="0.3">
      <c r="B830" t="s">
        <v>19</v>
      </c>
      <c r="C830" t="s">
        <v>20</v>
      </c>
      <c r="D830">
        <v>1</v>
      </c>
      <c r="E830" t="s">
        <v>28</v>
      </c>
      <c r="F830">
        <v>2</v>
      </c>
      <c r="G830" t="s">
        <v>32</v>
      </c>
      <c r="H830">
        <v>1</v>
      </c>
      <c r="I830">
        <v>5155</v>
      </c>
      <c r="J830">
        <v>13</v>
      </c>
      <c r="K830">
        <v>3</v>
      </c>
      <c r="L830">
        <v>0</v>
      </c>
      <c r="M830">
        <v>9</v>
      </c>
      <c r="N830">
        <v>3</v>
      </c>
      <c r="O830">
        <v>4</v>
      </c>
      <c r="P830">
        <v>6</v>
      </c>
      <c r="Q830">
        <v>4</v>
      </c>
      <c r="R830">
        <v>1</v>
      </c>
      <c r="S830" t="s">
        <v>34</v>
      </c>
      <c r="T830" t="s">
        <v>37</v>
      </c>
      <c r="U830" t="str">
        <f>IF(Table1[[#This Row],[YearsSince
LastPromotion]]&gt; 4, "Delayed", "Normal")</f>
        <v>Normal</v>
      </c>
      <c r="V830" t="str">
        <f>IF(Table1[[#This Row],[Years
InCurrentRole]]&gt;4, "Role Stagnent", "Normal")</f>
        <v>Normal</v>
      </c>
      <c r="W830" t="str">
        <f>IF(AND(Table1[[#This Row],[Years
InCurrentRole]]&gt; 4, Table1[[#This Row],[Performance
Rating]]&gt;=3), "High Risk", "Normal")</f>
        <v>Normal</v>
      </c>
      <c r="X830" t="str">
        <f>IF(Table1[[#This Row],[Performance
Rating]]&gt;=4, "High Performer", "Low Performer")</f>
        <v>Low Performer</v>
      </c>
    </row>
    <row r="831" spans="2:24" x14ac:dyDescent="0.3">
      <c r="B831" t="s">
        <v>19</v>
      </c>
      <c r="C831" t="s">
        <v>25</v>
      </c>
      <c r="D831">
        <v>1</v>
      </c>
      <c r="E831" t="s">
        <v>21</v>
      </c>
      <c r="F831">
        <v>2</v>
      </c>
      <c r="G831" t="s">
        <v>33</v>
      </c>
      <c r="H831">
        <v>3</v>
      </c>
      <c r="I831">
        <v>4695</v>
      </c>
      <c r="J831">
        <v>18</v>
      </c>
      <c r="K831">
        <v>3</v>
      </c>
      <c r="L831">
        <v>0</v>
      </c>
      <c r="M831">
        <v>10</v>
      </c>
      <c r="N831">
        <v>3</v>
      </c>
      <c r="O831">
        <v>3</v>
      </c>
      <c r="P831">
        <v>8</v>
      </c>
      <c r="Q831">
        <v>4</v>
      </c>
      <c r="R831">
        <v>1</v>
      </c>
      <c r="S831" t="s">
        <v>34</v>
      </c>
      <c r="T831" t="s">
        <v>37</v>
      </c>
      <c r="U831" t="str">
        <f>IF(Table1[[#This Row],[YearsSince
LastPromotion]]&gt; 4, "Delayed", "Normal")</f>
        <v>Normal</v>
      </c>
      <c r="V831" t="str">
        <f>IF(Table1[[#This Row],[Years
InCurrentRole]]&gt;4, "Role Stagnent", "Normal")</f>
        <v>Normal</v>
      </c>
      <c r="W831" t="str">
        <f>IF(AND(Table1[[#This Row],[Years
InCurrentRole]]&gt; 4, Table1[[#This Row],[Performance
Rating]]&gt;=3), "High Risk", "Normal")</f>
        <v>Normal</v>
      </c>
      <c r="X831" t="str">
        <f>IF(Table1[[#This Row],[Performance
Rating]]&gt;=4, "High Performer", "Low Performer")</f>
        <v>Low Performer</v>
      </c>
    </row>
    <row r="832" spans="2:24" x14ac:dyDescent="0.3">
      <c r="B832" t="s">
        <v>19</v>
      </c>
      <c r="C832" t="s">
        <v>25</v>
      </c>
      <c r="D832">
        <v>1</v>
      </c>
      <c r="E832" t="s">
        <v>28</v>
      </c>
      <c r="F832">
        <v>2</v>
      </c>
      <c r="G832" t="s">
        <v>33</v>
      </c>
      <c r="H832">
        <v>1</v>
      </c>
      <c r="I832">
        <v>9936</v>
      </c>
      <c r="J832">
        <v>19</v>
      </c>
      <c r="K832">
        <v>3</v>
      </c>
      <c r="L832">
        <v>0</v>
      </c>
      <c r="M832">
        <v>10</v>
      </c>
      <c r="N832">
        <v>2</v>
      </c>
      <c r="O832">
        <v>3</v>
      </c>
      <c r="P832">
        <v>9</v>
      </c>
      <c r="Q832">
        <v>4</v>
      </c>
      <c r="R832">
        <v>1</v>
      </c>
      <c r="S832" t="s">
        <v>34</v>
      </c>
      <c r="T832" t="s">
        <v>37</v>
      </c>
      <c r="U832" t="str">
        <f>IF(Table1[[#This Row],[YearsSince
LastPromotion]]&gt; 4, "Delayed", "Normal")</f>
        <v>Normal</v>
      </c>
      <c r="V832" t="str">
        <f>IF(Table1[[#This Row],[Years
InCurrentRole]]&gt;4, "Role Stagnent", "Normal")</f>
        <v>Normal</v>
      </c>
      <c r="W832" t="str">
        <f>IF(AND(Table1[[#This Row],[Years
InCurrentRole]]&gt; 4, Table1[[#This Row],[Performance
Rating]]&gt;=3), "High Risk", "Normal")</f>
        <v>Normal</v>
      </c>
      <c r="X832" t="str">
        <f>IF(Table1[[#This Row],[Performance
Rating]]&gt;=4, "High Performer", "Low Performer")</f>
        <v>Low Performer</v>
      </c>
    </row>
    <row r="833" spans="2:24" x14ac:dyDescent="0.3">
      <c r="B833" t="s">
        <v>19</v>
      </c>
      <c r="C833" t="s">
        <v>25</v>
      </c>
      <c r="D833">
        <v>1</v>
      </c>
      <c r="E833" t="s">
        <v>28</v>
      </c>
      <c r="F833">
        <v>2</v>
      </c>
      <c r="G833" t="s">
        <v>29</v>
      </c>
      <c r="H833">
        <v>4</v>
      </c>
      <c r="I833">
        <v>5810</v>
      </c>
      <c r="J833">
        <v>16</v>
      </c>
      <c r="K833">
        <v>3</v>
      </c>
      <c r="L833">
        <v>0</v>
      </c>
      <c r="M833">
        <v>10</v>
      </c>
      <c r="N833">
        <v>2</v>
      </c>
      <c r="O833">
        <v>2</v>
      </c>
      <c r="P833">
        <v>10</v>
      </c>
      <c r="Q833">
        <v>4</v>
      </c>
      <c r="R833">
        <v>1</v>
      </c>
      <c r="S833" t="s">
        <v>23</v>
      </c>
      <c r="T833" t="s">
        <v>37</v>
      </c>
      <c r="U833" t="str">
        <f>IF(Table1[[#This Row],[YearsSince
LastPromotion]]&gt; 4, "Delayed", "Normal")</f>
        <v>Normal</v>
      </c>
      <c r="V833" t="str">
        <f>IF(Table1[[#This Row],[Years
InCurrentRole]]&gt;4, "Role Stagnent", "Normal")</f>
        <v>Normal</v>
      </c>
      <c r="W833" t="str">
        <f>IF(AND(Table1[[#This Row],[Years
InCurrentRole]]&gt; 4, Table1[[#This Row],[Performance
Rating]]&gt;=3), "High Risk", "Normal")</f>
        <v>Normal</v>
      </c>
      <c r="X833" t="str">
        <f>IF(Table1[[#This Row],[Performance
Rating]]&gt;=4, "High Performer", "Low Performer")</f>
        <v>Low Performer</v>
      </c>
    </row>
    <row r="834" spans="2:24" x14ac:dyDescent="0.3">
      <c r="B834" t="s">
        <v>27</v>
      </c>
      <c r="C834" t="s">
        <v>20</v>
      </c>
      <c r="D834">
        <v>1</v>
      </c>
      <c r="E834" t="s">
        <v>21</v>
      </c>
      <c r="F834">
        <v>3</v>
      </c>
      <c r="G834" t="s">
        <v>32</v>
      </c>
      <c r="H834">
        <v>4</v>
      </c>
      <c r="I834">
        <v>7639</v>
      </c>
      <c r="J834">
        <v>22</v>
      </c>
      <c r="K834">
        <v>4</v>
      </c>
      <c r="L834">
        <v>3</v>
      </c>
      <c r="M834">
        <v>10</v>
      </c>
      <c r="N834">
        <v>3</v>
      </c>
      <c r="O834">
        <v>2</v>
      </c>
      <c r="P834">
        <v>10</v>
      </c>
      <c r="Q834">
        <v>4</v>
      </c>
      <c r="R834">
        <v>1</v>
      </c>
      <c r="S834" t="s">
        <v>23</v>
      </c>
      <c r="T834" t="s">
        <v>37</v>
      </c>
      <c r="U834" t="str">
        <f>IF(Table1[[#This Row],[YearsSince
LastPromotion]]&gt; 4, "Delayed", "Normal")</f>
        <v>Normal</v>
      </c>
      <c r="V834" t="str">
        <f>IF(Table1[[#This Row],[Years
InCurrentRole]]&gt;4, "Role Stagnent", "Normal")</f>
        <v>Normal</v>
      </c>
      <c r="W834" t="str">
        <f>IF(AND(Table1[[#This Row],[Years
InCurrentRole]]&gt; 4, Table1[[#This Row],[Performance
Rating]]&gt;=3), "High Risk", "Normal")</f>
        <v>Normal</v>
      </c>
      <c r="X834" t="str">
        <f>IF(Table1[[#This Row],[Performance
Rating]]&gt;=4, "High Performer", "Low Performer")</f>
        <v>High Performer</v>
      </c>
    </row>
    <row r="835" spans="2:24" x14ac:dyDescent="0.3">
      <c r="B835" t="s">
        <v>19</v>
      </c>
      <c r="C835" t="s">
        <v>25</v>
      </c>
      <c r="D835">
        <v>1</v>
      </c>
      <c r="E835" t="s">
        <v>28</v>
      </c>
      <c r="F835">
        <v>5</v>
      </c>
      <c r="G835" t="s">
        <v>35</v>
      </c>
      <c r="H835">
        <v>2</v>
      </c>
      <c r="I835">
        <v>19144</v>
      </c>
      <c r="J835">
        <v>14</v>
      </c>
      <c r="K835">
        <v>3</v>
      </c>
      <c r="L835">
        <v>2</v>
      </c>
      <c r="M835">
        <v>28</v>
      </c>
      <c r="N835">
        <v>4</v>
      </c>
      <c r="O835">
        <v>2</v>
      </c>
      <c r="P835">
        <v>10</v>
      </c>
      <c r="Q835">
        <v>4</v>
      </c>
      <c r="R835">
        <v>1</v>
      </c>
      <c r="S835" t="s">
        <v>23</v>
      </c>
      <c r="T835" t="s">
        <v>37</v>
      </c>
      <c r="U835" t="str">
        <f>IF(Table1[[#This Row],[YearsSince
LastPromotion]]&gt; 4, "Delayed", "Normal")</f>
        <v>Normal</v>
      </c>
      <c r="V835" t="str">
        <f>IF(Table1[[#This Row],[Years
InCurrentRole]]&gt;4, "Role Stagnent", "Normal")</f>
        <v>Normal</v>
      </c>
      <c r="W835" t="str">
        <f>IF(AND(Table1[[#This Row],[Years
InCurrentRole]]&gt; 4, Table1[[#This Row],[Performance
Rating]]&gt;=3), "High Risk", "Normal")</f>
        <v>Normal</v>
      </c>
      <c r="X835" t="str">
        <f>IF(Table1[[#This Row],[Performance
Rating]]&gt;=4, "High Performer", "Low Performer")</f>
        <v>Low Performer</v>
      </c>
    </row>
    <row r="836" spans="2:24" x14ac:dyDescent="0.3">
      <c r="B836" t="s">
        <v>27</v>
      </c>
      <c r="C836" t="s">
        <v>25</v>
      </c>
      <c r="D836">
        <v>1</v>
      </c>
      <c r="E836" t="s">
        <v>28</v>
      </c>
      <c r="F836">
        <v>2</v>
      </c>
      <c r="G836" t="s">
        <v>29</v>
      </c>
      <c r="H836">
        <v>3</v>
      </c>
      <c r="I836">
        <v>4883</v>
      </c>
      <c r="J836">
        <v>18</v>
      </c>
      <c r="K836">
        <v>3</v>
      </c>
      <c r="L836">
        <v>1</v>
      </c>
      <c r="M836">
        <v>10</v>
      </c>
      <c r="N836">
        <v>3</v>
      </c>
      <c r="O836">
        <v>3</v>
      </c>
      <c r="P836">
        <v>10</v>
      </c>
      <c r="Q836">
        <v>4</v>
      </c>
      <c r="R836">
        <v>1</v>
      </c>
      <c r="S836" t="s">
        <v>34</v>
      </c>
      <c r="T836" t="s">
        <v>37</v>
      </c>
      <c r="U836" t="str">
        <f>IF(Table1[[#This Row],[YearsSince
LastPromotion]]&gt; 4, "Delayed", "Normal")</f>
        <v>Normal</v>
      </c>
      <c r="V836" t="str">
        <f>IF(Table1[[#This Row],[Years
InCurrentRole]]&gt;4, "Role Stagnent", "Normal")</f>
        <v>Normal</v>
      </c>
      <c r="W836" t="str">
        <f>IF(AND(Table1[[#This Row],[Years
InCurrentRole]]&gt; 4, Table1[[#This Row],[Performance
Rating]]&gt;=3), "High Risk", "Normal")</f>
        <v>Normal</v>
      </c>
      <c r="X836" t="str">
        <f>IF(Table1[[#This Row],[Performance
Rating]]&gt;=4, "High Performer", "Low Performer")</f>
        <v>Low Performer</v>
      </c>
    </row>
    <row r="837" spans="2:24" x14ac:dyDescent="0.3">
      <c r="B837" t="s">
        <v>19</v>
      </c>
      <c r="C837" t="s">
        <v>25</v>
      </c>
      <c r="D837">
        <v>1</v>
      </c>
      <c r="E837" t="s">
        <v>28</v>
      </c>
      <c r="F837">
        <v>1</v>
      </c>
      <c r="G837" t="s">
        <v>29</v>
      </c>
      <c r="H837">
        <v>3</v>
      </c>
      <c r="I837">
        <v>3500</v>
      </c>
      <c r="J837">
        <v>14</v>
      </c>
      <c r="K837">
        <v>3</v>
      </c>
      <c r="L837">
        <v>0</v>
      </c>
      <c r="M837">
        <v>7</v>
      </c>
      <c r="N837">
        <v>2</v>
      </c>
      <c r="O837">
        <v>1</v>
      </c>
      <c r="P837">
        <v>6</v>
      </c>
      <c r="Q837">
        <v>5</v>
      </c>
      <c r="R837">
        <v>1</v>
      </c>
      <c r="S837" t="s">
        <v>23</v>
      </c>
      <c r="T837" t="s">
        <v>37</v>
      </c>
      <c r="U837" t="str">
        <f>IF(Table1[[#This Row],[YearsSince
LastPromotion]]&gt; 4, "Delayed", "Normal")</f>
        <v>Normal</v>
      </c>
      <c r="V837" t="str">
        <f>IF(Table1[[#This Row],[Years
InCurrentRole]]&gt;4, "Role Stagnent", "Normal")</f>
        <v>Role Stagnent</v>
      </c>
      <c r="W837" t="str">
        <f>IF(AND(Table1[[#This Row],[Years
InCurrentRole]]&gt; 4, Table1[[#This Row],[Performance
Rating]]&gt;=3), "High Risk", "Normal")</f>
        <v>High Risk</v>
      </c>
      <c r="X837" t="str">
        <f>IF(Table1[[#This Row],[Performance
Rating]]&gt;=4, "High Performer", "Low Performer")</f>
        <v>Low Performer</v>
      </c>
    </row>
    <row r="838" spans="2:24" x14ac:dyDescent="0.3">
      <c r="B838" t="s">
        <v>19</v>
      </c>
      <c r="C838" t="s">
        <v>25</v>
      </c>
      <c r="D838">
        <v>1</v>
      </c>
      <c r="E838" t="s">
        <v>21</v>
      </c>
      <c r="F838">
        <v>2</v>
      </c>
      <c r="G838" t="s">
        <v>33</v>
      </c>
      <c r="H838">
        <v>2</v>
      </c>
      <c r="I838">
        <v>6397</v>
      </c>
      <c r="J838">
        <v>20</v>
      </c>
      <c r="K838">
        <v>4</v>
      </c>
      <c r="L838">
        <v>1</v>
      </c>
      <c r="M838">
        <v>6</v>
      </c>
      <c r="N838">
        <v>6</v>
      </c>
      <c r="O838">
        <v>1</v>
      </c>
      <c r="P838">
        <v>6</v>
      </c>
      <c r="Q838">
        <v>5</v>
      </c>
      <c r="R838">
        <v>1</v>
      </c>
      <c r="S838" t="s">
        <v>23</v>
      </c>
      <c r="T838" t="s">
        <v>37</v>
      </c>
      <c r="U838" t="str">
        <f>IF(Table1[[#This Row],[YearsSince
LastPromotion]]&gt; 4, "Delayed", "Normal")</f>
        <v>Normal</v>
      </c>
      <c r="V838" t="str">
        <f>IF(Table1[[#This Row],[Years
InCurrentRole]]&gt;4, "Role Stagnent", "Normal")</f>
        <v>Role Stagnent</v>
      </c>
      <c r="W838" t="str">
        <f>IF(AND(Table1[[#This Row],[Years
InCurrentRole]]&gt; 4, Table1[[#This Row],[Performance
Rating]]&gt;=3), "High Risk", "Normal")</f>
        <v>High Risk</v>
      </c>
      <c r="X838" t="str">
        <f>IF(Table1[[#This Row],[Performance
Rating]]&gt;=4, "High Performer", "Low Performer")</f>
        <v>High Performer</v>
      </c>
    </row>
    <row r="839" spans="2:24" x14ac:dyDescent="0.3">
      <c r="B839" t="s">
        <v>19</v>
      </c>
      <c r="C839" t="s">
        <v>25</v>
      </c>
      <c r="D839">
        <v>1</v>
      </c>
      <c r="E839" t="s">
        <v>28</v>
      </c>
      <c r="F839">
        <v>1</v>
      </c>
      <c r="G839" t="s">
        <v>26</v>
      </c>
      <c r="H839">
        <v>4</v>
      </c>
      <c r="I839">
        <v>3420</v>
      </c>
      <c r="J839">
        <v>12</v>
      </c>
      <c r="K839">
        <v>3</v>
      </c>
      <c r="L839">
        <v>1</v>
      </c>
      <c r="M839">
        <v>17</v>
      </c>
      <c r="N839">
        <v>2</v>
      </c>
      <c r="O839">
        <v>2</v>
      </c>
      <c r="P839">
        <v>6</v>
      </c>
      <c r="Q839">
        <v>5</v>
      </c>
      <c r="R839">
        <v>1</v>
      </c>
      <c r="S839" t="s">
        <v>23</v>
      </c>
      <c r="T839" t="s">
        <v>37</v>
      </c>
      <c r="U839" t="str">
        <f>IF(Table1[[#This Row],[YearsSince
LastPromotion]]&gt; 4, "Delayed", "Normal")</f>
        <v>Normal</v>
      </c>
      <c r="V839" t="str">
        <f>IF(Table1[[#This Row],[Years
InCurrentRole]]&gt;4, "Role Stagnent", "Normal")</f>
        <v>Role Stagnent</v>
      </c>
      <c r="W839" t="str">
        <f>IF(AND(Table1[[#This Row],[Years
InCurrentRole]]&gt; 4, Table1[[#This Row],[Performance
Rating]]&gt;=3), "High Risk", "Normal")</f>
        <v>High Risk</v>
      </c>
      <c r="X839" t="str">
        <f>IF(Table1[[#This Row],[Performance
Rating]]&gt;=4, "High Performer", "Low Performer")</f>
        <v>Low Performer</v>
      </c>
    </row>
    <row r="840" spans="2:24" x14ac:dyDescent="0.3">
      <c r="B840" t="s">
        <v>19</v>
      </c>
      <c r="C840" t="s">
        <v>25</v>
      </c>
      <c r="D840">
        <v>1</v>
      </c>
      <c r="E840" t="s">
        <v>21</v>
      </c>
      <c r="F840">
        <v>1</v>
      </c>
      <c r="G840" t="s">
        <v>26</v>
      </c>
      <c r="H840">
        <v>1</v>
      </c>
      <c r="I840">
        <v>2559</v>
      </c>
      <c r="J840">
        <v>11</v>
      </c>
      <c r="K840">
        <v>3</v>
      </c>
      <c r="L840">
        <v>0</v>
      </c>
      <c r="M840">
        <v>6</v>
      </c>
      <c r="N840">
        <v>3</v>
      </c>
      <c r="O840">
        <v>2</v>
      </c>
      <c r="P840">
        <v>6</v>
      </c>
      <c r="Q840">
        <v>5</v>
      </c>
      <c r="R840">
        <v>1</v>
      </c>
      <c r="S840" t="s">
        <v>23</v>
      </c>
      <c r="T840" t="s">
        <v>37</v>
      </c>
      <c r="U840" t="str">
        <f>IF(Table1[[#This Row],[YearsSince
LastPromotion]]&gt; 4, "Delayed", "Normal")</f>
        <v>Normal</v>
      </c>
      <c r="V840" t="str">
        <f>IF(Table1[[#This Row],[Years
InCurrentRole]]&gt;4, "Role Stagnent", "Normal")</f>
        <v>Role Stagnent</v>
      </c>
      <c r="W840" t="str">
        <f>IF(AND(Table1[[#This Row],[Years
InCurrentRole]]&gt; 4, Table1[[#This Row],[Performance
Rating]]&gt;=3), "High Risk", "Normal")</f>
        <v>High Risk</v>
      </c>
      <c r="X840" t="str">
        <f>IF(Table1[[#This Row],[Performance
Rating]]&gt;=4, "High Performer", "Low Performer")</f>
        <v>Low Performer</v>
      </c>
    </row>
    <row r="841" spans="2:24" x14ac:dyDescent="0.3">
      <c r="B841" t="s">
        <v>19</v>
      </c>
      <c r="C841" t="s">
        <v>20</v>
      </c>
      <c r="D841">
        <v>1</v>
      </c>
      <c r="E841" t="s">
        <v>21</v>
      </c>
      <c r="F841">
        <v>2</v>
      </c>
      <c r="G841" t="s">
        <v>32</v>
      </c>
      <c r="H841">
        <v>3</v>
      </c>
      <c r="I841">
        <v>5714</v>
      </c>
      <c r="J841">
        <v>20</v>
      </c>
      <c r="K841">
        <v>4</v>
      </c>
      <c r="L841">
        <v>0</v>
      </c>
      <c r="M841">
        <v>6</v>
      </c>
      <c r="N841">
        <v>3</v>
      </c>
      <c r="O841">
        <v>2</v>
      </c>
      <c r="P841">
        <v>6</v>
      </c>
      <c r="Q841">
        <v>5</v>
      </c>
      <c r="R841">
        <v>1</v>
      </c>
      <c r="S841" t="s">
        <v>23</v>
      </c>
      <c r="T841" t="s">
        <v>37</v>
      </c>
      <c r="U841" t="str">
        <f>IF(Table1[[#This Row],[YearsSince
LastPromotion]]&gt; 4, "Delayed", "Normal")</f>
        <v>Normal</v>
      </c>
      <c r="V841" t="str">
        <f>IF(Table1[[#This Row],[Years
InCurrentRole]]&gt;4, "Role Stagnent", "Normal")</f>
        <v>Role Stagnent</v>
      </c>
      <c r="W841" t="str">
        <f>IF(AND(Table1[[#This Row],[Years
InCurrentRole]]&gt; 4, Table1[[#This Row],[Performance
Rating]]&gt;=3), "High Risk", "Normal")</f>
        <v>High Risk</v>
      </c>
      <c r="X841" t="str">
        <f>IF(Table1[[#This Row],[Performance
Rating]]&gt;=4, "High Performer", "Low Performer")</f>
        <v>High Performer</v>
      </c>
    </row>
    <row r="842" spans="2:24" x14ac:dyDescent="0.3">
      <c r="B842" t="s">
        <v>19</v>
      </c>
      <c r="C842" t="s">
        <v>25</v>
      </c>
      <c r="D842">
        <v>1</v>
      </c>
      <c r="E842" t="s">
        <v>28</v>
      </c>
      <c r="F842">
        <v>2</v>
      </c>
      <c r="G842" t="s">
        <v>26</v>
      </c>
      <c r="H842">
        <v>1</v>
      </c>
      <c r="I842">
        <v>4087</v>
      </c>
      <c r="J842">
        <v>14</v>
      </c>
      <c r="K842">
        <v>3</v>
      </c>
      <c r="L842">
        <v>1</v>
      </c>
      <c r="M842">
        <v>9</v>
      </c>
      <c r="N842">
        <v>3</v>
      </c>
      <c r="O842">
        <v>2</v>
      </c>
      <c r="P842">
        <v>6</v>
      </c>
      <c r="Q842">
        <v>5</v>
      </c>
      <c r="R842">
        <v>1</v>
      </c>
      <c r="S842" t="s">
        <v>23</v>
      </c>
      <c r="T842" t="s">
        <v>37</v>
      </c>
      <c r="U842" t="str">
        <f>IF(Table1[[#This Row],[YearsSince
LastPromotion]]&gt; 4, "Delayed", "Normal")</f>
        <v>Normal</v>
      </c>
      <c r="V842" t="str">
        <f>IF(Table1[[#This Row],[Years
InCurrentRole]]&gt;4, "Role Stagnent", "Normal")</f>
        <v>Role Stagnent</v>
      </c>
      <c r="W842" t="str">
        <f>IF(AND(Table1[[#This Row],[Years
InCurrentRole]]&gt; 4, Table1[[#This Row],[Performance
Rating]]&gt;=3), "High Risk", "Normal")</f>
        <v>High Risk</v>
      </c>
      <c r="X842" t="str">
        <f>IF(Table1[[#This Row],[Performance
Rating]]&gt;=4, "High Performer", "Low Performer")</f>
        <v>Low Performer</v>
      </c>
    </row>
    <row r="843" spans="2:24" x14ac:dyDescent="0.3">
      <c r="B843" t="s">
        <v>19</v>
      </c>
      <c r="C843" t="s">
        <v>20</v>
      </c>
      <c r="D843">
        <v>1</v>
      </c>
      <c r="E843" t="s">
        <v>21</v>
      </c>
      <c r="F843">
        <v>2</v>
      </c>
      <c r="G843" t="s">
        <v>32</v>
      </c>
      <c r="H843">
        <v>4</v>
      </c>
      <c r="I843">
        <v>6180</v>
      </c>
      <c r="J843">
        <v>23</v>
      </c>
      <c r="K843">
        <v>4</v>
      </c>
      <c r="L843">
        <v>0</v>
      </c>
      <c r="M843">
        <v>6</v>
      </c>
      <c r="N843">
        <v>5</v>
      </c>
      <c r="O843">
        <v>2</v>
      </c>
      <c r="P843">
        <v>6</v>
      </c>
      <c r="Q843">
        <v>5</v>
      </c>
      <c r="R843">
        <v>1</v>
      </c>
      <c r="S843" t="s">
        <v>23</v>
      </c>
      <c r="T843" t="s">
        <v>37</v>
      </c>
      <c r="U843" t="str">
        <f>IF(Table1[[#This Row],[YearsSince
LastPromotion]]&gt; 4, "Delayed", "Normal")</f>
        <v>Normal</v>
      </c>
      <c r="V843" t="str">
        <f>IF(Table1[[#This Row],[Years
InCurrentRole]]&gt;4, "Role Stagnent", "Normal")</f>
        <v>Role Stagnent</v>
      </c>
      <c r="W843" t="str">
        <f>IF(AND(Table1[[#This Row],[Years
InCurrentRole]]&gt; 4, Table1[[#This Row],[Performance
Rating]]&gt;=3), "High Risk", "Normal")</f>
        <v>High Risk</v>
      </c>
      <c r="X843" t="str">
        <f>IF(Table1[[#This Row],[Performance
Rating]]&gt;=4, "High Performer", "Low Performer")</f>
        <v>High Performer</v>
      </c>
    </row>
    <row r="844" spans="2:24" x14ac:dyDescent="0.3">
      <c r="B844" t="s">
        <v>19</v>
      </c>
      <c r="C844" t="s">
        <v>25</v>
      </c>
      <c r="D844">
        <v>1</v>
      </c>
      <c r="E844" t="s">
        <v>28</v>
      </c>
      <c r="F844">
        <v>1</v>
      </c>
      <c r="G844" t="s">
        <v>26</v>
      </c>
      <c r="H844">
        <v>4</v>
      </c>
      <c r="I844">
        <v>2340</v>
      </c>
      <c r="J844">
        <v>19</v>
      </c>
      <c r="K844">
        <v>3</v>
      </c>
      <c r="L844">
        <v>0</v>
      </c>
      <c r="M844">
        <v>6</v>
      </c>
      <c r="N844">
        <v>1</v>
      </c>
      <c r="O844">
        <v>3</v>
      </c>
      <c r="P844">
        <v>6</v>
      </c>
      <c r="Q844">
        <v>5</v>
      </c>
      <c r="R844">
        <v>1</v>
      </c>
      <c r="S844" t="s">
        <v>34</v>
      </c>
      <c r="T844" t="s">
        <v>37</v>
      </c>
      <c r="U844" t="str">
        <f>IF(Table1[[#This Row],[YearsSince
LastPromotion]]&gt; 4, "Delayed", "Normal")</f>
        <v>Normal</v>
      </c>
      <c r="V844" t="str">
        <f>IF(Table1[[#This Row],[Years
InCurrentRole]]&gt;4, "Role Stagnent", "Normal")</f>
        <v>Role Stagnent</v>
      </c>
      <c r="W844" t="str">
        <f>IF(AND(Table1[[#This Row],[Years
InCurrentRole]]&gt; 4, Table1[[#This Row],[Performance
Rating]]&gt;=3), "High Risk", "Normal")</f>
        <v>High Risk</v>
      </c>
      <c r="X844" t="str">
        <f>IF(Table1[[#This Row],[Performance
Rating]]&gt;=4, "High Performer", "Low Performer")</f>
        <v>Low Performer</v>
      </c>
    </row>
    <row r="845" spans="2:24" x14ac:dyDescent="0.3">
      <c r="B845" t="s">
        <v>19</v>
      </c>
      <c r="C845" t="s">
        <v>25</v>
      </c>
      <c r="D845">
        <v>1</v>
      </c>
      <c r="E845" t="s">
        <v>21</v>
      </c>
      <c r="F845">
        <v>2</v>
      </c>
      <c r="G845" t="s">
        <v>31</v>
      </c>
      <c r="H845">
        <v>2</v>
      </c>
      <c r="I845">
        <v>5488</v>
      </c>
      <c r="J845">
        <v>13</v>
      </c>
      <c r="K845">
        <v>3</v>
      </c>
      <c r="L845">
        <v>1</v>
      </c>
      <c r="M845">
        <v>6</v>
      </c>
      <c r="N845">
        <v>2</v>
      </c>
      <c r="O845">
        <v>3</v>
      </c>
      <c r="P845">
        <v>6</v>
      </c>
      <c r="Q845">
        <v>5</v>
      </c>
      <c r="R845">
        <v>1</v>
      </c>
      <c r="S845" t="s">
        <v>34</v>
      </c>
      <c r="T845" t="s">
        <v>37</v>
      </c>
      <c r="U845" t="str">
        <f>IF(Table1[[#This Row],[YearsSince
LastPromotion]]&gt; 4, "Delayed", "Normal")</f>
        <v>Normal</v>
      </c>
      <c r="V845" t="str">
        <f>IF(Table1[[#This Row],[Years
InCurrentRole]]&gt;4, "Role Stagnent", "Normal")</f>
        <v>Role Stagnent</v>
      </c>
      <c r="W845" t="str">
        <f>IF(AND(Table1[[#This Row],[Years
InCurrentRole]]&gt; 4, Table1[[#This Row],[Performance
Rating]]&gt;=3), "High Risk", "Normal")</f>
        <v>High Risk</v>
      </c>
      <c r="X845" t="str">
        <f>IF(Table1[[#This Row],[Performance
Rating]]&gt;=4, "High Performer", "Low Performer")</f>
        <v>Low Performer</v>
      </c>
    </row>
    <row r="846" spans="2:24" x14ac:dyDescent="0.3">
      <c r="B846" t="s">
        <v>19</v>
      </c>
      <c r="C846" t="s">
        <v>20</v>
      </c>
      <c r="D846">
        <v>1</v>
      </c>
      <c r="E846" t="s">
        <v>21</v>
      </c>
      <c r="F846">
        <v>2</v>
      </c>
      <c r="G846" t="s">
        <v>32</v>
      </c>
      <c r="H846">
        <v>4</v>
      </c>
      <c r="I846">
        <v>5368</v>
      </c>
      <c r="J846">
        <v>25</v>
      </c>
      <c r="K846">
        <v>4</v>
      </c>
      <c r="L846">
        <v>1</v>
      </c>
      <c r="M846">
        <v>7</v>
      </c>
      <c r="N846">
        <v>2</v>
      </c>
      <c r="O846">
        <v>3</v>
      </c>
      <c r="P846">
        <v>6</v>
      </c>
      <c r="Q846">
        <v>5</v>
      </c>
      <c r="R846">
        <v>1</v>
      </c>
      <c r="S846" t="s">
        <v>34</v>
      </c>
      <c r="T846" t="s">
        <v>37</v>
      </c>
      <c r="U846" t="str">
        <f>IF(Table1[[#This Row],[YearsSince
LastPromotion]]&gt; 4, "Delayed", "Normal")</f>
        <v>Normal</v>
      </c>
      <c r="V846" t="str">
        <f>IF(Table1[[#This Row],[Years
InCurrentRole]]&gt;4, "Role Stagnent", "Normal")</f>
        <v>Role Stagnent</v>
      </c>
      <c r="W846" t="str">
        <f>IF(AND(Table1[[#This Row],[Years
InCurrentRole]]&gt; 4, Table1[[#This Row],[Performance
Rating]]&gt;=3), "High Risk", "Normal")</f>
        <v>High Risk</v>
      </c>
      <c r="X846" t="str">
        <f>IF(Table1[[#This Row],[Performance
Rating]]&gt;=4, "High Performer", "Low Performer")</f>
        <v>High Performer</v>
      </c>
    </row>
    <row r="847" spans="2:24" x14ac:dyDescent="0.3">
      <c r="B847" t="s">
        <v>19</v>
      </c>
      <c r="C847" t="s">
        <v>25</v>
      </c>
      <c r="D847">
        <v>1</v>
      </c>
      <c r="E847" t="s">
        <v>21</v>
      </c>
      <c r="F847">
        <v>1</v>
      </c>
      <c r="G847" t="s">
        <v>26</v>
      </c>
      <c r="H847">
        <v>1</v>
      </c>
      <c r="I847">
        <v>4381</v>
      </c>
      <c r="J847">
        <v>11</v>
      </c>
      <c r="K847">
        <v>3</v>
      </c>
      <c r="L847">
        <v>0</v>
      </c>
      <c r="M847">
        <v>6</v>
      </c>
      <c r="N847">
        <v>3</v>
      </c>
      <c r="O847">
        <v>3</v>
      </c>
      <c r="P847">
        <v>6</v>
      </c>
      <c r="Q847">
        <v>5</v>
      </c>
      <c r="R847">
        <v>1</v>
      </c>
      <c r="S847" t="s">
        <v>34</v>
      </c>
      <c r="T847" t="s">
        <v>37</v>
      </c>
      <c r="U847" t="str">
        <f>IF(Table1[[#This Row],[YearsSince
LastPromotion]]&gt; 4, "Delayed", "Normal")</f>
        <v>Normal</v>
      </c>
      <c r="V847" t="str">
        <f>IF(Table1[[#This Row],[Years
InCurrentRole]]&gt;4, "Role Stagnent", "Normal")</f>
        <v>Role Stagnent</v>
      </c>
      <c r="W847" t="str">
        <f>IF(AND(Table1[[#This Row],[Years
InCurrentRole]]&gt; 4, Table1[[#This Row],[Performance
Rating]]&gt;=3), "High Risk", "Normal")</f>
        <v>High Risk</v>
      </c>
      <c r="X847" t="str">
        <f>IF(Table1[[#This Row],[Performance
Rating]]&gt;=4, "High Performer", "Low Performer")</f>
        <v>Low Performer</v>
      </c>
    </row>
    <row r="848" spans="2:24" x14ac:dyDescent="0.3">
      <c r="B848" t="s">
        <v>19</v>
      </c>
      <c r="C848" t="s">
        <v>25</v>
      </c>
      <c r="D848">
        <v>1</v>
      </c>
      <c r="E848" t="s">
        <v>28</v>
      </c>
      <c r="F848">
        <v>1</v>
      </c>
      <c r="G848" t="s">
        <v>26</v>
      </c>
      <c r="H848">
        <v>4</v>
      </c>
      <c r="I848">
        <v>3622</v>
      </c>
      <c r="J848">
        <v>13</v>
      </c>
      <c r="K848">
        <v>3</v>
      </c>
      <c r="L848">
        <v>1</v>
      </c>
      <c r="M848">
        <v>6</v>
      </c>
      <c r="N848">
        <v>3</v>
      </c>
      <c r="O848">
        <v>3</v>
      </c>
      <c r="P848">
        <v>6</v>
      </c>
      <c r="Q848">
        <v>5</v>
      </c>
      <c r="R848">
        <v>1</v>
      </c>
      <c r="S848" t="s">
        <v>34</v>
      </c>
      <c r="T848" t="s">
        <v>37</v>
      </c>
      <c r="U848" t="str">
        <f>IF(Table1[[#This Row],[YearsSince
LastPromotion]]&gt; 4, "Delayed", "Normal")</f>
        <v>Normal</v>
      </c>
      <c r="V848" t="str">
        <f>IF(Table1[[#This Row],[Years
InCurrentRole]]&gt;4, "Role Stagnent", "Normal")</f>
        <v>Role Stagnent</v>
      </c>
      <c r="W848" t="str">
        <f>IF(AND(Table1[[#This Row],[Years
InCurrentRole]]&gt; 4, Table1[[#This Row],[Performance
Rating]]&gt;=3), "High Risk", "Normal")</f>
        <v>High Risk</v>
      </c>
      <c r="X848" t="str">
        <f>IF(Table1[[#This Row],[Performance
Rating]]&gt;=4, "High Performer", "Low Performer")</f>
        <v>Low Performer</v>
      </c>
    </row>
    <row r="849" spans="2:24" x14ac:dyDescent="0.3">
      <c r="B849" t="s">
        <v>19</v>
      </c>
      <c r="C849" t="s">
        <v>25</v>
      </c>
      <c r="D849">
        <v>1</v>
      </c>
      <c r="E849" t="s">
        <v>28</v>
      </c>
      <c r="F849">
        <v>1</v>
      </c>
      <c r="G849" t="s">
        <v>26</v>
      </c>
      <c r="H849">
        <v>4</v>
      </c>
      <c r="I849">
        <v>2725</v>
      </c>
      <c r="J849">
        <v>11</v>
      </c>
      <c r="K849">
        <v>3</v>
      </c>
      <c r="L849">
        <v>2</v>
      </c>
      <c r="M849">
        <v>6</v>
      </c>
      <c r="N849">
        <v>3</v>
      </c>
      <c r="O849">
        <v>3</v>
      </c>
      <c r="P849">
        <v>6</v>
      </c>
      <c r="Q849">
        <v>5</v>
      </c>
      <c r="R849">
        <v>1</v>
      </c>
      <c r="S849" t="s">
        <v>34</v>
      </c>
      <c r="T849" t="s">
        <v>37</v>
      </c>
      <c r="U849" t="str">
        <f>IF(Table1[[#This Row],[YearsSince
LastPromotion]]&gt; 4, "Delayed", "Normal")</f>
        <v>Normal</v>
      </c>
      <c r="V849" t="str">
        <f>IF(Table1[[#This Row],[Years
InCurrentRole]]&gt;4, "Role Stagnent", "Normal")</f>
        <v>Role Stagnent</v>
      </c>
      <c r="W849" t="str">
        <f>IF(AND(Table1[[#This Row],[Years
InCurrentRole]]&gt; 4, Table1[[#This Row],[Performance
Rating]]&gt;=3), "High Risk", "Normal")</f>
        <v>High Risk</v>
      </c>
      <c r="X849" t="str">
        <f>IF(Table1[[#This Row],[Performance
Rating]]&gt;=4, "High Performer", "Low Performer")</f>
        <v>Low Performer</v>
      </c>
    </row>
    <row r="850" spans="2:24" x14ac:dyDescent="0.3">
      <c r="B850" t="s">
        <v>19</v>
      </c>
      <c r="C850" t="s">
        <v>20</v>
      </c>
      <c r="D850">
        <v>1</v>
      </c>
      <c r="E850" t="s">
        <v>28</v>
      </c>
      <c r="F850">
        <v>2</v>
      </c>
      <c r="G850" t="s">
        <v>32</v>
      </c>
      <c r="H850">
        <v>4</v>
      </c>
      <c r="I850">
        <v>6274</v>
      </c>
      <c r="J850">
        <v>22</v>
      </c>
      <c r="K850">
        <v>4</v>
      </c>
      <c r="L850">
        <v>0</v>
      </c>
      <c r="M850">
        <v>6</v>
      </c>
      <c r="N850">
        <v>5</v>
      </c>
      <c r="O850">
        <v>3</v>
      </c>
      <c r="P850">
        <v>6</v>
      </c>
      <c r="Q850">
        <v>5</v>
      </c>
      <c r="R850">
        <v>1</v>
      </c>
      <c r="S850" t="s">
        <v>34</v>
      </c>
      <c r="T850" t="s">
        <v>37</v>
      </c>
      <c r="U850" t="str">
        <f>IF(Table1[[#This Row],[YearsSince
LastPromotion]]&gt; 4, "Delayed", "Normal")</f>
        <v>Normal</v>
      </c>
      <c r="V850" t="str">
        <f>IF(Table1[[#This Row],[Years
InCurrentRole]]&gt;4, "Role Stagnent", "Normal")</f>
        <v>Role Stagnent</v>
      </c>
      <c r="W850" t="str">
        <f>IF(AND(Table1[[#This Row],[Years
InCurrentRole]]&gt; 4, Table1[[#This Row],[Performance
Rating]]&gt;=3), "High Risk", "Normal")</f>
        <v>High Risk</v>
      </c>
      <c r="X850" t="str">
        <f>IF(Table1[[#This Row],[Performance
Rating]]&gt;=4, "High Performer", "Low Performer")</f>
        <v>High Performer</v>
      </c>
    </row>
    <row r="851" spans="2:24" x14ac:dyDescent="0.3">
      <c r="B851" t="s">
        <v>19</v>
      </c>
      <c r="C851" t="s">
        <v>25</v>
      </c>
      <c r="D851">
        <v>1</v>
      </c>
      <c r="E851" t="s">
        <v>21</v>
      </c>
      <c r="F851">
        <v>3</v>
      </c>
      <c r="G851" t="s">
        <v>33</v>
      </c>
      <c r="H851">
        <v>4</v>
      </c>
      <c r="I851">
        <v>7491</v>
      </c>
      <c r="J851">
        <v>17</v>
      </c>
      <c r="K851">
        <v>3</v>
      </c>
      <c r="L851">
        <v>0</v>
      </c>
      <c r="M851">
        <v>12</v>
      </c>
      <c r="N851">
        <v>3</v>
      </c>
      <c r="O851">
        <v>4</v>
      </c>
      <c r="P851">
        <v>6</v>
      </c>
      <c r="Q851">
        <v>5</v>
      </c>
      <c r="R851">
        <v>1</v>
      </c>
      <c r="S851" t="s">
        <v>34</v>
      </c>
      <c r="T851" t="s">
        <v>37</v>
      </c>
      <c r="U851" t="str">
        <f>IF(Table1[[#This Row],[YearsSince
LastPromotion]]&gt; 4, "Delayed", "Normal")</f>
        <v>Normal</v>
      </c>
      <c r="V851" t="str">
        <f>IF(Table1[[#This Row],[Years
InCurrentRole]]&gt;4, "Role Stagnent", "Normal")</f>
        <v>Role Stagnent</v>
      </c>
      <c r="W851" t="str">
        <f>IF(AND(Table1[[#This Row],[Years
InCurrentRole]]&gt; 4, Table1[[#This Row],[Performance
Rating]]&gt;=3), "High Risk", "Normal")</f>
        <v>High Risk</v>
      </c>
      <c r="X851" t="str">
        <f>IF(Table1[[#This Row],[Performance
Rating]]&gt;=4, "High Performer", "Low Performer")</f>
        <v>Low Performer</v>
      </c>
    </row>
    <row r="852" spans="2:24" x14ac:dyDescent="0.3">
      <c r="B852" t="s">
        <v>19</v>
      </c>
      <c r="C852" t="s">
        <v>25</v>
      </c>
      <c r="D852">
        <v>1</v>
      </c>
      <c r="E852" t="s">
        <v>21</v>
      </c>
      <c r="F852">
        <v>1</v>
      </c>
      <c r="G852" t="s">
        <v>26</v>
      </c>
      <c r="H852">
        <v>2</v>
      </c>
      <c r="I852">
        <v>3291</v>
      </c>
      <c r="J852">
        <v>14</v>
      </c>
      <c r="K852">
        <v>3</v>
      </c>
      <c r="L852">
        <v>2</v>
      </c>
      <c r="M852">
        <v>8</v>
      </c>
      <c r="N852">
        <v>2</v>
      </c>
      <c r="O852">
        <v>2</v>
      </c>
      <c r="P852">
        <v>7</v>
      </c>
      <c r="Q852">
        <v>5</v>
      </c>
      <c r="R852">
        <v>1</v>
      </c>
      <c r="S852" t="s">
        <v>23</v>
      </c>
      <c r="T852" t="s">
        <v>37</v>
      </c>
      <c r="U852" t="str">
        <f>IF(Table1[[#This Row],[YearsSince
LastPromotion]]&gt; 4, "Delayed", "Normal")</f>
        <v>Normal</v>
      </c>
      <c r="V852" t="str">
        <f>IF(Table1[[#This Row],[Years
InCurrentRole]]&gt;4, "Role Stagnent", "Normal")</f>
        <v>Role Stagnent</v>
      </c>
      <c r="W852" t="str">
        <f>IF(AND(Table1[[#This Row],[Years
InCurrentRole]]&gt; 4, Table1[[#This Row],[Performance
Rating]]&gt;=3), "High Risk", "Normal")</f>
        <v>High Risk</v>
      </c>
      <c r="X852" t="str">
        <f>IF(Table1[[#This Row],[Performance
Rating]]&gt;=4, "High Performer", "Low Performer")</f>
        <v>Low Performer</v>
      </c>
    </row>
    <row r="853" spans="2:24" x14ac:dyDescent="0.3">
      <c r="B853" t="s">
        <v>19</v>
      </c>
      <c r="C853" t="s">
        <v>25</v>
      </c>
      <c r="D853">
        <v>1</v>
      </c>
      <c r="E853" t="s">
        <v>21</v>
      </c>
      <c r="F853">
        <v>1</v>
      </c>
      <c r="G853" t="s">
        <v>26</v>
      </c>
      <c r="H853">
        <v>4</v>
      </c>
      <c r="I853">
        <v>2514</v>
      </c>
      <c r="J853">
        <v>22</v>
      </c>
      <c r="K853">
        <v>4</v>
      </c>
      <c r="L853">
        <v>1</v>
      </c>
      <c r="M853">
        <v>11</v>
      </c>
      <c r="N853">
        <v>1</v>
      </c>
      <c r="O853">
        <v>3</v>
      </c>
      <c r="P853">
        <v>7</v>
      </c>
      <c r="Q853">
        <v>5</v>
      </c>
      <c r="R853">
        <v>1</v>
      </c>
      <c r="S853" t="s">
        <v>34</v>
      </c>
      <c r="T853" t="s">
        <v>37</v>
      </c>
      <c r="U853" t="str">
        <f>IF(Table1[[#This Row],[YearsSince
LastPromotion]]&gt; 4, "Delayed", "Normal")</f>
        <v>Normal</v>
      </c>
      <c r="V853" t="str">
        <f>IF(Table1[[#This Row],[Years
InCurrentRole]]&gt;4, "Role Stagnent", "Normal")</f>
        <v>Role Stagnent</v>
      </c>
      <c r="W853" t="str">
        <f>IF(AND(Table1[[#This Row],[Years
InCurrentRole]]&gt; 4, Table1[[#This Row],[Performance
Rating]]&gt;=3), "High Risk", "Normal")</f>
        <v>High Risk</v>
      </c>
      <c r="X853" t="str">
        <f>IF(Table1[[#This Row],[Performance
Rating]]&gt;=4, "High Performer", "Low Performer")</f>
        <v>High Performer</v>
      </c>
    </row>
    <row r="854" spans="2:24" x14ac:dyDescent="0.3">
      <c r="B854" t="s">
        <v>19</v>
      </c>
      <c r="C854" t="s">
        <v>25</v>
      </c>
      <c r="D854">
        <v>1</v>
      </c>
      <c r="E854" t="s">
        <v>28</v>
      </c>
      <c r="F854">
        <v>3</v>
      </c>
      <c r="G854" t="s">
        <v>33</v>
      </c>
      <c r="H854">
        <v>3</v>
      </c>
      <c r="I854">
        <v>10221</v>
      </c>
      <c r="J854">
        <v>21</v>
      </c>
      <c r="K854">
        <v>4</v>
      </c>
      <c r="L854">
        <v>0</v>
      </c>
      <c r="M854">
        <v>17</v>
      </c>
      <c r="N854">
        <v>3</v>
      </c>
      <c r="O854">
        <v>4</v>
      </c>
      <c r="P854">
        <v>8</v>
      </c>
      <c r="Q854">
        <v>5</v>
      </c>
      <c r="R854">
        <v>1</v>
      </c>
      <c r="S854" t="s">
        <v>34</v>
      </c>
      <c r="T854" t="s">
        <v>37</v>
      </c>
      <c r="U854" t="str">
        <f>IF(Table1[[#This Row],[YearsSince
LastPromotion]]&gt; 4, "Delayed", "Normal")</f>
        <v>Normal</v>
      </c>
      <c r="V854" t="str">
        <f>IF(Table1[[#This Row],[Years
InCurrentRole]]&gt;4, "Role Stagnent", "Normal")</f>
        <v>Role Stagnent</v>
      </c>
      <c r="W854" t="str">
        <f>IF(AND(Table1[[#This Row],[Years
InCurrentRole]]&gt; 4, Table1[[#This Row],[Performance
Rating]]&gt;=3), "High Risk", "Normal")</f>
        <v>High Risk</v>
      </c>
      <c r="X854" t="str">
        <f>IF(Table1[[#This Row],[Performance
Rating]]&gt;=4, "High Performer", "Low Performer")</f>
        <v>High Performer</v>
      </c>
    </row>
    <row r="855" spans="2:24" x14ac:dyDescent="0.3">
      <c r="B855" t="s">
        <v>19</v>
      </c>
      <c r="C855" t="s">
        <v>25</v>
      </c>
      <c r="D855">
        <v>1</v>
      </c>
      <c r="E855" t="s">
        <v>28</v>
      </c>
      <c r="F855">
        <v>2</v>
      </c>
      <c r="G855" t="s">
        <v>26</v>
      </c>
      <c r="H855">
        <v>2</v>
      </c>
      <c r="I855">
        <v>5470</v>
      </c>
      <c r="J855">
        <v>13</v>
      </c>
      <c r="K855">
        <v>3</v>
      </c>
      <c r="L855">
        <v>2</v>
      </c>
      <c r="M855">
        <v>10</v>
      </c>
      <c r="N855">
        <v>4</v>
      </c>
      <c r="O855">
        <v>2</v>
      </c>
      <c r="P855">
        <v>9</v>
      </c>
      <c r="Q855">
        <v>5</v>
      </c>
      <c r="R855">
        <v>1</v>
      </c>
      <c r="S855" t="s">
        <v>23</v>
      </c>
      <c r="T855" t="s">
        <v>37</v>
      </c>
      <c r="U855" t="str">
        <f>IF(Table1[[#This Row],[YearsSince
LastPromotion]]&gt; 4, "Delayed", "Normal")</f>
        <v>Normal</v>
      </c>
      <c r="V855" t="str">
        <f>IF(Table1[[#This Row],[Years
InCurrentRole]]&gt;4, "Role Stagnent", "Normal")</f>
        <v>Role Stagnent</v>
      </c>
      <c r="W855" t="str">
        <f>IF(AND(Table1[[#This Row],[Years
InCurrentRole]]&gt; 4, Table1[[#This Row],[Performance
Rating]]&gt;=3), "High Risk", "Normal")</f>
        <v>High Risk</v>
      </c>
      <c r="X855" t="str">
        <f>IF(Table1[[#This Row],[Performance
Rating]]&gt;=4, "High Performer", "Low Performer")</f>
        <v>Low Performer</v>
      </c>
    </row>
    <row r="856" spans="2:24" x14ac:dyDescent="0.3">
      <c r="B856" t="s">
        <v>19</v>
      </c>
      <c r="C856" t="s">
        <v>25</v>
      </c>
      <c r="D856">
        <v>1</v>
      </c>
      <c r="E856" t="s">
        <v>28</v>
      </c>
      <c r="F856">
        <v>2</v>
      </c>
      <c r="G856" t="s">
        <v>33</v>
      </c>
      <c r="H856">
        <v>2</v>
      </c>
      <c r="I856">
        <v>6549</v>
      </c>
      <c r="J856">
        <v>14</v>
      </c>
      <c r="K856">
        <v>3</v>
      </c>
      <c r="L856">
        <v>2</v>
      </c>
      <c r="M856">
        <v>8</v>
      </c>
      <c r="N856">
        <v>2</v>
      </c>
      <c r="O856">
        <v>2</v>
      </c>
      <c r="P856">
        <v>8</v>
      </c>
      <c r="Q856">
        <v>6</v>
      </c>
      <c r="R856">
        <v>1</v>
      </c>
      <c r="S856" t="s">
        <v>23</v>
      </c>
      <c r="T856" t="s">
        <v>37</v>
      </c>
      <c r="U856" t="str">
        <f>IF(Table1[[#This Row],[YearsSince
LastPromotion]]&gt; 4, "Delayed", "Normal")</f>
        <v>Normal</v>
      </c>
      <c r="V856" t="str">
        <f>IF(Table1[[#This Row],[Years
InCurrentRole]]&gt;4, "Role Stagnent", "Normal")</f>
        <v>Role Stagnent</v>
      </c>
      <c r="W856" t="str">
        <f>IF(AND(Table1[[#This Row],[Years
InCurrentRole]]&gt; 4, Table1[[#This Row],[Performance
Rating]]&gt;=3), "High Risk", "Normal")</f>
        <v>High Risk</v>
      </c>
      <c r="X856" t="str">
        <f>IF(Table1[[#This Row],[Performance
Rating]]&gt;=4, "High Performer", "Low Performer")</f>
        <v>Low Performer</v>
      </c>
    </row>
    <row r="857" spans="2:24" x14ac:dyDescent="0.3">
      <c r="B857" t="s">
        <v>19</v>
      </c>
      <c r="C857" t="s">
        <v>25</v>
      </c>
      <c r="D857">
        <v>1</v>
      </c>
      <c r="E857" t="s">
        <v>21</v>
      </c>
      <c r="F857">
        <v>1</v>
      </c>
      <c r="G857" t="s">
        <v>29</v>
      </c>
      <c r="H857">
        <v>1</v>
      </c>
      <c r="I857">
        <v>3211</v>
      </c>
      <c r="J857">
        <v>14</v>
      </c>
      <c r="K857">
        <v>3</v>
      </c>
      <c r="L857">
        <v>1</v>
      </c>
      <c r="M857">
        <v>10</v>
      </c>
      <c r="N857">
        <v>3</v>
      </c>
      <c r="O857">
        <v>2</v>
      </c>
      <c r="P857">
        <v>9</v>
      </c>
      <c r="Q857">
        <v>6</v>
      </c>
      <c r="R857">
        <v>1</v>
      </c>
      <c r="S857" t="s">
        <v>23</v>
      </c>
      <c r="T857" t="s">
        <v>37</v>
      </c>
      <c r="U857" t="str">
        <f>IF(Table1[[#This Row],[YearsSince
LastPromotion]]&gt; 4, "Delayed", "Normal")</f>
        <v>Normal</v>
      </c>
      <c r="V857" t="str">
        <f>IF(Table1[[#This Row],[Years
InCurrentRole]]&gt;4, "Role Stagnent", "Normal")</f>
        <v>Role Stagnent</v>
      </c>
      <c r="W857" t="str">
        <f>IF(AND(Table1[[#This Row],[Years
InCurrentRole]]&gt; 4, Table1[[#This Row],[Performance
Rating]]&gt;=3), "High Risk", "Normal")</f>
        <v>High Risk</v>
      </c>
      <c r="X857" t="str">
        <f>IF(Table1[[#This Row],[Performance
Rating]]&gt;=4, "High Performer", "Low Performer")</f>
        <v>Low Performer</v>
      </c>
    </row>
    <row r="858" spans="2:24" x14ac:dyDescent="0.3">
      <c r="B858" t="s">
        <v>19</v>
      </c>
      <c r="C858" t="s">
        <v>25</v>
      </c>
      <c r="D858">
        <v>1</v>
      </c>
      <c r="E858" t="s">
        <v>28</v>
      </c>
      <c r="F858">
        <v>2</v>
      </c>
      <c r="G858" t="s">
        <v>26</v>
      </c>
      <c r="H858">
        <v>3</v>
      </c>
      <c r="I858">
        <v>4249</v>
      </c>
      <c r="J858">
        <v>11</v>
      </c>
      <c r="K858">
        <v>3</v>
      </c>
      <c r="L858">
        <v>0</v>
      </c>
      <c r="M858">
        <v>9</v>
      </c>
      <c r="N858">
        <v>3</v>
      </c>
      <c r="O858">
        <v>3</v>
      </c>
      <c r="P858">
        <v>9</v>
      </c>
      <c r="Q858">
        <v>6</v>
      </c>
      <c r="R858">
        <v>1</v>
      </c>
      <c r="S858" t="s">
        <v>34</v>
      </c>
      <c r="T858" t="s">
        <v>37</v>
      </c>
      <c r="U858" t="str">
        <f>IF(Table1[[#This Row],[YearsSince
LastPromotion]]&gt; 4, "Delayed", "Normal")</f>
        <v>Normal</v>
      </c>
      <c r="V858" t="str">
        <f>IF(Table1[[#This Row],[Years
InCurrentRole]]&gt;4, "Role Stagnent", "Normal")</f>
        <v>Role Stagnent</v>
      </c>
      <c r="W858" t="str">
        <f>IF(AND(Table1[[#This Row],[Years
InCurrentRole]]&gt; 4, Table1[[#This Row],[Performance
Rating]]&gt;=3), "High Risk", "Normal")</f>
        <v>High Risk</v>
      </c>
      <c r="X858" t="str">
        <f>IF(Table1[[#This Row],[Performance
Rating]]&gt;=4, "High Performer", "Low Performer")</f>
        <v>Low Performer</v>
      </c>
    </row>
    <row r="859" spans="2:24" x14ac:dyDescent="0.3">
      <c r="B859" t="s">
        <v>19</v>
      </c>
      <c r="C859" t="s">
        <v>20</v>
      </c>
      <c r="D859">
        <v>1</v>
      </c>
      <c r="E859" t="s">
        <v>28</v>
      </c>
      <c r="F859">
        <v>4</v>
      </c>
      <c r="G859" t="s">
        <v>22</v>
      </c>
      <c r="H859">
        <v>1</v>
      </c>
      <c r="I859">
        <v>16856</v>
      </c>
      <c r="J859">
        <v>11</v>
      </c>
      <c r="K859">
        <v>3</v>
      </c>
      <c r="L859">
        <v>0</v>
      </c>
      <c r="M859">
        <v>34</v>
      </c>
      <c r="N859">
        <v>3</v>
      </c>
      <c r="O859">
        <v>4</v>
      </c>
      <c r="P859">
        <v>34</v>
      </c>
      <c r="Q859">
        <v>6</v>
      </c>
      <c r="R859">
        <v>1</v>
      </c>
      <c r="S859" t="s">
        <v>34</v>
      </c>
      <c r="T859" t="s">
        <v>37</v>
      </c>
      <c r="U859" t="str">
        <f>IF(Table1[[#This Row],[YearsSince
LastPromotion]]&gt; 4, "Delayed", "Normal")</f>
        <v>Normal</v>
      </c>
      <c r="V859" t="str">
        <f>IF(Table1[[#This Row],[Years
InCurrentRole]]&gt;4, "Role Stagnent", "Normal")</f>
        <v>Role Stagnent</v>
      </c>
      <c r="W859" t="str">
        <f>IF(AND(Table1[[#This Row],[Years
InCurrentRole]]&gt; 4, Table1[[#This Row],[Performance
Rating]]&gt;=3), "High Risk", "Normal")</f>
        <v>High Risk</v>
      </c>
      <c r="X859" t="str">
        <f>IF(Table1[[#This Row],[Performance
Rating]]&gt;=4, "High Performer", "Low Performer")</f>
        <v>Low Performer</v>
      </c>
    </row>
    <row r="860" spans="2:24" x14ac:dyDescent="0.3">
      <c r="B860" t="s">
        <v>19</v>
      </c>
      <c r="C860" t="s">
        <v>25</v>
      </c>
      <c r="D860">
        <v>1</v>
      </c>
      <c r="E860" t="s">
        <v>28</v>
      </c>
      <c r="F860">
        <v>2</v>
      </c>
      <c r="G860" t="s">
        <v>33</v>
      </c>
      <c r="H860">
        <v>4</v>
      </c>
      <c r="I860">
        <v>6261</v>
      </c>
      <c r="J860">
        <v>18</v>
      </c>
      <c r="K860">
        <v>3</v>
      </c>
      <c r="L860">
        <v>1</v>
      </c>
      <c r="M860">
        <v>9</v>
      </c>
      <c r="N860">
        <v>3</v>
      </c>
      <c r="O860">
        <v>1</v>
      </c>
      <c r="P860">
        <v>7</v>
      </c>
      <c r="Q860">
        <v>7</v>
      </c>
      <c r="R860">
        <v>1</v>
      </c>
      <c r="S860" t="s">
        <v>23</v>
      </c>
      <c r="T860" t="s">
        <v>37</v>
      </c>
      <c r="U860" t="str">
        <f>IF(Table1[[#This Row],[YearsSince
LastPromotion]]&gt; 4, "Delayed", "Normal")</f>
        <v>Normal</v>
      </c>
      <c r="V860" t="str">
        <f>IF(Table1[[#This Row],[Years
InCurrentRole]]&gt;4, "Role Stagnent", "Normal")</f>
        <v>Role Stagnent</v>
      </c>
      <c r="W860" t="str">
        <f>IF(AND(Table1[[#This Row],[Years
InCurrentRole]]&gt; 4, Table1[[#This Row],[Performance
Rating]]&gt;=3), "High Risk", "Normal")</f>
        <v>High Risk</v>
      </c>
      <c r="X860" t="str">
        <f>IF(Table1[[#This Row],[Performance
Rating]]&gt;=4, "High Performer", "Low Performer")</f>
        <v>Low Performer</v>
      </c>
    </row>
    <row r="861" spans="2:24" x14ac:dyDescent="0.3">
      <c r="B861" t="s">
        <v>27</v>
      </c>
      <c r="C861" t="s">
        <v>25</v>
      </c>
      <c r="D861">
        <v>1</v>
      </c>
      <c r="E861" t="s">
        <v>21</v>
      </c>
      <c r="F861">
        <v>1</v>
      </c>
      <c r="G861" t="s">
        <v>29</v>
      </c>
      <c r="H861">
        <v>4</v>
      </c>
      <c r="I861">
        <v>2778</v>
      </c>
      <c r="J861">
        <v>13</v>
      </c>
      <c r="K861">
        <v>3</v>
      </c>
      <c r="L861">
        <v>1</v>
      </c>
      <c r="M861">
        <v>10</v>
      </c>
      <c r="N861">
        <v>1</v>
      </c>
      <c r="O861">
        <v>2</v>
      </c>
      <c r="P861">
        <v>7</v>
      </c>
      <c r="Q861">
        <v>7</v>
      </c>
      <c r="R861">
        <v>1</v>
      </c>
      <c r="S861" t="s">
        <v>23</v>
      </c>
      <c r="T861" t="s">
        <v>37</v>
      </c>
      <c r="U861" t="str">
        <f>IF(Table1[[#This Row],[YearsSince
LastPromotion]]&gt; 4, "Delayed", "Normal")</f>
        <v>Normal</v>
      </c>
      <c r="V861" t="str">
        <f>IF(Table1[[#This Row],[Years
InCurrentRole]]&gt;4, "Role Stagnent", "Normal")</f>
        <v>Role Stagnent</v>
      </c>
      <c r="W861" t="str">
        <f>IF(AND(Table1[[#This Row],[Years
InCurrentRole]]&gt; 4, Table1[[#This Row],[Performance
Rating]]&gt;=3), "High Risk", "Normal")</f>
        <v>High Risk</v>
      </c>
      <c r="X861" t="str">
        <f>IF(Table1[[#This Row],[Performance
Rating]]&gt;=4, "High Performer", "Low Performer")</f>
        <v>Low Performer</v>
      </c>
    </row>
    <row r="862" spans="2:24" x14ac:dyDescent="0.3">
      <c r="B862" t="s">
        <v>27</v>
      </c>
      <c r="C862" t="s">
        <v>36</v>
      </c>
      <c r="D862">
        <v>1</v>
      </c>
      <c r="E862" t="s">
        <v>21</v>
      </c>
      <c r="F862">
        <v>1</v>
      </c>
      <c r="G862" t="s">
        <v>36</v>
      </c>
      <c r="H862">
        <v>3</v>
      </c>
      <c r="I862">
        <v>2741</v>
      </c>
      <c r="J862">
        <v>11</v>
      </c>
      <c r="K862">
        <v>3</v>
      </c>
      <c r="L862">
        <v>1</v>
      </c>
      <c r="M862">
        <v>8</v>
      </c>
      <c r="N862">
        <v>2</v>
      </c>
      <c r="O862">
        <v>2</v>
      </c>
      <c r="P862">
        <v>7</v>
      </c>
      <c r="Q862">
        <v>7</v>
      </c>
      <c r="R862">
        <v>1</v>
      </c>
      <c r="S862" t="s">
        <v>23</v>
      </c>
      <c r="T862" t="s">
        <v>37</v>
      </c>
      <c r="U862" t="str">
        <f>IF(Table1[[#This Row],[YearsSince
LastPromotion]]&gt; 4, "Delayed", "Normal")</f>
        <v>Normal</v>
      </c>
      <c r="V862" t="str">
        <f>IF(Table1[[#This Row],[Years
InCurrentRole]]&gt;4, "Role Stagnent", "Normal")</f>
        <v>Role Stagnent</v>
      </c>
      <c r="W862" t="str">
        <f>IF(AND(Table1[[#This Row],[Years
InCurrentRole]]&gt; 4, Table1[[#This Row],[Performance
Rating]]&gt;=3), "High Risk", "Normal")</f>
        <v>High Risk</v>
      </c>
      <c r="X862" t="str">
        <f>IF(Table1[[#This Row],[Performance
Rating]]&gt;=4, "High Performer", "Low Performer")</f>
        <v>Low Performer</v>
      </c>
    </row>
    <row r="863" spans="2:24" x14ac:dyDescent="0.3">
      <c r="B863" t="s">
        <v>19</v>
      </c>
      <c r="C863" t="s">
        <v>25</v>
      </c>
      <c r="D863">
        <v>1</v>
      </c>
      <c r="E863" t="s">
        <v>21</v>
      </c>
      <c r="F863">
        <v>4</v>
      </c>
      <c r="G863" t="s">
        <v>35</v>
      </c>
      <c r="H863">
        <v>4</v>
      </c>
      <c r="I863">
        <v>16124</v>
      </c>
      <c r="J863">
        <v>14</v>
      </c>
      <c r="K863">
        <v>3</v>
      </c>
      <c r="L863">
        <v>2</v>
      </c>
      <c r="M863">
        <v>9</v>
      </c>
      <c r="N863">
        <v>2</v>
      </c>
      <c r="O863">
        <v>2</v>
      </c>
      <c r="P863">
        <v>7</v>
      </c>
      <c r="Q863">
        <v>7</v>
      </c>
      <c r="R863">
        <v>1</v>
      </c>
      <c r="S863" t="s">
        <v>23</v>
      </c>
      <c r="T863" t="s">
        <v>37</v>
      </c>
      <c r="U863" t="str">
        <f>IF(Table1[[#This Row],[YearsSince
LastPromotion]]&gt; 4, "Delayed", "Normal")</f>
        <v>Normal</v>
      </c>
      <c r="V863" t="str">
        <f>IF(Table1[[#This Row],[Years
InCurrentRole]]&gt;4, "Role Stagnent", "Normal")</f>
        <v>Role Stagnent</v>
      </c>
      <c r="W863" t="str">
        <f>IF(AND(Table1[[#This Row],[Years
InCurrentRole]]&gt; 4, Table1[[#This Row],[Performance
Rating]]&gt;=3), "High Risk", "Normal")</f>
        <v>High Risk</v>
      </c>
      <c r="X863" t="str">
        <f>IF(Table1[[#This Row],[Performance
Rating]]&gt;=4, "High Performer", "Low Performer")</f>
        <v>Low Performer</v>
      </c>
    </row>
    <row r="864" spans="2:24" x14ac:dyDescent="0.3">
      <c r="B864" t="s">
        <v>19</v>
      </c>
      <c r="C864" t="s">
        <v>25</v>
      </c>
      <c r="D864">
        <v>1</v>
      </c>
      <c r="E864" t="s">
        <v>28</v>
      </c>
      <c r="F864">
        <v>2</v>
      </c>
      <c r="G864" t="s">
        <v>29</v>
      </c>
      <c r="H864">
        <v>4</v>
      </c>
      <c r="I864">
        <v>5915</v>
      </c>
      <c r="J864">
        <v>22</v>
      </c>
      <c r="K864">
        <v>4</v>
      </c>
      <c r="L864">
        <v>1</v>
      </c>
      <c r="M864">
        <v>10</v>
      </c>
      <c r="N864">
        <v>3</v>
      </c>
      <c r="O864">
        <v>2</v>
      </c>
      <c r="P864">
        <v>7</v>
      </c>
      <c r="Q864">
        <v>7</v>
      </c>
      <c r="R864">
        <v>1</v>
      </c>
      <c r="S864" t="s">
        <v>23</v>
      </c>
      <c r="T864" t="s">
        <v>37</v>
      </c>
      <c r="U864" t="str">
        <f>IF(Table1[[#This Row],[YearsSince
LastPromotion]]&gt; 4, "Delayed", "Normal")</f>
        <v>Normal</v>
      </c>
      <c r="V864" t="str">
        <f>IF(Table1[[#This Row],[Years
InCurrentRole]]&gt;4, "Role Stagnent", "Normal")</f>
        <v>Role Stagnent</v>
      </c>
      <c r="W864" t="str">
        <f>IF(AND(Table1[[#This Row],[Years
InCurrentRole]]&gt; 4, Table1[[#This Row],[Performance
Rating]]&gt;=3), "High Risk", "Normal")</f>
        <v>High Risk</v>
      </c>
      <c r="X864" t="str">
        <f>IF(Table1[[#This Row],[Performance
Rating]]&gt;=4, "High Performer", "Low Performer")</f>
        <v>High Performer</v>
      </c>
    </row>
    <row r="865" spans="2:24" x14ac:dyDescent="0.3">
      <c r="B865" t="s">
        <v>19</v>
      </c>
      <c r="C865" t="s">
        <v>25</v>
      </c>
      <c r="D865">
        <v>1</v>
      </c>
      <c r="E865" t="s">
        <v>28</v>
      </c>
      <c r="F865">
        <v>2</v>
      </c>
      <c r="G865" t="s">
        <v>33</v>
      </c>
      <c r="H865">
        <v>4</v>
      </c>
      <c r="I865">
        <v>6804</v>
      </c>
      <c r="J865">
        <v>15</v>
      </c>
      <c r="K865">
        <v>3</v>
      </c>
      <c r="L865">
        <v>2</v>
      </c>
      <c r="M865">
        <v>7</v>
      </c>
      <c r="N865">
        <v>0</v>
      </c>
      <c r="O865">
        <v>3</v>
      </c>
      <c r="P865">
        <v>7</v>
      </c>
      <c r="Q865">
        <v>7</v>
      </c>
      <c r="R865">
        <v>1</v>
      </c>
      <c r="S865" t="s">
        <v>34</v>
      </c>
      <c r="T865" t="s">
        <v>37</v>
      </c>
      <c r="U865" t="str">
        <f>IF(Table1[[#This Row],[YearsSince
LastPromotion]]&gt; 4, "Delayed", "Normal")</f>
        <v>Normal</v>
      </c>
      <c r="V865" t="str">
        <f>IF(Table1[[#This Row],[Years
InCurrentRole]]&gt;4, "Role Stagnent", "Normal")</f>
        <v>Role Stagnent</v>
      </c>
      <c r="W865" t="str">
        <f>IF(AND(Table1[[#This Row],[Years
InCurrentRole]]&gt; 4, Table1[[#This Row],[Performance
Rating]]&gt;=3), "High Risk", "Normal")</f>
        <v>High Risk</v>
      </c>
      <c r="X865" t="str">
        <f>IF(Table1[[#This Row],[Performance
Rating]]&gt;=4, "High Performer", "Low Performer")</f>
        <v>Low Performer</v>
      </c>
    </row>
    <row r="866" spans="2:24" x14ac:dyDescent="0.3">
      <c r="B866" t="s">
        <v>19</v>
      </c>
      <c r="C866" t="s">
        <v>25</v>
      </c>
      <c r="D866">
        <v>1</v>
      </c>
      <c r="E866" t="s">
        <v>21</v>
      </c>
      <c r="F866">
        <v>3</v>
      </c>
      <c r="G866" t="s">
        <v>31</v>
      </c>
      <c r="H866">
        <v>3</v>
      </c>
      <c r="I866">
        <v>7094</v>
      </c>
      <c r="J866">
        <v>12</v>
      </c>
      <c r="K866">
        <v>3</v>
      </c>
      <c r="L866">
        <v>0</v>
      </c>
      <c r="M866">
        <v>10</v>
      </c>
      <c r="N866">
        <v>0</v>
      </c>
      <c r="O866">
        <v>3</v>
      </c>
      <c r="P866">
        <v>7</v>
      </c>
      <c r="Q866">
        <v>7</v>
      </c>
      <c r="R866">
        <v>1</v>
      </c>
      <c r="S866" t="s">
        <v>34</v>
      </c>
      <c r="T866" t="s">
        <v>37</v>
      </c>
      <c r="U866" t="str">
        <f>IF(Table1[[#This Row],[YearsSince
LastPromotion]]&gt; 4, "Delayed", "Normal")</f>
        <v>Normal</v>
      </c>
      <c r="V866" t="str">
        <f>IF(Table1[[#This Row],[Years
InCurrentRole]]&gt;4, "Role Stagnent", "Normal")</f>
        <v>Role Stagnent</v>
      </c>
      <c r="W866" t="str">
        <f>IF(AND(Table1[[#This Row],[Years
InCurrentRole]]&gt; 4, Table1[[#This Row],[Performance
Rating]]&gt;=3), "High Risk", "Normal")</f>
        <v>High Risk</v>
      </c>
      <c r="X866" t="str">
        <f>IF(Table1[[#This Row],[Performance
Rating]]&gt;=4, "High Performer", "Low Performer")</f>
        <v>Low Performer</v>
      </c>
    </row>
    <row r="867" spans="2:24" x14ac:dyDescent="0.3">
      <c r="B867" t="s">
        <v>19</v>
      </c>
      <c r="C867" t="s">
        <v>20</v>
      </c>
      <c r="D867">
        <v>1</v>
      </c>
      <c r="E867" t="s">
        <v>21</v>
      </c>
      <c r="F867">
        <v>2</v>
      </c>
      <c r="G867" t="s">
        <v>32</v>
      </c>
      <c r="H867">
        <v>2</v>
      </c>
      <c r="I867">
        <v>8268</v>
      </c>
      <c r="J867">
        <v>14</v>
      </c>
      <c r="K867">
        <v>3</v>
      </c>
      <c r="L867">
        <v>2</v>
      </c>
      <c r="M867">
        <v>7</v>
      </c>
      <c r="N867">
        <v>2</v>
      </c>
      <c r="O867">
        <v>3</v>
      </c>
      <c r="P867">
        <v>7</v>
      </c>
      <c r="Q867">
        <v>7</v>
      </c>
      <c r="R867">
        <v>1</v>
      </c>
      <c r="S867" t="s">
        <v>34</v>
      </c>
      <c r="T867" t="s">
        <v>37</v>
      </c>
      <c r="U867" t="str">
        <f>IF(Table1[[#This Row],[YearsSince
LastPromotion]]&gt; 4, "Delayed", "Normal")</f>
        <v>Normal</v>
      </c>
      <c r="V867" t="str">
        <f>IF(Table1[[#This Row],[Years
InCurrentRole]]&gt;4, "Role Stagnent", "Normal")</f>
        <v>Role Stagnent</v>
      </c>
      <c r="W867" t="str">
        <f>IF(AND(Table1[[#This Row],[Years
InCurrentRole]]&gt; 4, Table1[[#This Row],[Performance
Rating]]&gt;=3), "High Risk", "Normal")</f>
        <v>High Risk</v>
      </c>
      <c r="X867" t="str">
        <f>IF(Table1[[#This Row],[Performance
Rating]]&gt;=4, "High Performer", "Low Performer")</f>
        <v>Low Performer</v>
      </c>
    </row>
    <row r="868" spans="2:24" x14ac:dyDescent="0.3">
      <c r="B868" t="s">
        <v>19</v>
      </c>
      <c r="C868" t="s">
        <v>20</v>
      </c>
      <c r="D868">
        <v>1</v>
      </c>
      <c r="E868" t="s">
        <v>28</v>
      </c>
      <c r="F868">
        <v>3</v>
      </c>
      <c r="G868" t="s">
        <v>32</v>
      </c>
      <c r="H868">
        <v>1</v>
      </c>
      <c r="I868">
        <v>7140</v>
      </c>
      <c r="J868">
        <v>11</v>
      </c>
      <c r="K868">
        <v>3</v>
      </c>
      <c r="L868">
        <v>1</v>
      </c>
      <c r="M868">
        <v>12</v>
      </c>
      <c r="N868">
        <v>2</v>
      </c>
      <c r="O868">
        <v>3</v>
      </c>
      <c r="P868">
        <v>7</v>
      </c>
      <c r="Q868">
        <v>7</v>
      </c>
      <c r="R868">
        <v>1</v>
      </c>
      <c r="S868" t="s">
        <v>34</v>
      </c>
      <c r="T868" t="s">
        <v>37</v>
      </c>
      <c r="U868" t="str">
        <f>IF(Table1[[#This Row],[YearsSince
LastPromotion]]&gt; 4, "Delayed", "Normal")</f>
        <v>Normal</v>
      </c>
      <c r="V868" t="str">
        <f>IF(Table1[[#This Row],[Years
InCurrentRole]]&gt;4, "Role Stagnent", "Normal")</f>
        <v>Role Stagnent</v>
      </c>
      <c r="W868" t="str">
        <f>IF(AND(Table1[[#This Row],[Years
InCurrentRole]]&gt; 4, Table1[[#This Row],[Performance
Rating]]&gt;=3), "High Risk", "Normal")</f>
        <v>High Risk</v>
      </c>
      <c r="X868" t="str">
        <f>IF(Table1[[#This Row],[Performance
Rating]]&gt;=4, "High Performer", "Low Performer")</f>
        <v>Low Performer</v>
      </c>
    </row>
    <row r="869" spans="2:24" x14ac:dyDescent="0.3">
      <c r="B869" t="s">
        <v>19</v>
      </c>
      <c r="C869" t="s">
        <v>20</v>
      </c>
      <c r="D869">
        <v>1</v>
      </c>
      <c r="E869" t="s">
        <v>28</v>
      </c>
      <c r="F869">
        <v>2</v>
      </c>
      <c r="G869" t="s">
        <v>32</v>
      </c>
      <c r="H869">
        <v>1</v>
      </c>
      <c r="I869">
        <v>8966</v>
      </c>
      <c r="J869">
        <v>15</v>
      </c>
      <c r="K869">
        <v>3</v>
      </c>
      <c r="L869">
        <v>3</v>
      </c>
      <c r="M869">
        <v>15</v>
      </c>
      <c r="N869">
        <v>2</v>
      </c>
      <c r="O869">
        <v>3</v>
      </c>
      <c r="P869">
        <v>7</v>
      </c>
      <c r="Q869">
        <v>7</v>
      </c>
      <c r="R869">
        <v>1</v>
      </c>
      <c r="S869" t="s">
        <v>34</v>
      </c>
      <c r="T869" t="s">
        <v>37</v>
      </c>
      <c r="U869" t="str">
        <f>IF(Table1[[#This Row],[YearsSince
LastPromotion]]&gt; 4, "Delayed", "Normal")</f>
        <v>Normal</v>
      </c>
      <c r="V869" t="str">
        <f>IF(Table1[[#This Row],[Years
InCurrentRole]]&gt;4, "Role Stagnent", "Normal")</f>
        <v>Role Stagnent</v>
      </c>
      <c r="W869" t="str">
        <f>IF(AND(Table1[[#This Row],[Years
InCurrentRole]]&gt; 4, Table1[[#This Row],[Performance
Rating]]&gt;=3), "High Risk", "Normal")</f>
        <v>High Risk</v>
      </c>
      <c r="X869" t="str">
        <f>IF(Table1[[#This Row],[Performance
Rating]]&gt;=4, "High Performer", "Low Performer")</f>
        <v>Low Performer</v>
      </c>
    </row>
    <row r="870" spans="2:24" x14ac:dyDescent="0.3">
      <c r="B870" t="s">
        <v>19</v>
      </c>
      <c r="C870" t="s">
        <v>25</v>
      </c>
      <c r="D870">
        <v>1</v>
      </c>
      <c r="E870" t="s">
        <v>28</v>
      </c>
      <c r="F870">
        <v>2</v>
      </c>
      <c r="G870" t="s">
        <v>26</v>
      </c>
      <c r="H870">
        <v>4</v>
      </c>
      <c r="I870">
        <v>4108</v>
      </c>
      <c r="J870">
        <v>13</v>
      </c>
      <c r="K870">
        <v>3</v>
      </c>
      <c r="L870">
        <v>0</v>
      </c>
      <c r="M870">
        <v>18</v>
      </c>
      <c r="N870">
        <v>2</v>
      </c>
      <c r="O870">
        <v>3</v>
      </c>
      <c r="P870">
        <v>7</v>
      </c>
      <c r="Q870">
        <v>7</v>
      </c>
      <c r="R870">
        <v>1</v>
      </c>
      <c r="S870" t="s">
        <v>34</v>
      </c>
      <c r="T870" t="s">
        <v>37</v>
      </c>
      <c r="U870" t="str">
        <f>IF(Table1[[#This Row],[YearsSince
LastPromotion]]&gt; 4, "Delayed", "Normal")</f>
        <v>Normal</v>
      </c>
      <c r="V870" t="str">
        <f>IF(Table1[[#This Row],[Years
InCurrentRole]]&gt;4, "Role Stagnent", "Normal")</f>
        <v>Role Stagnent</v>
      </c>
      <c r="W870" t="str">
        <f>IF(AND(Table1[[#This Row],[Years
InCurrentRole]]&gt; 4, Table1[[#This Row],[Performance
Rating]]&gt;=3), "High Risk", "Normal")</f>
        <v>High Risk</v>
      </c>
      <c r="X870" t="str">
        <f>IF(Table1[[#This Row],[Performance
Rating]]&gt;=4, "High Performer", "Low Performer")</f>
        <v>Low Performer</v>
      </c>
    </row>
    <row r="871" spans="2:24" x14ac:dyDescent="0.3">
      <c r="B871" t="s">
        <v>19</v>
      </c>
      <c r="C871" t="s">
        <v>20</v>
      </c>
      <c r="D871">
        <v>1</v>
      </c>
      <c r="E871" t="s">
        <v>28</v>
      </c>
      <c r="F871">
        <v>2</v>
      </c>
      <c r="G871" t="s">
        <v>32</v>
      </c>
      <c r="H871">
        <v>1</v>
      </c>
      <c r="I871">
        <v>4960</v>
      </c>
      <c r="J871">
        <v>12</v>
      </c>
      <c r="K871">
        <v>3</v>
      </c>
      <c r="L871">
        <v>0</v>
      </c>
      <c r="M871">
        <v>20</v>
      </c>
      <c r="N871">
        <v>2</v>
      </c>
      <c r="O871">
        <v>3</v>
      </c>
      <c r="P871">
        <v>7</v>
      </c>
      <c r="Q871">
        <v>7</v>
      </c>
      <c r="R871">
        <v>1</v>
      </c>
      <c r="S871" t="s">
        <v>34</v>
      </c>
      <c r="T871" t="s">
        <v>37</v>
      </c>
      <c r="U871" t="str">
        <f>IF(Table1[[#This Row],[YearsSince
LastPromotion]]&gt; 4, "Delayed", "Normal")</f>
        <v>Normal</v>
      </c>
      <c r="V871" t="str">
        <f>IF(Table1[[#This Row],[Years
InCurrentRole]]&gt;4, "Role Stagnent", "Normal")</f>
        <v>Role Stagnent</v>
      </c>
      <c r="W871" t="str">
        <f>IF(AND(Table1[[#This Row],[Years
InCurrentRole]]&gt; 4, Table1[[#This Row],[Performance
Rating]]&gt;=3), "High Risk", "Normal")</f>
        <v>High Risk</v>
      </c>
      <c r="X871" t="str">
        <f>IF(Table1[[#This Row],[Performance
Rating]]&gt;=4, "High Performer", "Low Performer")</f>
        <v>Low Performer</v>
      </c>
    </row>
    <row r="872" spans="2:24" x14ac:dyDescent="0.3">
      <c r="B872" t="s">
        <v>19</v>
      </c>
      <c r="C872" t="s">
        <v>25</v>
      </c>
      <c r="D872">
        <v>1</v>
      </c>
      <c r="E872" t="s">
        <v>21</v>
      </c>
      <c r="F872">
        <v>1</v>
      </c>
      <c r="G872" t="s">
        <v>29</v>
      </c>
      <c r="H872">
        <v>3</v>
      </c>
      <c r="I872">
        <v>2213</v>
      </c>
      <c r="J872">
        <v>13</v>
      </c>
      <c r="K872">
        <v>3</v>
      </c>
      <c r="L872">
        <v>1</v>
      </c>
      <c r="M872">
        <v>10</v>
      </c>
      <c r="N872">
        <v>3</v>
      </c>
      <c r="O872">
        <v>3</v>
      </c>
      <c r="P872">
        <v>7</v>
      </c>
      <c r="Q872">
        <v>7</v>
      </c>
      <c r="R872">
        <v>1</v>
      </c>
      <c r="S872" t="s">
        <v>34</v>
      </c>
      <c r="T872" t="s">
        <v>37</v>
      </c>
      <c r="U872" t="str">
        <f>IF(Table1[[#This Row],[YearsSince
LastPromotion]]&gt; 4, "Delayed", "Normal")</f>
        <v>Normal</v>
      </c>
      <c r="V872" t="str">
        <f>IF(Table1[[#This Row],[Years
InCurrentRole]]&gt;4, "Role Stagnent", "Normal")</f>
        <v>Role Stagnent</v>
      </c>
      <c r="W872" t="str">
        <f>IF(AND(Table1[[#This Row],[Years
InCurrentRole]]&gt; 4, Table1[[#This Row],[Performance
Rating]]&gt;=3), "High Risk", "Normal")</f>
        <v>High Risk</v>
      </c>
      <c r="X872" t="str">
        <f>IF(Table1[[#This Row],[Performance
Rating]]&gt;=4, "High Performer", "Low Performer")</f>
        <v>Low Performer</v>
      </c>
    </row>
    <row r="873" spans="2:24" x14ac:dyDescent="0.3">
      <c r="B873" t="s">
        <v>19</v>
      </c>
      <c r="C873" t="s">
        <v>20</v>
      </c>
      <c r="D873">
        <v>1</v>
      </c>
      <c r="E873" t="s">
        <v>21</v>
      </c>
      <c r="F873">
        <v>2</v>
      </c>
      <c r="G873" t="s">
        <v>32</v>
      </c>
      <c r="H873">
        <v>1</v>
      </c>
      <c r="I873">
        <v>6893</v>
      </c>
      <c r="J873">
        <v>15</v>
      </c>
      <c r="K873">
        <v>3</v>
      </c>
      <c r="L873">
        <v>1</v>
      </c>
      <c r="M873">
        <v>11</v>
      </c>
      <c r="N873">
        <v>3</v>
      </c>
      <c r="O873">
        <v>3</v>
      </c>
      <c r="P873">
        <v>7</v>
      </c>
      <c r="Q873">
        <v>7</v>
      </c>
      <c r="R873">
        <v>1</v>
      </c>
      <c r="S873" t="s">
        <v>34</v>
      </c>
      <c r="T873" t="s">
        <v>37</v>
      </c>
      <c r="U873" t="str">
        <f>IF(Table1[[#This Row],[YearsSince
LastPromotion]]&gt; 4, "Delayed", "Normal")</f>
        <v>Normal</v>
      </c>
      <c r="V873" t="str">
        <f>IF(Table1[[#This Row],[Years
InCurrentRole]]&gt;4, "Role Stagnent", "Normal")</f>
        <v>Role Stagnent</v>
      </c>
      <c r="W873" t="str">
        <f>IF(AND(Table1[[#This Row],[Years
InCurrentRole]]&gt; 4, Table1[[#This Row],[Performance
Rating]]&gt;=3), "High Risk", "Normal")</f>
        <v>High Risk</v>
      </c>
      <c r="X873" t="str">
        <f>IF(Table1[[#This Row],[Performance
Rating]]&gt;=4, "High Performer", "Low Performer")</f>
        <v>Low Performer</v>
      </c>
    </row>
    <row r="874" spans="2:24" x14ac:dyDescent="0.3">
      <c r="B874" t="s">
        <v>19</v>
      </c>
      <c r="C874" t="s">
        <v>20</v>
      </c>
      <c r="D874">
        <v>1</v>
      </c>
      <c r="E874" t="s">
        <v>28</v>
      </c>
      <c r="F874">
        <v>2</v>
      </c>
      <c r="G874" t="s">
        <v>32</v>
      </c>
      <c r="H874">
        <v>4</v>
      </c>
      <c r="I874">
        <v>7547</v>
      </c>
      <c r="J874">
        <v>12</v>
      </c>
      <c r="K874">
        <v>3</v>
      </c>
      <c r="L874">
        <v>3</v>
      </c>
      <c r="M874">
        <v>13</v>
      </c>
      <c r="N874">
        <v>3</v>
      </c>
      <c r="O874">
        <v>3</v>
      </c>
      <c r="P874">
        <v>7</v>
      </c>
      <c r="Q874">
        <v>7</v>
      </c>
      <c r="R874">
        <v>1</v>
      </c>
      <c r="S874" t="s">
        <v>34</v>
      </c>
      <c r="T874" t="s">
        <v>37</v>
      </c>
      <c r="U874" t="str">
        <f>IF(Table1[[#This Row],[YearsSince
LastPromotion]]&gt; 4, "Delayed", "Normal")</f>
        <v>Normal</v>
      </c>
      <c r="V874" t="str">
        <f>IF(Table1[[#This Row],[Years
InCurrentRole]]&gt;4, "Role Stagnent", "Normal")</f>
        <v>Role Stagnent</v>
      </c>
      <c r="W874" t="str">
        <f>IF(AND(Table1[[#This Row],[Years
InCurrentRole]]&gt; 4, Table1[[#This Row],[Performance
Rating]]&gt;=3), "High Risk", "Normal")</f>
        <v>High Risk</v>
      </c>
      <c r="X874" t="str">
        <f>IF(Table1[[#This Row],[Performance
Rating]]&gt;=4, "High Performer", "Low Performer")</f>
        <v>Low Performer</v>
      </c>
    </row>
    <row r="875" spans="2:24" x14ac:dyDescent="0.3">
      <c r="B875" t="s">
        <v>19</v>
      </c>
      <c r="C875" t="s">
        <v>25</v>
      </c>
      <c r="D875">
        <v>1</v>
      </c>
      <c r="E875" t="s">
        <v>28</v>
      </c>
      <c r="F875">
        <v>1</v>
      </c>
      <c r="G875" t="s">
        <v>29</v>
      </c>
      <c r="H875">
        <v>3</v>
      </c>
      <c r="I875">
        <v>2741</v>
      </c>
      <c r="J875">
        <v>14</v>
      </c>
      <c r="K875">
        <v>3</v>
      </c>
      <c r="L875">
        <v>1</v>
      </c>
      <c r="M875">
        <v>7</v>
      </c>
      <c r="N875">
        <v>4</v>
      </c>
      <c r="O875">
        <v>3</v>
      </c>
      <c r="P875">
        <v>7</v>
      </c>
      <c r="Q875">
        <v>7</v>
      </c>
      <c r="R875">
        <v>1</v>
      </c>
      <c r="S875" t="s">
        <v>34</v>
      </c>
      <c r="T875" t="s">
        <v>37</v>
      </c>
      <c r="U875" t="str">
        <f>IF(Table1[[#This Row],[YearsSince
LastPromotion]]&gt; 4, "Delayed", "Normal")</f>
        <v>Normal</v>
      </c>
      <c r="V875" t="str">
        <f>IF(Table1[[#This Row],[Years
InCurrentRole]]&gt;4, "Role Stagnent", "Normal")</f>
        <v>Role Stagnent</v>
      </c>
      <c r="W875" t="str">
        <f>IF(AND(Table1[[#This Row],[Years
InCurrentRole]]&gt; 4, Table1[[#This Row],[Performance
Rating]]&gt;=3), "High Risk", "Normal")</f>
        <v>High Risk</v>
      </c>
      <c r="X875" t="str">
        <f>IF(Table1[[#This Row],[Performance
Rating]]&gt;=4, "High Performer", "Low Performer")</f>
        <v>Low Performer</v>
      </c>
    </row>
    <row r="876" spans="2:24" x14ac:dyDescent="0.3">
      <c r="B876" t="s">
        <v>19</v>
      </c>
      <c r="C876" t="s">
        <v>25</v>
      </c>
      <c r="D876">
        <v>1</v>
      </c>
      <c r="E876" t="s">
        <v>28</v>
      </c>
      <c r="F876">
        <v>3</v>
      </c>
      <c r="G876" t="s">
        <v>31</v>
      </c>
      <c r="H876">
        <v>1</v>
      </c>
      <c r="I876">
        <v>9991</v>
      </c>
      <c r="J876">
        <v>15</v>
      </c>
      <c r="K876">
        <v>3</v>
      </c>
      <c r="L876">
        <v>1</v>
      </c>
      <c r="M876">
        <v>9</v>
      </c>
      <c r="N876">
        <v>5</v>
      </c>
      <c r="O876">
        <v>3</v>
      </c>
      <c r="P876">
        <v>7</v>
      </c>
      <c r="Q876">
        <v>7</v>
      </c>
      <c r="R876">
        <v>1</v>
      </c>
      <c r="S876" t="s">
        <v>34</v>
      </c>
      <c r="T876" t="s">
        <v>37</v>
      </c>
      <c r="U876" t="str">
        <f>IF(Table1[[#This Row],[YearsSince
LastPromotion]]&gt; 4, "Delayed", "Normal")</f>
        <v>Normal</v>
      </c>
      <c r="V876" t="str">
        <f>IF(Table1[[#This Row],[Years
InCurrentRole]]&gt;4, "Role Stagnent", "Normal")</f>
        <v>Role Stagnent</v>
      </c>
      <c r="W876" t="str">
        <f>IF(AND(Table1[[#This Row],[Years
InCurrentRole]]&gt; 4, Table1[[#This Row],[Performance
Rating]]&gt;=3), "High Risk", "Normal")</f>
        <v>High Risk</v>
      </c>
      <c r="X876" t="str">
        <f>IF(Table1[[#This Row],[Performance
Rating]]&gt;=4, "High Performer", "Low Performer")</f>
        <v>Low Performer</v>
      </c>
    </row>
    <row r="877" spans="2:24" x14ac:dyDescent="0.3">
      <c r="B877" t="s">
        <v>19</v>
      </c>
      <c r="C877" t="s">
        <v>25</v>
      </c>
      <c r="D877">
        <v>1</v>
      </c>
      <c r="E877" t="s">
        <v>28</v>
      </c>
      <c r="F877">
        <v>2</v>
      </c>
      <c r="G877" t="s">
        <v>33</v>
      </c>
      <c r="H877">
        <v>4</v>
      </c>
      <c r="I877">
        <v>5762</v>
      </c>
      <c r="J877">
        <v>14</v>
      </c>
      <c r="K877">
        <v>3</v>
      </c>
      <c r="L877">
        <v>1</v>
      </c>
      <c r="M877">
        <v>15</v>
      </c>
      <c r="N877">
        <v>6</v>
      </c>
      <c r="O877">
        <v>3</v>
      </c>
      <c r="P877">
        <v>7</v>
      </c>
      <c r="Q877">
        <v>7</v>
      </c>
      <c r="R877">
        <v>1</v>
      </c>
      <c r="S877" t="s">
        <v>34</v>
      </c>
      <c r="T877" t="s">
        <v>37</v>
      </c>
      <c r="U877" t="str">
        <f>IF(Table1[[#This Row],[YearsSince
LastPromotion]]&gt; 4, "Delayed", "Normal")</f>
        <v>Normal</v>
      </c>
      <c r="V877" t="str">
        <f>IF(Table1[[#This Row],[Years
InCurrentRole]]&gt;4, "Role Stagnent", "Normal")</f>
        <v>Role Stagnent</v>
      </c>
      <c r="W877" t="str">
        <f>IF(AND(Table1[[#This Row],[Years
InCurrentRole]]&gt; 4, Table1[[#This Row],[Performance
Rating]]&gt;=3), "High Risk", "Normal")</f>
        <v>High Risk</v>
      </c>
      <c r="X877" t="str">
        <f>IF(Table1[[#This Row],[Performance
Rating]]&gt;=4, "High Performer", "Low Performer")</f>
        <v>Low Performer</v>
      </c>
    </row>
    <row r="878" spans="2:24" x14ac:dyDescent="0.3">
      <c r="B878" t="s">
        <v>19</v>
      </c>
      <c r="C878" t="s">
        <v>25</v>
      </c>
      <c r="D878">
        <v>1</v>
      </c>
      <c r="E878" t="s">
        <v>21</v>
      </c>
      <c r="F878">
        <v>4</v>
      </c>
      <c r="G878" t="s">
        <v>31</v>
      </c>
      <c r="H878">
        <v>2</v>
      </c>
      <c r="I878">
        <v>13734</v>
      </c>
      <c r="J878">
        <v>18</v>
      </c>
      <c r="K878">
        <v>3</v>
      </c>
      <c r="L878">
        <v>0</v>
      </c>
      <c r="M878">
        <v>21</v>
      </c>
      <c r="N878">
        <v>6</v>
      </c>
      <c r="O878">
        <v>3</v>
      </c>
      <c r="P878">
        <v>7</v>
      </c>
      <c r="Q878">
        <v>7</v>
      </c>
      <c r="R878">
        <v>1</v>
      </c>
      <c r="S878" t="s">
        <v>34</v>
      </c>
      <c r="T878" t="s">
        <v>37</v>
      </c>
      <c r="U878" t="str">
        <f>IF(Table1[[#This Row],[YearsSince
LastPromotion]]&gt; 4, "Delayed", "Normal")</f>
        <v>Normal</v>
      </c>
      <c r="V878" t="str">
        <f>IF(Table1[[#This Row],[Years
InCurrentRole]]&gt;4, "Role Stagnent", "Normal")</f>
        <v>Role Stagnent</v>
      </c>
      <c r="W878" t="str">
        <f>IF(AND(Table1[[#This Row],[Years
InCurrentRole]]&gt; 4, Table1[[#This Row],[Performance
Rating]]&gt;=3), "High Risk", "Normal")</f>
        <v>High Risk</v>
      </c>
      <c r="X878" t="str">
        <f>IF(Table1[[#This Row],[Performance
Rating]]&gt;=4, "High Performer", "Low Performer")</f>
        <v>Low Performer</v>
      </c>
    </row>
    <row r="879" spans="2:24" x14ac:dyDescent="0.3">
      <c r="B879" t="s">
        <v>19</v>
      </c>
      <c r="C879" t="s">
        <v>20</v>
      </c>
      <c r="D879">
        <v>1</v>
      </c>
      <c r="E879" t="s">
        <v>28</v>
      </c>
      <c r="F879">
        <v>3</v>
      </c>
      <c r="G879" t="s">
        <v>32</v>
      </c>
      <c r="H879">
        <v>3</v>
      </c>
      <c r="I879">
        <v>8628</v>
      </c>
      <c r="J879">
        <v>18</v>
      </c>
      <c r="K879">
        <v>3</v>
      </c>
      <c r="L879">
        <v>1</v>
      </c>
      <c r="M879">
        <v>9</v>
      </c>
      <c r="N879">
        <v>2</v>
      </c>
      <c r="O879">
        <v>2</v>
      </c>
      <c r="P879">
        <v>8</v>
      </c>
      <c r="Q879">
        <v>7</v>
      </c>
      <c r="R879">
        <v>1</v>
      </c>
      <c r="S879" t="s">
        <v>23</v>
      </c>
      <c r="T879" t="s">
        <v>37</v>
      </c>
      <c r="U879" t="str">
        <f>IF(Table1[[#This Row],[YearsSince
LastPromotion]]&gt; 4, "Delayed", "Normal")</f>
        <v>Normal</v>
      </c>
      <c r="V879" t="str">
        <f>IF(Table1[[#This Row],[Years
InCurrentRole]]&gt;4, "Role Stagnent", "Normal")</f>
        <v>Role Stagnent</v>
      </c>
      <c r="W879" t="str">
        <f>IF(AND(Table1[[#This Row],[Years
InCurrentRole]]&gt; 4, Table1[[#This Row],[Performance
Rating]]&gt;=3), "High Risk", "Normal")</f>
        <v>High Risk</v>
      </c>
      <c r="X879" t="str">
        <f>IF(Table1[[#This Row],[Performance
Rating]]&gt;=4, "High Performer", "Low Performer")</f>
        <v>Low Performer</v>
      </c>
    </row>
    <row r="880" spans="2:24" x14ac:dyDescent="0.3">
      <c r="B880" t="s">
        <v>19</v>
      </c>
      <c r="C880" t="s">
        <v>25</v>
      </c>
      <c r="D880">
        <v>1</v>
      </c>
      <c r="E880" t="s">
        <v>28</v>
      </c>
      <c r="F880">
        <v>1</v>
      </c>
      <c r="G880" t="s">
        <v>26</v>
      </c>
      <c r="H880">
        <v>1</v>
      </c>
      <c r="I880">
        <v>3564</v>
      </c>
      <c r="J880">
        <v>12</v>
      </c>
      <c r="K880">
        <v>3</v>
      </c>
      <c r="L880">
        <v>1</v>
      </c>
      <c r="M880">
        <v>8</v>
      </c>
      <c r="N880">
        <v>3</v>
      </c>
      <c r="O880">
        <v>2</v>
      </c>
      <c r="P880">
        <v>8</v>
      </c>
      <c r="Q880">
        <v>7</v>
      </c>
      <c r="R880">
        <v>1</v>
      </c>
      <c r="S880" t="s">
        <v>23</v>
      </c>
      <c r="T880" t="s">
        <v>37</v>
      </c>
      <c r="U880" t="str">
        <f>IF(Table1[[#This Row],[YearsSince
LastPromotion]]&gt; 4, "Delayed", "Normal")</f>
        <v>Normal</v>
      </c>
      <c r="V880" t="str">
        <f>IF(Table1[[#This Row],[Years
InCurrentRole]]&gt;4, "Role Stagnent", "Normal")</f>
        <v>Role Stagnent</v>
      </c>
      <c r="W880" t="str">
        <f>IF(AND(Table1[[#This Row],[Years
InCurrentRole]]&gt; 4, Table1[[#This Row],[Performance
Rating]]&gt;=3), "High Risk", "Normal")</f>
        <v>High Risk</v>
      </c>
      <c r="X880" t="str">
        <f>IF(Table1[[#This Row],[Performance
Rating]]&gt;=4, "High Performer", "Low Performer")</f>
        <v>Low Performer</v>
      </c>
    </row>
    <row r="881" spans="2:24" x14ac:dyDescent="0.3">
      <c r="B881" t="s">
        <v>19</v>
      </c>
      <c r="C881" t="s">
        <v>25</v>
      </c>
      <c r="D881">
        <v>1</v>
      </c>
      <c r="E881" t="s">
        <v>21</v>
      </c>
      <c r="F881">
        <v>2</v>
      </c>
      <c r="G881" t="s">
        <v>31</v>
      </c>
      <c r="H881">
        <v>3</v>
      </c>
      <c r="I881">
        <v>4335</v>
      </c>
      <c r="J881">
        <v>12</v>
      </c>
      <c r="K881">
        <v>3</v>
      </c>
      <c r="L881">
        <v>1</v>
      </c>
      <c r="M881">
        <v>11</v>
      </c>
      <c r="N881">
        <v>3</v>
      </c>
      <c r="O881">
        <v>2</v>
      </c>
      <c r="P881">
        <v>8</v>
      </c>
      <c r="Q881">
        <v>7</v>
      </c>
      <c r="R881">
        <v>1</v>
      </c>
      <c r="S881" t="s">
        <v>23</v>
      </c>
      <c r="T881" t="s">
        <v>37</v>
      </c>
      <c r="U881" t="str">
        <f>IF(Table1[[#This Row],[YearsSince
LastPromotion]]&gt; 4, "Delayed", "Normal")</f>
        <v>Normal</v>
      </c>
      <c r="V881" t="str">
        <f>IF(Table1[[#This Row],[Years
InCurrentRole]]&gt;4, "Role Stagnent", "Normal")</f>
        <v>Role Stagnent</v>
      </c>
      <c r="W881" t="str">
        <f>IF(AND(Table1[[#This Row],[Years
InCurrentRole]]&gt; 4, Table1[[#This Row],[Performance
Rating]]&gt;=3), "High Risk", "Normal")</f>
        <v>High Risk</v>
      </c>
      <c r="X881" t="str">
        <f>IF(Table1[[#This Row],[Performance
Rating]]&gt;=4, "High Performer", "Low Performer")</f>
        <v>Low Performer</v>
      </c>
    </row>
    <row r="882" spans="2:24" x14ac:dyDescent="0.3">
      <c r="B882" t="s">
        <v>19</v>
      </c>
      <c r="C882" t="s">
        <v>25</v>
      </c>
      <c r="D882">
        <v>1</v>
      </c>
      <c r="E882" t="s">
        <v>21</v>
      </c>
      <c r="F882">
        <v>3</v>
      </c>
      <c r="G882" t="s">
        <v>35</v>
      </c>
      <c r="H882">
        <v>1</v>
      </c>
      <c r="I882">
        <v>11416</v>
      </c>
      <c r="J882">
        <v>12</v>
      </c>
      <c r="K882">
        <v>3</v>
      </c>
      <c r="L882">
        <v>3</v>
      </c>
      <c r="M882">
        <v>9</v>
      </c>
      <c r="N882">
        <v>4</v>
      </c>
      <c r="O882">
        <v>2</v>
      </c>
      <c r="P882">
        <v>8</v>
      </c>
      <c r="Q882">
        <v>7</v>
      </c>
      <c r="R882">
        <v>1</v>
      </c>
      <c r="S882" t="s">
        <v>23</v>
      </c>
      <c r="T882" t="s">
        <v>37</v>
      </c>
      <c r="U882" t="str">
        <f>IF(Table1[[#This Row],[YearsSince
LastPromotion]]&gt; 4, "Delayed", "Normal")</f>
        <v>Normal</v>
      </c>
      <c r="V882" t="str">
        <f>IF(Table1[[#This Row],[Years
InCurrentRole]]&gt;4, "Role Stagnent", "Normal")</f>
        <v>Role Stagnent</v>
      </c>
      <c r="W882" t="str">
        <f>IF(AND(Table1[[#This Row],[Years
InCurrentRole]]&gt; 4, Table1[[#This Row],[Performance
Rating]]&gt;=3), "High Risk", "Normal")</f>
        <v>High Risk</v>
      </c>
      <c r="X882" t="str">
        <f>IF(Table1[[#This Row],[Performance
Rating]]&gt;=4, "High Performer", "Low Performer")</f>
        <v>Low Performer</v>
      </c>
    </row>
    <row r="883" spans="2:24" x14ac:dyDescent="0.3">
      <c r="B883" t="s">
        <v>19</v>
      </c>
      <c r="C883" t="s">
        <v>25</v>
      </c>
      <c r="D883">
        <v>1</v>
      </c>
      <c r="E883" t="s">
        <v>28</v>
      </c>
      <c r="F883">
        <v>2</v>
      </c>
      <c r="G883" t="s">
        <v>33</v>
      </c>
      <c r="H883">
        <v>4</v>
      </c>
      <c r="I883">
        <v>5472</v>
      </c>
      <c r="J883">
        <v>12</v>
      </c>
      <c r="K883">
        <v>3</v>
      </c>
      <c r="L883">
        <v>0</v>
      </c>
      <c r="M883">
        <v>8</v>
      </c>
      <c r="N883">
        <v>2</v>
      </c>
      <c r="O883">
        <v>3</v>
      </c>
      <c r="P883">
        <v>8</v>
      </c>
      <c r="Q883">
        <v>7</v>
      </c>
      <c r="R883">
        <v>1</v>
      </c>
      <c r="S883" t="s">
        <v>34</v>
      </c>
      <c r="T883" t="s">
        <v>37</v>
      </c>
      <c r="U883" t="str">
        <f>IF(Table1[[#This Row],[YearsSince
LastPromotion]]&gt; 4, "Delayed", "Normal")</f>
        <v>Normal</v>
      </c>
      <c r="V883" t="str">
        <f>IF(Table1[[#This Row],[Years
InCurrentRole]]&gt;4, "Role Stagnent", "Normal")</f>
        <v>Role Stagnent</v>
      </c>
      <c r="W883" t="str">
        <f>IF(AND(Table1[[#This Row],[Years
InCurrentRole]]&gt; 4, Table1[[#This Row],[Performance
Rating]]&gt;=3), "High Risk", "Normal")</f>
        <v>High Risk</v>
      </c>
      <c r="X883" t="str">
        <f>IF(Table1[[#This Row],[Performance
Rating]]&gt;=4, "High Performer", "Low Performer")</f>
        <v>Low Performer</v>
      </c>
    </row>
    <row r="884" spans="2:24" x14ac:dyDescent="0.3">
      <c r="B884" t="s">
        <v>27</v>
      </c>
      <c r="C884" t="s">
        <v>25</v>
      </c>
      <c r="D884">
        <v>1</v>
      </c>
      <c r="E884" t="s">
        <v>21</v>
      </c>
      <c r="F884">
        <v>1</v>
      </c>
      <c r="G884" t="s">
        <v>26</v>
      </c>
      <c r="H884">
        <v>3</v>
      </c>
      <c r="I884">
        <v>2366</v>
      </c>
      <c r="J884">
        <v>14</v>
      </c>
      <c r="K884">
        <v>3</v>
      </c>
      <c r="L884">
        <v>1</v>
      </c>
      <c r="M884">
        <v>8</v>
      </c>
      <c r="N884">
        <v>2</v>
      </c>
      <c r="O884">
        <v>3</v>
      </c>
      <c r="P884">
        <v>8</v>
      </c>
      <c r="Q884">
        <v>7</v>
      </c>
      <c r="R884">
        <v>1</v>
      </c>
      <c r="S884" t="s">
        <v>34</v>
      </c>
      <c r="T884" t="s">
        <v>37</v>
      </c>
      <c r="U884" t="str">
        <f>IF(Table1[[#This Row],[YearsSince
LastPromotion]]&gt; 4, "Delayed", "Normal")</f>
        <v>Normal</v>
      </c>
      <c r="V884" t="str">
        <f>IF(Table1[[#This Row],[Years
InCurrentRole]]&gt;4, "Role Stagnent", "Normal")</f>
        <v>Role Stagnent</v>
      </c>
      <c r="W884" t="str">
        <f>IF(AND(Table1[[#This Row],[Years
InCurrentRole]]&gt; 4, Table1[[#This Row],[Performance
Rating]]&gt;=3), "High Risk", "Normal")</f>
        <v>High Risk</v>
      </c>
      <c r="X884" t="str">
        <f>IF(Table1[[#This Row],[Performance
Rating]]&gt;=4, "High Performer", "Low Performer")</f>
        <v>Low Performer</v>
      </c>
    </row>
    <row r="885" spans="2:24" x14ac:dyDescent="0.3">
      <c r="B885" t="s">
        <v>19</v>
      </c>
      <c r="C885" t="s">
        <v>20</v>
      </c>
      <c r="D885">
        <v>1</v>
      </c>
      <c r="E885" t="s">
        <v>21</v>
      </c>
      <c r="F885">
        <v>2</v>
      </c>
      <c r="G885" t="s">
        <v>32</v>
      </c>
      <c r="H885">
        <v>3</v>
      </c>
      <c r="I885">
        <v>6712</v>
      </c>
      <c r="J885">
        <v>21</v>
      </c>
      <c r="K885">
        <v>4</v>
      </c>
      <c r="L885">
        <v>2</v>
      </c>
      <c r="M885">
        <v>8</v>
      </c>
      <c r="N885">
        <v>2</v>
      </c>
      <c r="O885">
        <v>3</v>
      </c>
      <c r="P885">
        <v>8</v>
      </c>
      <c r="Q885">
        <v>7</v>
      </c>
      <c r="R885">
        <v>1</v>
      </c>
      <c r="S885" t="s">
        <v>34</v>
      </c>
      <c r="T885" t="s">
        <v>37</v>
      </c>
      <c r="U885" t="str">
        <f>IF(Table1[[#This Row],[YearsSince
LastPromotion]]&gt; 4, "Delayed", "Normal")</f>
        <v>Normal</v>
      </c>
      <c r="V885" t="str">
        <f>IF(Table1[[#This Row],[Years
InCurrentRole]]&gt;4, "Role Stagnent", "Normal")</f>
        <v>Role Stagnent</v>
      </c>
      <c r="W885" t="str">
        <f>IF(AND(Table1[[#This Row],[Years
InCurrentRole]]&gt; 4, Table1[[#This Row],[Performance
Rating]]&gt;=3), "High Risk", "Normal")</f>
        <v>High Risk</v>
      </c>
      <c r="X885" t="str">
        <f>IF(Table1[[#This Row],[Performance
Rating]]&gt;=4, "High Performer", "Low Performer")</f>
        <v>High Performer</v>
      </c>
    </row>
    <row r="886" spans="2:24" x14ac:dyDescent="0.3">
      <c r="B886" t="s">
        <v>19</v>
      </c>
      <c r="C886" t="s">
        <v>25</v>
      </c>
      <c r="D886">
        <v>1</v>
      </c>
      <c r="E886" t="s">
        <v>21</v>
      </c>
      <c r="F886">
        <v>1</v>
      </c>
      <c r="G886" t="s">
        <v>26</v>
      </c>
      <c r="H886">
        <v>2</v>
      </c>
      <c r="I886">
        <v>2756</v>
      </c>
      <c r="J886">
        <v>13</v>
      </c>
      <c r="K886">
        <v>3</v>
      </c>
      <c r="L886">
        <v>1</v>
      </c>
      <c r="M886">
        <v>8</v>
      </c>
      <c r="N886">
        <v>5</v>
      </c>
      <c r="O886">
        <v>3</v>
      </c>
      <c r="P886">
        <v>8</v>
      </c>
      <c r="Q886">
        <v>7</v>
      </c>
      <c r="R886">
        <v>1</v>
      </c>
      <c r="S886" t="s">
        <v>34</v>
      </c>
      <c r="T886" t="s">
        <v>37</v>
      </c>
      <c r="U886" t="str">
        <f>IF(Table1[[#This Row],[YearsSince
LastPromotion]]&gt; 4, "Delayed", "Normal")</f>
        <v>Normal</v>
      </c>
      <c r="V886" t="str">
        <f>IF(Table1[[#This Row],[Years
InCurrentRole]]&gt;4, "Role Stagnent", "Normal")</f>
        <v>Role Stagnent</v>
      </c>
      <c r="W886" t="str">
        <f>IF(AND(Table1[[#This Row],[Years
InCurrentRole]]&gt; 4, Table1[[#This Row],[Performance
Rating]]&gt;=3), "High Risk", "Normal")</f>
        <v>High Risk</v>
      </c>
      <c r="X886" t="str">
        <f>IF(Table1[[#This Row],[Performance
Rating]]&gt;=4, "High Performer", "Low Performer")</f>
        <v>Low Performer</v>
      </c>
    </row>
    <row r="887" spans="2:24" x14ac:dyDescent="0.3">
      <c r="B887" t="s">
        <v>19</v>
      </c>
      <c r="C887" t="s">
        <v>25</v>
      </c>
      <c r="D887">
        <v>1</v>
      </c>
      <c r="E887" t="s">
        <v>21</v>
      </c>
      <c r="F887">
        <v>1</v>
      </c>
      <c r="G887" t="s">
        <v>29</v>
      </c>
      <c r="H887">
        <v>4</v>
      </c>
      <c r="I887">
        <v>2455</v>
      </c>
      <c r="J887">
        <v>19</v>
      </c>
      <c r="K887">
        <v>3</v>
      </c>
      <c r="L887">
        <v>0</v>
      </c>
      <c r="M887">
        <v>9</v>
      </c>
      <c r="N887">
        <v>5</v>
      </c>
      <c r="O887">
        <v>3</v>
      </c>
      <c r="P887">
        <v>8</v>
      </c>
      <c r="Q887">
        <v>7</v>
      </c>
      <c r="R887">
        <v>1</v>
      </c>
      <c r="S887" t="s">
        <v>34</v>
      </c>
      <c r="T887" t="s">
        <v>37</v>
      </c>
      <c r="U887" t="str">
        <f>IF(Table1[[#This Row],[YearsSince
LastPromotion]]&gt; 4, "Delayed", "Normal")</f>
        <v>Normal</v>
      </c>
      <c r="V887" t="str">
        <f>IF(Table1[[#This Row],[Years
InCurrentRole]]&gt;4, "Role Stagnent", "Normal")</f>
        <v>Role Stagnent</v>
      </c>
      <c r="W887" t="str">
        <f>IF(AND(Table1[[#This Row],[Years
InCurrentRole]]&gt; 4, Table1[[#This Row],[Performance
Rating]]&gt;=3), "High Risk", "Normal")</f>
        <v>High Risk</v>
      </c>
      <c r="X887" t="str">
        <f>IF(Table1[[#This Row],[Performance
Rating]]&gt;=4, "High Performer", "Low Performer")</f>
        <v>Low Performer</v>
      </c>
    </row>
    <row r="888" spans="2:24" x14ac:dyDescent="0.3">
      <c r="B888" t="s">
        <v>19</v>
      </c>
      <c r="C888" t="s">
        <v>25</v>
      </c>
      <c r="D888">
        <v>1</v>
      </c>
      <c r="E888" t="s">
        <v>28</v>
      </c>
      <c r="F888">
        <v>2</v>
      </c>
      <c r="G888" t="s">
        <v>33</v>
      </c>
      <c r="H888">
        <v>3</v>
      </c>
      <c r="I888">
        <v>4534</v>
      </c>
      <c r="J888">
        <v>11</v>
      </c>
      <c r="K888">
        <v>3</v>
      </c>
      <c r="L888">
        <v>0</v>
      </c>
      <c r="M888">
        <v>9</v>
      </c>
      <c r="N888">
        <v>6</v>
      </c>
      <c r="O888">
        <v>3</v>
      </c>
      <c r="P888">
        <v>8</v>
      </c>
      <c r="Q888">
        <v>7</v>
      </c>
      <c r="R888">
        <v>1</v>
      </c>
      <c r="S888" t="s">
        <v>34</v>
      </c>
      <c r="T888" t="s">
        <v>37</v>
      </c>
      <c r="U888" t="str">
        <f>IF(Table1[[#This Row],[YearsSince
LastPromotion]]&gt; 4, "Delayed", "Normal")</f>
        <v>Normal</v>
      </c>
      <c r="V888" t="str">
        <f>IF(Table1[[#This Row],[Years
InCurrentRole]]&gt;4, "Role Stagnent", "Normal")</f>
        <v>Role Stagnent</v>
      </c>
      <c r="W888" t="str">
        <f>IF(AND(Table1[[#This Row],[Years
InCurrentRole]]&gt; 4, Table1[[#This Row],[Performance
Rating]]&gt;=3), "High Risk", "Normal")</f>
        <v>High Risk</v>
      </c>
      <c r="X888" t="str">
        <f>IF(Table1[[#This Row],[Performance
Rating]]&gt;=4, "High Performer", "Low Performer")</f>
        <v>Low Performer</v>
      </c>
    </row>
    <row r="889" spans="2:24" x14ac:dyDescent="0.3">
      <c r="B889" t="s">
        <v>19</v>
      </c>
      <c r="C889" t="s">
        <v>25</v>
      </c>
      <c r="D889">
        <v>1</v>
      </c>
      <c r="E889" t="s">
        <v>21</v>
      </c>
      <c r="F889">
        <v>2</v>
      </c>
      <c r="G889" t="s">
        <v>26</v>
      </c>
      <c r="H889">
        <v>3</v>
      </c>
      <c r="I889">
        <v>3660</v>
      </c>
      <c r="J889">
        <v>13</v>
      </c>
      <c r="K889">
        <v>3</v>
      </c>
      <c r="L889">
        <v>0</v>
      </c>
      <c r="M889">
        <v>10</v>
      </c>
      <c r="N889">
        <v>4</v>
      </c>
      <c r="O889">
        <v>4</v>
      </c>
      <c r="P889">
        <v>8</v>
      </c>
      <c r="Q889">
        <v>7</v>
      </c>
      <c r="R889">
        <v>1</v>
      </c>
      <c r="S889" t="s">
        <v>34</v>
      </c>
      <c r="T889" t="s">
        <v>37</v>
      </c>
      <c r="U889" t="str">
        <f>IF(Table1[[#This Row],[YearsSince
LastPromotion]]&gt; 4, "Delayed", "Normal")</f>
        <v>Normal</v>
      </c>
      <c r="V889" t="str">
        <f>IF(Table1[[#This Row],[Years
InCurrentRole]]&gt;4, "Role Stagnent", "Normal")</f>
        <v>Role Stagnent</v>
      </c>
      <c r="W889" t="str">
        <f>IF(AND(Table1[[#This Row],[Years
InCurrentRole]]&gt; 4, Table1[[#This Row],[Performance
Rating]]&gt;=3), "High Risk", "Normal")</f>
        <v>High Risk</v>
      </c>
      <c r="X889" t="str">
        <f>IF(Table1[[#This Row],[Performance
Rating]]&gt;=4, "High Performer", "Low Performer")</f>
        <v>Low Performer</v>
      </c>
    </row>
    <row r="890" spans="2:24" x14ac:dyDescent="0.3">
      <c r="B890" t="s">
        <v>19</v>
      </c>
      <c r="C890" t="s">
        <v>25</v>
      </c>
      <c r="D890">
        <v>1</v>
      </c>
      <c r="E890" t="s">
        <v>28</v>
      </c>
      <c r="F890">
        <v>2</v>
      </c>
      <c r="G890" t="s">
        <v>26</v>
      </c>
      <c r="H890">
        <v>2</v>
      </c>
      <c r="I890">
        <v>5467</v>
      </c>
      <c r="J890">
        <v>18</v>
      </c>
      <c r="K890">
        <v>3</v>
      </c>
      <c r="L890">
        <v>1</v>
      </c>
      <c r="M890">
        <v>16</v>
      </c>
      <c r="N890">
        <v>4</v>
      </c>
      <c r="O890">
        <v>4</v>
      </c>
      <c r="P890">
        <v>8</v>
      </c>
      <c r="Q890">
        <v>7</v>
      </c>
      <c r="R890">
        <v>1</v>
      </c>
      <c r="S890" t="s">
        <v>34</v>
      </c>
      <c r="T890" t="s">
        <v>37</v>
      </c>
      <c r="U890" t="str">
        <f>IF(Table1[[#This Row],[YearsSince
LastPromotion]]&gt; 4, "Delayed", "Normal")</f>
        <v>Normal</v>
      </c>
      <c r="V890" t="str">
        <f>IF(Table1[[#This Row],[Years
InCurrentRole]]&gt;4, "Role Stagnent", "Normal")</f>
        <v>Role Stagnent</v>
      </c>
      <c r="W890" t="str">
        <f>IF(AND(Table1[[#This Row],[Years
InCurrentRole]]&gt; 4, Table1[[#This Row],[Performance
Rating]]&gt;=3), "High Risk", "Normal")</f>
        <v>High Risk</v>
      </c>
      <c r="X890" t="str">
        <f>IF(Table1[[#This Row],[Performance
Rating]]&gt;=4, "High Performer", "Low Performer")</f>
        <v>Low Performer</v>
      </c>
    </row>
    <row r="891" spans="2:24" x14ac:dyDescent="0.3">
      <c r="B891" t="s">
        <v>19</v>
      </c>
      <c r="C891" t="s">
        <v>25</v>
      </c>
      <c r="D891">
        <v>1</v>
      </c>
      <c r="E891" t="s">
        <v>28</v>
      </c>
      <c r="F891">
        <v>3</v>
      </c>
      <c r="G891" t="s">
        <v>31</v>
      </c>
      <c r="H891">
        <v>4</v>
      </c>
      <c r="I891">
        <v>8500</v>
      </c>
      <c r="J891">
        <v>11</v>
      </c>
      <c r="K891">
        <v>3</v>
      </c>
      <c r="L891">
        <v>1</v>
      </c>
      <c r="M891">
        <v>10</v>
      </c>
      <c r="N891">
        <v>0</v>
      </c>
      <c r="O891">
        <v>2</v>
      </c>
      <c r="P891">
        <v>9</v>
      </c>
      <c r="Q891">
        <v>7</v>
      </c>
      <c r="R891">
        <v>1</v>
      </c>
      <c r="S891" t="s">
        <v>23</v>
      </c>
      <c r="T891" t="s">
        <v>37</v>
      </c>
      <c r="U891" t="str">
        <f>IF(Table1[[#This Row],[YearsSince
LastPromotion]]&gt; 4, "Delayed", "Normal")</f>
        <v>Normal</v>
      </c>
      <c r="V891" t="str">
        <f>IF(Table1[[#This Row],[Years
InCurrentRole]]&gt;4, "Role Stagnent", "Normal")</f>
        <v>Role Stagnent</v>
      </c>
      <c r="W891" t="str">
        <f>IF(AND(Table1[[#This Row],[Years
InCurrentRole]]&gt; 4, Table1[[#This Row],[Performance
Rating]]&gt;=3), "High Risk", "Normal")</f>
        <v>High Risk</v>
      </c>
      <c r="X891" t="str">
        <f>IF(Table1[[#This Row],[Performance
Rating]]&gt;=4, "High Performer", "Low Performer")</f>
        <v>Low Performer</v>
      </c>
    </row>
    <row r="892" spans="2:24" x14ac:dyDescent="0.3">
      <c r="B892" t="s">
        <v>19</v>
      </c>
      <c r="C892" t="s">
        <v>25</v>
      </c>
      <c r="D892">
        <v>1</v>
      </c>
      <c r="E892" t="s">
        <v>21</v>
      </c>
      <c r="F892">
        <v>3</v>
      </c>
      <c r="G892" t="s">
        <v>33</v>
      </c>
      <c r="H892">
        <v>2</v>
      </c>
      <c r="I892">
        <v>7655</v>
      </c>
      <c r="J892">
        <v>17</v>
      </c>
      <c r="K892">
        <v>3</v>
      </c>
      <c r="L892">
        <v>3</v>
      </c>
      <c r="M892">
        <v>10</v>
      </c>
      <c r="N892">
        <v>3</v>
      </c>
      <c r="O892">
        <v>2</v>
      </c>
      <c r="P892">
        <v>9</v>
      </c>
      <c r="Q892">
        <v>7</v>
      </c>
      <c r="R892">
        <v>1</v>
      </c>
      <c r="S892" t="s">
        <v>23</v>
      </c>
      <c r="T892" t="s">
        <v>37</v>
      </c>
      <c r="U892" t="str">
        <f>IF(Table1[[#This Row],[YearsSince
LastPromotion]]&gt; 4, "Delayed", "Normal")</f>
        <v>Normal</v>
      </c>
      <c r="V892" t="str">
        <f>IF(Table1[[#This Row],[Years
InCurrentRole]]&gt;4, "Role Stagnent", "Normal")</f>
        <v>Role Stagnent</v>
      </c>
      <c r="W892" t="str">
        <f>IF(AND(Table1[[#This Row],[Years
InCurrentRole]]&gt; 4, Table1[[#This Row],[Performance
Rating]]&gt;=3), "High Risk", "Normal")</f>
        <v>High Risk</v>
      </c>
      <c r="X892" t="str">
        <f>IF(Table1[[#This Row],[Performance
Rating]]&gt;=4, "High Performer", "Low Performer")</f>
        <v>Low Performer</v>
      </c>
    </row>
    <row r="893" spans="2:24" x14ac:dyDescent="0.3">
      <c r="B893" t="s">
        <v>19</v>
      </c>
      <c r="C893" t="s">
        <v>25</v>
      </c>
      <c r="D893">
        <v>1</v>
      </c>
      <c r="E893" t="s">
        <v>28</v>
      </c>
      <c r="F893">
        <v>3</v>
      </c>
      <c r="G893" t="s">
        <v>33</v>
      </c>
      <c r="H893">
        <v>1</v>
      </c>
      <c r="I893">
        <v>8793</v>
      </c>
      <c r="J893">
        <v>21</v>
      </c>
      <c r="K893">
        <v>4</v>
      </c>
      <c r="L893">
        <v>2</v>
      </c>
      <c r="M893">
        <v>9</v>
      </c>
      <c r="N893">
        <v>4</v>
      </c>
      <c r="O893">
        <v>2</v>
      </c>
      <c r="P893">
        <v>9</v>
      </c>
      <c r="Q893">
        <v>7</v>
      </c>
      <c r="R893">
        <v>1</v>
      </c>
      <c r="S893" t="s">
        <v>23</v>
      </c>
      <c r="T893" t="s">
        <v>37</v>
      </c>
      <c r="U893" t="str">
        <f>IF(Table1[[#This Row],[YearsSince
LastPromotion]]&gt; 4, "Delayed", "Normal")</f>
        <v>Normal</v>
      </c>
      <c r="V893" t="str">
        <f>IF(Table1[[#This Row],[Years
InCurrentRole]]&gt;4, "Role Stagnent", "Normal")</f>
        <v>Role Stagnent</v>
      </c>
      <c r="W893" t="str">
        <f>IF(AND(Table1[[#This Row],[Years
InCurrentRole]]&gt; 4, Table1[[#This Row],[Performance
Rating]]&gt;=3), "High Risk", "Normal")</f>
        <v>High Risk</v>
      </c>
      <c r="X893" t="str">
        <f>IF(Table1[[#This Row],[Performance
Rating]]&gt;=4, "High Performer", "Low Performer")</f>
        <v>High Performer</v>
      </c>
    </row>
    <row r="894" spans="2:24" x14ac:dyDescent="0.3">
      <c r="B894" t="s">
        <v>19</v>
      </c>
      <c r="C894" t="s">
        <v>25</v>
      </c>
      <c r="D894">
        <v>1</v>
      </c>
      <c r="E894" t="s">
        <v>21</v>
      </c>
      <c r="F894">
        <v>2</v>
      </c>
      <c r="G894" t="s">
        <v>31</v>
      </c>
      <c r="H894">
        <v>4</v>
      </c>
      <c r="I894">
        <v>7625</v>
      </c>
      <c r="J894">
        <v>13</v>
      </c>
      <c r="K894">
        <v>3</v>
      </c>
      <c r="L894">
        <v>0</v>
      </c>
      <c r="M894">
        <v>10</v>
      </c>
      <c r="N894">
        <v>4</v>
      </c>
      <c r="O894">
        <v>2</v>
      </c>
      <c r="P894">
        <v>9</v>
      </c>
      <c r="Q894">
        <v>7</v>
      </c>
      <c r="R894">
        <v>1</v>
      </c>
      <c r="S894" t="s">
        <v>23</v>
      </c>
      <c r="T894" t="s">
        <v>37</v>
      </c>
      <c r="U894" t="str">
        <f>IF(Table1[[#This Row],[YearsSince
LastPromotion]]&gt; 4, "Delayed", "Normal")</f>
        <v>Normal</v>
      </c>
      <c r="V894" t="str">
        <f>IF(Table1[[#This Row],[Years
InCurrentRole]]&gt;4, "Role Stagnent", "Normal")</f>
        <v>Role Stagnent</v>
      </c>
      <c r="W894" t="str">
        <f>IF(AND(Table1[[#This Row],[Years
InCurrentRole]]&gt; 4, Table1[[#This Row],[Performance
Rating]]&gt;=3), "High Risk", "Normal")</f>
        <v>High Risk</v>
      </c>
      <c r="X894" t="str">
        <f>IF(Table1[[#This Row],[Performance
Rating]]&gt;=4, "High Performer", "Low Performer")</f>
        <v>Low Performer</v>
      </c>
    </row>
    <row r="895" spans="2:24" x14ac:dyDescent="0.3">
      <c r="B895" t="s">
        <v>19</v>
      </c>
      <c r="C895" t="s">
        <v>25</v>
      </c>
      <c r="D895">
        <v>1</v>
      </c>
      <c r="E895" t="s">
        <v>28</v>
      </c>
      <c r="F895">
        <v>3</v>
      </c>
      <c r="G895" t="s">
        <v>33</v>
      </c>
      <c r="H895">
        <v>3</v>
      </c>
      <c r="I895">
        <v>9526</v>
      </c>
      <c r="J895">
        <v>21</v>
      </c>
      <c r="K895">
        <v>4</v>
      </c>
      <c r="L895">
        <v>0</v>
      </c>
      <c r="M895">
        <v>10</v>
      </c>
      <c r="N895">
        <v>2</v>
      </c>
      <c r="O895">
        <v>3</v>
      </c>
      <c r="P895">
        <v>9</v>
      </c>
      <c r="Q895">
        <v>7</v>
      </c>
      <c r="R895">
        <v>1</v>
      </c>
      <c r="S895" t="s">
        <v>34</v>
      </c>
      <c r="T895" t="s">
        <v>37</v>
      </c>
      <c r="U895" t="str">
        <f>IF(Table1[[#This Row],[YearsSince
LastPromotion]]&gt; 4, "Delayed", "Normal")</f>
        <v>Normal</v>
      </c>
      <c r="V895" t="str">
        <f>IF(Table1[[#This Row],[Years
InCurrentRole]]&gt;4, "Role Stagnent", "Normal")</f>
        <v>Role Stagnent</v>
      </c>
      <c r="W895" t="str">
        <f>IF(AND(Table1[[#This Row],[Years
InCurrentRole]]&gt; 4, Table1[[#This Row],[Performance
Rating]]&gt;=3), "High Risk", "Normal")</f>
        <v>High Risk</v>
      </c>
      <c r="X895" t="str">
        <f>IF(Table1[[#This Row],[Performance
Rating]]&gt;=4, "High Performer", "Low Performer")</f>
        <v>High Performer</v>
      </c>
    </row>
    <row r="896" spans="2:24" x14ac:dyDescent="0.3">
      <c r="B896" t="s">
        <v>19</v>
      </c>
      <c r="C896" t="s">
        <v>36</v>
      </c>
      <c r="D896">
        <v>1</v>
      </c>
      <c r="E896" t="s">
        <v>28</v>
      </c>
      <c r="F896">
        <v>1</v>
      </c>
      <c r="G896" t="s">
        <v>36</v>
      </c>
      <c r="H896">
        <v>4</v>
      </c>
      <c r="I896">
        <v>3539</v>
      </c>
      <c r="J896">
        <v>13</v>
      </c>
      <c r="K896">
        <v>3</v>
      </c>
      <c r="L896">
        <v>0</v>
      </c>
      <c r="M896">
        <v>10</v>
      </c>
      <c r="N896">
        <v>5</v>
      </c>
      <c r="O896">
        <v>3</v>
      </c>
      <c r="P896">
        <v>9</v>
      </c>
      <c r="Q896">
        <v>7</v>
      </c>
      <c r="R896">
        <v>1</v>
      </c>
      <c r="S896" t="s">
        <v>34</v>
      </c>
      <c r="T896" t="s">
        <v>37</v>
      </c>
      <c r="U896" t="str">
        <f>IF(Table1[[#This Row],[YearsSince
LastPromotion]]&gt; 4, "Delayed", "Normal")</f>
        <v>Normal</v>
      </c>
      <c r="V896" t="str">
        <f>IF(Table1[[#This Row],[Years
InCurrentRole]]&gt;4, "Role Stagnent", "Normal")</f>
        <v>Role Stagnent</v>
      </c>
      <c r="W896" t="str">
        <f>IF(AND(Table1[[#This Row],[Years
InCurrentRole]]&gt; 4, Table1[[#This Row],[Performance
Rating]]&gt;=3), "High Risk", "Normal")</f>
        <v>High Risk</v>
      </c>
      <c r="X896" t="str">
        <f>IF(Table1[[#This Row],[Performance
Rating]]&gt;=4, "High Performer", "Low Performer")</f>
        <v>Low Performer</v>
      </c>
    </row>
    <row r="897" spans="2:24" x14ac:dyDescent="0.3">
      <c r="B897" t="s">
        <v>27</v>
      </c>
      <c r="C897" t="s">
        <v>25</v>
      </c>
      <c r="D897">
        <v>1</v>
      </c>
      <c r="E897" t="s">
        <v>21</v>
      </c>
      <c r="F897">
        <v>1</v>
      </c>
      <c r="G897" t="s">
        <v>29</v>
      </c>
      <c r="H897">
        <v>1</v>
      </c>
      <c r="I897">
        <v>2707</v>
      </c>
      <c r="J897">
        <v>20</v>
      </c>
      <c r="K897">
        <v>4</v>
      </c>
      <c r="L897">
        <v>0</v>
      </c>
      <c r="M897">
        <v>13</v>
      </c>
      <c r="N897">
        <v>3</v>
      </c>
      <c r="O897">
        <v>4</v>
      </c>
      <c r="P897">
        <v>9</v>
      </c>
      <c r="Q897">
        <v>7</v>
      </c>
      <c r="R897">
        <v>1</v>
      </c>
      <c r="S897" t="s">
        <v>34</v>
      </c>
      <c r="T897" t="s">
        <v>37</v>
      </c>
      <c r="U897" t="str">
        <f>IF(Table1[[#This Row],[YearsSince
LastPromotion]]&gt; 4, "Delayed", "Normal")</f>
        <v>Normal</v>
      </c>
      <c r="V897" t="str">
        <f>IF(Table1[[#This Row],[Years
InCurrentRole]]&gt;4, "Role Stagnent", "Normal")</f>
        <v>Role Stagnent</v>
      </c>
      <c r="W897" t="str">
        <f>IF(AND(Table1[[#This Row],[Years
InCurrentRole]]&gt; 4, Table1[[#This Row],[Performance
Rating]]&gt;=3), "High Risk", "Normal")</f>
        <v>High Risk</v>
      </c>
      <c r="X897" t="str">
        <f>IF(Table1[[#This Row],[Performance
Rating]]&gt;=4, "High Performer", "Low Performer")</f>
        <v>High Performer</v>
      </c>
    </row>
    <row r="898" spans="2:24" x14ac:dyDescent="0.3">
      <c r="B898" t="s">
        <v>19</v>
      </c>
      <c r="C898" t="s">
        <v>20</v>
      </c>
      <c r="D898">
        <v>1</v>
      </c>
      <c r="E898" t="s">
        <v>28</v>
      </c>
      <c r="F898">
        <v>2</v>
      </c>
      <c r="G898" t="s">
        <v>32</v>
      </c>
      <c r="H898">
        <v>4</v>
      </c>
      <c r="I898">
        <v>5441</v>
      </c>
      <c r="J898">
        <v>22</v>
      </c>
      <c r="K898">
        <v>4</v>
      </c>
      <c r="L898">
        <v>0</v>
      </c>
      <c r="M898">
        <v>11</v>
      </c>
      <c r="N898">
        <v>2</v>
      </c>
      <c r="O898">
        <v>1</v>
      </c>
      <c r="P898">
        <v>10</v>
      </c>
      <c r="Q898">
        <v>7</v>
      </c>
      <c r="R898">
        <v>1</v>
      </c>
      <c r="S898" t="s">
        <v>23</v>
      </c>
      <c r="T898" t="s">
        <v>37</v>
      </c>
      <c r="U898" t="str">
        <f>IF(Table1[[#This Row],[YearsSince
LastPromotion]]&gt; 4, "Delayed", "Normal")</f>
        <v>Normal</v>
      </c>
      <c r="V898" t="str">
        <f>IF(Table1[[#This Row],[Years
InCurrentRole]]&gt;4, "Role Stagnent", "Normal")</f>
        <v>Role Stagnent</v>
      </c>
      <c r="W898" t="str">
        <f>IF(AND(Table1[[#This Row],[Years
InCurrentRole]]&gt; 4, Table1[[#This Row],[Performance
Rating]]&gt;=3), "High Risk", "Normal")</f>
        <v>High Risk</v>
      </c>
      <c r="X898" t="str">
        <f>IF(Table1[[#This Row],[Performance
Rating]]&gt;=4, "High Performer", "Low Performer")</f>
        <v>High Performer</v>
      </c>
    </row>
    <row r="899" spans="2:24" x14ac:dyDescent="0.3">
      <c r="B899" t="s">
        <v>19</v>
      </c>
      <c r="C899" t="s">
        <v>25</v>
      </c>
      <c r="D899">
        <v>1</v>
      </c>
      <c r="E899" t="s">
        <v>28</v>
      </c>
      <c r="F899">
        <v>4</v>
      </c>
      <c r="G899" t="s">
        <v>31</v>
      </c>
      <c r="H899">
        <v>4</v>
      </c>
      <c r="I899">
        <v>11103</v>
      </c>
      <c r="J899">
        <v>11</v>
      </c>
      <c r="K899">
        <v>3</v>
      </c>
      <c r="L899">
        <v>0</v>
      </c>
      <c r="M899">
        <v>30</v>
      </c>
      <c r="N899">
        <v>1</v>
      </c>
      <c r="O899">
        <v>2</v>
      </c>
      <c r="P899">
        <v>10</v>
      </c>
      <c r="Q899">
        <v>7</v>
      </c>
      <c r="R899">
        <v>1</v>
      </c>
      <c r="S899" t="s">
        <v>23</v>
      </c>
      <c r="T899" t="s">
        <v>37</v>
      </c>
      <c r="U899" t="str">
        <f>IF(Table1[[#This Row],[YearsSince
LastPromotion]]&gt; 4, "Delayed", "Normal")</f>
        <v>Normal</v>
      </c>
      <c r="V899" t="str">
        <f>IF(Table1[[#This Row],[Years
InCurrentRole]]&gt;4, "Role Stagnent", "Normal")</f>
        <v>Role Stagnent</v>
      </c>
      <c r="W899" t="str">
        <f>IF(AND(Table1[[#This Row],[Years
InCurrentRole]]&gt; 4, Table1[[#This Row],[Performance
Rating]]&gt;=3), "High Risk", "Normal")</f>
        <v>High Risk</v>
      </c>
      <c r="X899" t="str">
        <f>IF(Table1[[#This Row],[Performance
Rating]]&gt;=4, "High Performer", "Low Performer")</f>
        <v>Low Performer</v>
      </c>
    </row>
    <row r="900" spans="2:24" x14ac:dyDescent="0.3">
      <c r="B900" t="s">
        <v>27</v>
      </c>
      <c r="C900" t="s">
        <v>25</v>
      </c>
      <c r="D900">
        <v>1</v>
      </c>
      <c r="E900" t="s">
        <v>28</v>
      </c>
      <c r="F900">
        <v>3</v>
      </c>
      <c r="G900" t="s">
        <v>31</v>
      </c>
      <c r="H900">
        <v>1</v>
      </c>
      <c r="I900">
        <v>8722</v>
      </c>
      <c r="J900">
        <v>12</v>
      </c>
      <c r="K900">
        <v>3</v>
      </c>
      <c r="L900">
        <v>0</v>
      </c>
      <c r="M900">
        <v>10</v>
      </c>
      <c r="N900">
        <v>2</v>
      </c>
      <c r="O900">
        <v>2</v>
      </c>
      <c r="P900">
        <v>10</v>
      </c>
      <c r="Q900">
        <v>7</v>
      </c>
      <c r="R900">
        <v>1</v>
      </c>
      <c r="S900" t="s">
        <v>23</v>
      </c>
      <c r="T900" t="s">
        <v>37</v>
      </c>
      <c r="U900" t="str">
        <f>IF(Table1[[#This Row],[YearsSince
LastPromotion]]&gt; 4, "Delayed", "Normal")</f>
        <v>Normal</v>
      </c>
      <c r="V900" t="str">
        <f>IF(Table1[[#This Row],[Years
InCurrentRole]]&gt;4, "Role Stagnent", "Normal")</f>
        <v>Role Stagnent</v>
      </c>
      <c r="W900" t="str">
        <f>IF(AND(Table1[[#This Row],[Years
InCurrentRole]]&gt; 4, Table1[[#This Row],[Performance
Rating]]&gt;=3), "High Risk", "Normal")</f>
        <v>High Risk</v>
      </c>
      <c r="X900" t="str">
        <f>IF(Table1[[#This Row],[Performance
Rating]]&gt;=4, "High Performer", "Low Performer")</f>
        <v>Low Performer</v>
      </c>
    </row>
    <row r="901" spans="2:24" x14ac:dyDescent="0.3">
      <c r="B901" t="s">
        <v>19</v>
      </c>
      <c r="C901" t="s">
        <v>25</v>
      </c>
      <c r="D901">
        <v>1</v>
      </c>
      <c r="E901" t="s">
        <v>28</v>
      </c>
      <c r="F901">
        <v>2</v>
      </c>
      <c r="G901" t="s">
        <v>33</v>
      </c>
      <c r="H901">
        <v>4</v>
      </c>
      <c r="I901">
        <v>5056</v>
      </c>
      <c r="J901">
        <v>15</v>
      </c>
      <c r="K901">
        <v>3</v>
      </c>
      <c r="L901">
        <v>1</v>
      </c>
      <c r="M901">
        <v>10</v>
      </c>
      <c r="N901">
        <v>2</v>
      </c>
      <c r="O901">
        <v>2</v>
      </c>
      <c r="P901">
        <v>10</v>
      </c>
      <c r="Q901">
        <v>7</v>
      </c>
      <c r="R901">
        <v>1</v>
      </c>
      <c r="S901" t="s">
        <v>23</v>
      </c>
      <c r="T901" t="s">
        <v>37</v>
      </c>
      <c r="U901" t="str">
        <f>IF(Table1[[#This Row],[YearsSince
LastPromotion]]&gt; 4, "Delayed", "Normal")</f>
        <v>Normal</v>
      </c>
      <c r="V901" t="str">
        <f>IF(Table1[[#This Row],[Years
InCurrentRole]]&gt;4, "Role Stagnent", "Normal")</f>
        <v>Role Stagnent</v>
      </c>
      <c r="W901" t="str">
        <f>IF(AND(Table1[[#This Row],[Years
InCurrentRole]]&gt; 4, Table1[[#This Row],[Performance
Rating]]&gt;=3), "High Risk", "Normal")</f>
        <v>High Risk</v>
      </c>
      <c r="X901" t="str">
        <f>IF(Table1[[#This Row],[Performance
Rating]]&gt;=4, "High Performer", "Low Performer")</f>
        <v>Low Performer</v>
      </c>
    </row>
    <row r="902" spans="2:24" x14ac:dyDescent="0.3">
      <c r="B902" t="s">
        <v>19</v>
      </c>
      <c r="C902" t="s">
        <v>20</v>
      </c>
      <c r="D902">
        <v>1</v>
      </c>
      <c r="E902" t="s">
        <v>21</v>
      </c>
      <c r="F902">
        <v>2</v>
      </c>
      <c r="G902" t="s">
        <v>32</v>
      </c>
      <c r="H902">
        <v>4</v>
      </c>
      <c r="I902">
        <v>5343</v>
      </c>
      <c r="J902">
        <v>11</v>
      </c>
      <c r="K902">
        <v>3</v>
      </c>
      <c r="L902">
        <v>1</v>
      </c>
      <c r="M902">
        <v>10</v>
      </c>
      <c r="N902">
        <v>1</v>
      </c>
      <c r="O902">
        <v>3</v>
      </c>
      <c r="P902">
        <v>10</v>
      </c>
      <c r="Q902">
        <v>7</v>
      </c>
      <c r="R902">
        <v>1</v>
      </c>
      <c r="S902" t="s">
        <v>34</v>
      </c>
      <c r="T902" t="s">
        <v>37</v>
      </c>
      <c r="U902" t="str">
        <f>IF(Table1[[#This Row],[YearsSince
LastPromotion]]&gt; 4, "Delayed", "Normal")</f>
        <v>Normal</v>
      </c>
      <c r="V902" t="str">
        <f>IF(Table1[[#This Row],[Years
InCurrentRole]]&gt;4, "Role Stagnent", "Normal")</f>
        <v>Role Stagnent</v>
      </c>
      <c r="W902" t="str">
        <f>IF(AND(Table1[[#This Row],[Years
InCurrentRole]]&gt; 4, Table1[[#This Row],[Performance
Rating]]&gt;=3), "High Risk", "Normal")</f>
        <v>High Risk</v>
      </c>
      <c r="X902" t="str">
        <f>IF(Table1[[#This Row],[Performance
Rating]]&gt;=4, "High Performer", "Low Performer")</f>
        <v>Low Performer</v>
      </c>
    </row>
    <row r="903" spans="2:24" x14ac:dyDescent="0.3">
      <c r="B903" t="s">
        <v>19</v>
      </c>
      <c r="C903" t="s">
        <v>25</v>
      </c>
      <c r="D903">
        <v>1</v>
      </c>
      <c r="E903" t="s">
        <v>21</v>
      </c>
      <c r="F903">
        <v>2</v>
      </c>
      <c r="G903" t="s">
        <v>29</v>
      </c>
      <c r="H903">
        <v>1</v>
      </c>
      <c r="I903">
        <v>5769</v>
      </c>
      <c r="J903">
        <v>14</v>
      </c>
      <c r="K903">
        <v>3</v>
      </c>
      <c r="L903">
        <v>0</v>
      </c>
      <c r="M903">
        <v>10</v>
      </c>
      <c r="N903">
        <v>3</v>
      </c>
      <c r="O903">
        <v>3</v>
      </c>
      <c r="P903">
        <v>10</v>
      </c>
      <c r="Q903">
        <v>7</v>
      </c>
      <c r="R903">
        <v>1</v>
      </c>
      <c r="S903" t="s">
        <v>34</v>
      </c>
      <c r="T903" t="s">
        <v>37</v>
      </c>
      <c r="U903" t="str">
        <f>IF(Table1[[#This Row],[YearsSince
LastPromotion]]&gt; 4, "Delayed", "Normal")</f>
        <v>Normal</v>
      </c>
      <c r="V903" t="str">
        <f>IF(Table1[[#This Row],[Years
InCurrentRole]]&gt;4, "Role Stagnent", "Normal")</f>
        <v>Role Stagnent</v>
      </c>
      <c r="W903" t="str">
        <f>IF(AND(Table1[[#This Row],[Years
InCurrentRole]]&gt; 4, Table1[[#This Row],[Performance
Rating]]&gt;=3), "High Risk", "Normal")</f>
        <v>High Risk</v>
      </c>
      <c r="X903" t="str">
        <f>IF(Table1[[#This Row],[Performance
Rating]]&gt;=4, "High Performer", "Low Performer")</f>
        <v>Low Performer</v>
      </c>
    </row>
    <row r="904" spans="2:24" x14ac:dyDescent="0.3">
      <c r="B904" t="s">
        <v>19</v>
      </c>
      <c r="C904" t="s">
        <v>25</v>
      </c>
      <c r="D904">
        <v>1</v>
      </c>
      <c r="E904" t="s">
        <v>28</v>
      </c>
      <c r="F904">
        <v>2</v>
      </c>
      <c r="G904" t="s">
        <v>26</v>
      </c>
      <c r="H904">
        <v>2</v>
      </c>
      <c r="I904">
        <v>5130</v>
      </c>
      <c r="J904">
        <v>23</v>
      </c>
      <c r="K904">
        <v>4</v>
      </c>
      <c r="L904">
        <v>1</v>
      </c>
      <c r="M904">
        <v>10</v>
      </c>
      <c r="N904">
        <v>3</v>
      </c>
      <c r="O904">
        <v>3</v>
      </c>
      <c r="P904">
        <v>10</v>
      </c>
      <c r="Q904">
        <v>7</v>
      </c>
      <c r="R904">
        <v>1</v>
      </c>
      <c r="S904" t="s">
        <v>34</v>
      </c>
      <c r="T904" t="s">
        <v>37</v>
      </c>
      <c r="U904" t="str">
        <f>IF(Table1[[#This Row],[YearsSince
LastPromotion]]&gt; 4, "Delayed", "Normal")</f>
        <v>Normal</v>
      </c>
      <c r="V904" t="str">
        <f>IF(Table1[[#This Row],[Years
InCurrentRole]]&gt;4, "Role Stagnent", "Normal")</f>
        <v>Role Stagnent</v>
      </c>
      <c r="W904" t="str">
        <f>IF(AND(Table1[[#This Row],[Years
InCurrentRole]]&gt; 4, Table1[[#This Row],[Performance
Rating]]&gt;=3), "High Risk", "Normal")</f>
        <v>High Risk</v>
      </c>
      <c r="X904" t="str">
        <f>IF(Table1[[#This Row],[Performance
Rating]]&gt;=4, "High Performer", "Low Performer")</f>
        <v>High Performer</v>
      </c>
    </row>
    <row r="905" spans="2:24" x14ac:dyDescent="0.3">
      <c r="B905" t="s">
        <v>19</v>
      </c>
      <c r="C905" t="s">
        <v>20</v>
      </c>
      <c r="D905">
        <v>1</v>
      </c>
      <c r="E905" t="s">
        <v>21</v>
      </c>
      <c r="F905">
        <v>2</v>
      </c>
      <c r="G905" t="s">
        <v>32</v>
      </c>
      <c r="H905">
        <v>2</v>
      </c>
      <c r="I905">
        <v>5147</v>
      </c>
      <c r="J905">
        <v>15</v>
      </c>
      <c r="K905">
        <v>3</v>
      </c>
      <c r="L905">
        <v>0</v>
      </c>
      <c r="M905">
        <v>13</v>
      </c>
      <c r="N905">
        <v>2</v>
      </c>
      <c r="O905">
        <v>2</v>
      </c>
      <c r="P905">
        <v>11</v>
      </c>
      <c r="Q905">
        <v>7</v>
      </c>
      <c r="R905">
        <v>1</v>
      </c>
      <c r="S905" t="s">
        <v>23</v>
      </c>
      <c r="T905" t="s">
        <v>37</v>
      </c>
      <c r="U905" t="str">
        <f>IF(Table1[[#This Row],[YearsSince
LastPromotion]]&gt; 4, "Delayed", "Normal")</f>
        <v>Normal</v>
      </c>
      <c r="V905" t="str">
        <f>IF(Table1[[#This Row],[Years
InCurrentRole]]&gt;4, "Role Stagnent", "Normal")</f>
        <v>Role Stagnent</v>
      </c>
      <c r="W905" t="str">
        <f>IF(AND(Table1[[#This Row],[Years
InCurrentRole]]&gt; 4, Table1[[#This Row],[Performance
Rating]]&gt;=3), "High Risk", "Normal")</f>
        <v>High Risk</v>
      </c>
      <c r="X905" t="str">
        <f>IF(Table1[[#This Row],[Performance
Rating]]&gt;=4, "High Performer", "Low Performer")</f>
        <v>Low Performer</v>
      </c>
    </row>
    <row r="906" spans="2:24" x14ac:dyDescent="0.3">
      <c r="B906" t="s">
        <v>19</v>
      </c>
      <c r="C906" t="s">
        <v>25</v>
      </c>
      <c r="D906">
        <v>1</v>
      </c>
      <c r="E906" t="s">
        <v>21</v>
      </c>
      <c r="F906">
        <v>2</v>
      </c>
      <c r="G906" t="s">
        <v>33</v>
      </c>
      <c r="H906">
        <v>4</v>
      </c>
      <c r="I906">
        <v>4424</v>
      </c>
      <c r="J906">
        <v>23</v>
      </c>
      <c r="K906">
        <v>4</v>
      </c>
      <c r="L906">
        <v>0</v>
      </c>
      <c r="M906">
        <v>11</v>
      </c>
      <c r="N906">
        <v>2</v>
      </c>
      <c r="O906">
        <v>3</v>
      </c>
      <c r="P906">
        <v>11</v>
      </c>
      <c r="Q906">
        <v>7</v>
      </c>
      <c r="R906">
        <v>1</v>
      </c>
      <c r="S906" t="s">
        <v>34</v>
      </c>
      <c r="T906" t="s">
        <v>37</v>
      </c>
      <c r="U906" t="str">
        <f>IF(Table1[[#This Row],[YearsSince
LastPromotion]]&gt; 4, "Delayed", "Normal")</f>
        <v>Normal</v>
      </c>
      <c r="V906" t="str">
        <f>IF(Table1[[#This Row],[Years
InCurrentRole]]&gt;4, "Role Stagnent", "Normal")</f>
        <v>Role Stagnent</v>
      </c>
      <c r="W906" t="str">
        <f>IF(AND(Table1[[#This Row],[Years
InCurrentRole]]&gt; 4, Table1[[#This Row],[Performance
Rating]]&gt;=3), "High Risk", "Normal")</f>
        <v>High Risk</v>
      </c>
      <c r="X906" t="str">
        <f>IF(Table1[[#This Row],[Performance
Rating]]&gt;=4, "High Performer", "Low Performer")</f>
        <v>High Performer</v>
      </c>
    </row>
    <row r="907" spans="2:24" x14ac:dyDescent="0.3">
      <c r="B907" t="s">
        <v>19</v>
      </c>
      <c r="C907" t="s">
        <v>20</v>
      </c>
      <c r="D907">
        <v>1</v>
      </c>
      <c r="E907" t="s">
        <v>28</v>
      </c>
      <c r="F907">
        <v>2</v>
      </c>
      <c r="G907" t="s">
        <v>32</v>
      </c>
      <c r="H907">
        <v>4</v>
      </c>
      <c r="I907">
        <v>5220</v>
      </c>
      <c r="J907">
        <v>18</v>
      </c>
      <c r="K907">
        <v>3</v>
      </c>
      <c r="L907">
        <v>1</v>
      </c>
      <c r="M907">
        <v>12</v>
      </c>
      <c r="N907">
        <v>3</v>
      </c>
      <c r="O907">
        <v>3</v>
      </c>
      <c r="P907">
        <v>11</v>
      </c>
      <c r="Q907">
        <v>7</v>
      </c>
      <c r="R907">
        <v>1</v>
      </c>
      <c r="S907" t="s">
        <v>34</v>
      </c>
      <c r="T907" t="s">
        <v>37</v>
      </c>
      <c r="U907" t="str">
        <f>IF(Table1[[#This Row],[YearsSince
LastPromotion]]&gt; 4, "Delayed", "Normal")</f>
        <v>Normal</v>
      </c>
      <c r="V907" t="str">
        <f>IF(Table1[[#This Row],[Years
InCurrentRole]]&gt;4, "Role Stagnent", "Normal")</f>
        <v>Role Stagnent</v>
      </c>
      <c r="W907" t="str">
        <f>IF(AND(Table1[[#This Row],[Years
InCurrentRole]]&gt; 4, Table1[[#This Row],[Performance
Rating]]&gt;=3), "High Risk", "Normal")</f>
        <v>High Risk</v>
      </c>
      <c r="X907" t="str">
        <f>IF(Table1[[#This Row],[Performance
Rating]]&gt;=4, "High Performer", "Low Performer")</f>
        <v>Low Performer</v>
      </c>
    </row>
    <row r="908" spans="2:24" x14ac:dyDescent="0.3">
      <c r="B908" t="s">
        <v>19</v>
      </c>
      <c r="C908" t="s">
        <v>25</v>
      </c>
      <c r="D908">
        <v>1</v>
      </c>
      <c r="E908" t="s">
        <v>21</v>
      </c>
      <c r="F908">
        <v>2</v>
      </c>
      <c r="G908" t="s">
        <v>26</v>
      </c>
      <c r="H908">
        <v>3</v>
      </c>
      <c r="I908">
        <v>4081</v>
      </c>
      <c r="J908">
        <v>14</v>
      </c>
      <c r="K908">
        <v>3</v>
      </c>
      <c r="L908">
        <v>0</v>
      </c>
      <c r="M908">
        <v>20</v>
      </c>
      <c r="N908">
        <v>3</v>
      </c>
      <c r="O908">
        <v>1</v>
      </c>
      <c r="P908">
        <v>20</v>
      </c>
      <c r="Q908">
        <v>7</v>
      </c>
      <c r="R908">
        <v>1</v>
      </c>
      <c r="S908" t="s">
        <v>23</v>
      </c>
      <c r="T908" t="s">
        <v>37</v>
      </c>
      <c r="U908" t="str">
        <f>IF(Table1[[#This Row],[YearsSince
LastPromotion]]&gt; 4, "Delayed", "Normal")</f>
        <v>Normal</v>
      </c>
      <c r="V908" t="str">
        <f>IF(Table1[[#This Row],[Years
InCurrentRole]]&gt;4, "Role Stagnent", "Normal")</f>
        <v>Role Stagnent</v>
      </c>
      <c r="W908" t="str">
        <f>IF(AND(Table1[[#This Row],[Years
InCurrentRole]]&gt; 4, Table1[[#This Row],[Performance
Rating]]&gt;=3), "High Risk", "Normal")</f>
        <v>High Risk</v>
      </c>
      <c r="X908" t="str">
        <f>IF(Table1[[#This Row],[Performance
Rating]]&gt;=4, "High Performer", "Low Performer")</f>
        <v>Low Performer</v>
      </c>
    </row>
    <row r="909" spans="2:24" x14ac:dyDescent="0.3">
      <c r="B909" t="s">
        <v>19</v>
      </c>
      <c r="C909" t="s">
        <v>25</v>
      </c>
      <c r="D909">
        <v>1</v>
      </c>
      <c r="E909" t="s">
        <v>21</v>
      </c>
      <c r="F909">
        <v>5</v>
      </c>
      <c r="G909" t="s">
        <v>35</v>
      </c>
      <c r="H909">
        <v>4</v>
      </c>
      <c r="I909">
        <v>19049</v>
      </c>
      <c r="J909">
        <v>14</v>
      </c>
      <c r="K909">
        <v>3</v>
      </c>
      <c r="L909">
        <v>1</v>
      </c>
      <c r="M909">
        <v>23</v>
      </c>
      <c r="N909">
        <v>4</v>
      </c>
      <c r="O909">
        <v>2</v>
      </c>
      <c r="P909">
        <v>22</v>
      </c>
      <c r="Q909">
        <v>7</v>
      </c>
      <c r="R909">
        <v>1</v>
      </c>
      <c r="S909" t="s">
        <v>23</v>
      </c>
      <c r="T909" t="s">
        <v>37</v>
      </c>
      <c r="U909" t="str">
        <f>IF(Table1[[#This Row],[YearsSince
LastPromotion]]&gt; 4, "Delayed", "Normal")</f>
        <v>Normal</v>
      </c>
      <c r="V909" t="str">
        <f>IF(Table1[[#This Row],[Years
InCurrentRole]]&gt;4, "Role Stagnent", "Normal")</f>
        <v>Role Stagnent</v>
      </c>
      <c r="W909" t="str">
        <f>IF(AND(Table1[[#This Row],[Years
InCurrentRole]]&gt; 4, Table1[[#This Row],[Performance
Rating]]&gt;=3), "High Risk", "Normal")</f>
        <v>High Risk</v>
      </c>
      <c r="X909" t="str">
        <f>IF(Table1[[#This Row],[Performance
Rating]]&gt;=4, "High Performer", "Low Performer")</f>
        <v>Low Performer</v>
      </c>
    </row>
    <row r="910" spans="2:24" x14ac:dyDescent="0.3">
      <c r="B910" t="s">
        <v>27</v>
      </c>
      <c r="C910" t="s">
        <v>25</v>
      </c>
      <c r="D910">
        <v>1</v>
      </c>
      <c r="E910" t="s">
        <v>21</v>
      </c>
      <c r="F910">
        <v>3</v>
      </c>
      <c r="G910" t="s">
        <v>33</v>
      </c>
      <c r="H910">
        <v>4</v>
      </c>
      <c r="I910">
        <v>10169</v>
      </c>
      <c r="J910">
        <v>16</v>
      </c>
      <c r="K910">
        <v>3</v>
      </c>
      <c r="L910">
        <v>1</v>
      </c>
      <c r="M910">
        <v>34</v>
      </c>
      <c r="N910">
        <v>4</v>
      </c>
      <c r="O910">
        <v>3</v>
      </c>
      <c r="P910">
        <v>33</v>
      </c>
      <c r="Q910">
        <v>7</v>
      </c>
      <c r="R910">
        <v>1</v>
      </c>
      <c r="S910" t="s">
        <v>34</v>
      </c>
      <c r="T910" t="s">
        <v>37</v>
      </c>
      <c r="U910" t="str">
        <f>IF(Table1[[#This Row],[YearsSince
LastPromotion]]&gt; 4, "Delayed", "Normal")</f>
        <v>Normal</v>
      </c>
      <c r="V910" t="str">
        <f>IF(Table1[[#This Row],[Years
InCurrentRole]]&gt;4, "Role Stagnent", "Normal")</f>
        <v>Role Stagnent</v>
      </c>
      <c r="W910" t="str">
        <f>IF(AND(Table1[[#This Row],[Years
InCurrentRole]]&gt; 4, Table1[[#This Row],[Performance
Rating]]&gt;=3), "High Risk", "Normal")</f>
        <v>High Risk</v>
      </c>
      <c r="X910" t="str">
        <f>IF(Table1[[#This Row],[Performance
Rating]]&gt;=4, "High Performer", "Low Performer")</f>
        <v>Low Performer</v>
      </c>
    </row>
    <row r="911" spans="2:24" x14ac:dyDescent="0.3">
      <c r="B911" t="s">
        <v>19</v>
      </c>
      <c r="C911" t="s">
        <v>25</v>
      </c>
      <c r="D911">
        <v>1</v>
      </c>
      <c r="E911" t="s">
        <v>28</v>
      </c>
      <c r="F911">
        <v>2</v>
      </c>
      <c r="G911" t="s">
        <v>26</v>
      </c>
      <c r="H911">
        <v>2</v>
      </c>
      <c r="I911">
        <v>3055</v>
      </c>
      <c r="J911">
        <v>15</v>
      </c>
      <c r="K911">
        <v>3</v>
      </c>
      <c r="L911">
        <v>2</v>
      </c>
      <c r="M911">
        <v>11</v>
      </c>
      <c r="N911">
        <v>2</v>
      </c>
      <c r="O911">
        <v>2</v>
      </c>
      <c r="P911">
        <v>9</v>
      </c>
      <c r="Q911">
        <v>8</v>
      </c>
      <c r="R911">
        <v>1</v>
      </c>
      <c r="S911" t="s">
        <v>23</v>
      </c>
      <c r="T911" t="s">
        <v>37</v>
      </c>
      <c r="U911" t="str">
        <f>IF(Table1[[#This Row],[YearsSince
LastPromotion]]&gt; 4, "Delayed", "Normal")</f>
        <v>Normal</v>
      </c>
      <c r="V911" t="str">
        <f>IF(Table1[[#This Row],[Years
InCurrentRole]]&gt;4, "Role Stagnent", "Normal")</f>
        <v>Role Stagnent</v>
      </c>
      <c r="W911" t="str">
        <f>IF(AND(Table1[[#This Row],[Years
InCurrentRole]]&gt; 4, Table1[[#This Row],[Performance
Rating]]&gt;=3), "High Risk", "Normal")</f>
        <v>High Risk</v>
      </c>
      <c r="X911" t="str">
        <f>IF(Table1[[#This Row],[Performance
Rating]]&gt;=4, "High Performer", "Low Performer")</f>
        <v>Low Performer</v>
      </c>
    </row>
    <row r="912" spans="2:24" x14ac:dyDescent="0.3">
      <c r="B912" t="s">
        <v>19</v>
      </c>
      <c r="C912" t="s">
        <v>20</v>
      </c>
      <c r="D912">
        <v>1</v>
      </c>
      <c r="E912" t="s">
        <v>28</v>
      </c>
      <c r="F912">
        <v>3</v>
      </c>
      <c r="G912" t="s">
        <v>32</v>
      </c>
      <c r="H912">
        <v>1</v>
      </c>
      <c r="I912">
        <v>9069</v>
      </c>
      <c r="J912">
        <v>22</v>
      </c>
      <c r="K912">
        <v>4</v>
      </c>
      <c r="L912">
        <v>1</v>
      </c>
      <c r="M912">
        <v>9</v>
      </c>
      <c r="N912">
        <v>3</v>
      </c>
      <c r="O912">
        <v>2</v>
      </c>
      <c r="P912">
        <v>9</v>
      </c>
      <c r="Q912">
        <v>8</v>
      </c>
      <c r="R912">
        <v>1</v>
      </c>
      <c r="S912" t="s">
        <v>23</v>
      </c>
      <c r="T912" t="s">
        <v>37</v>
      </c>
      <c r="U912" t="str">
        <f>IF(Table1[[#This Row],[YearsSince
LastPromotion]]&gt; 4, "Delayed", "Normal")</f>
        <v>Normal</v>
      </c>
      <c r="V912" t="str">
        <f>IF(Table1[[#This Row],[Years
InCurrentRole]]&gt;4, "Role Stagnent", "Normal")</f>
        <v>Role Stagnent</v>
      </c>
      <c r="W912" t="str">
        <f>IF(AND(Table1[[#This Row],[Years
InCurrentRole]]&gt; 4, Table1[[#This Row],[Performance
Rating]]&gt;=3), "High Risk", "Normal")</f>
        <v>High Risk</v>
      </c>
      <c r="X912" t="str">
        <f>IF(Table1[[#This Row],[Performance
Rating]]&gt;=4, "High Performer", "Low Performer")</f>
        <v>High Performer</v>
      </c>
    </row>
    <row r="913" spans="2:24" x14ac:dyDescent="0.3">
      <c r="B913" t="s">
        <v>19</v>
      </c>
      <c r="C913" t="s">
        <v>20</v>
      </c>
      <c r="D913">
        <v>1</v>
      </c>
      <c r="E913" t="s">
        <v>28</v>
      </c>
      <c r="F913">
        <v>3</v>
      </c>
      <c r="G913" t="s">
        <v>32</v>
      </c>
      <c r="H913">
        <v>3</v>
      </c>
      <c r="I913">
        <v>8726</v>
      </c>
      <c r="J913">
        <v>15</v>
      </c>
      <c r="K913">
        <v>3</v>
      </c>
      <c r="L913">
        <v>0</v>
      </c>
      <c r="M913">
        <v>9</v>
      </c>
      <c r="N913">
        <v>0</v>
      </c>
      <c r="O913">
        <v>3</v>
      </c>
      <c r="P913">
        <v>9</v>
      </c>
      <c r="Q913">
        <v>8</v>
      </c>
      <c r="R913">
        <v>1</v>
      </c>
      <c r="S913" t="s">
        <v>34</v>
      </c>
      <c r="T913" t="s">
        <v>37</v>
      </c>
      <c r="U913" t="str">
        <f>IF(Table1[[#This Row],[YearsSince
LastPromotion]]&gt; 4, "Delayed", "Normal")</f>
        <v>Normal</v>
      </c>
      <c r="V913" t="str">
        <f>IF(Table1[[#This Row],[Years
InCurrentRole]]&gt;4, "Role Stagnent", "Normal")</f>
        <v>Role Stagnent</v>
      </c>
      <c r="W913" t="str">
        <f>IF(AND(Table1[[#This Row],[Years
InCurrentRole]]&gt; 4, Table1[[#This Row],[Performance
Rating]]&gt;=3), "High Risk", "Normal")</f>
        <v>High Risk</v>
      </c>
      <c r="X913" t="str">
        <f>IF(Table1[[#This Row],[Performance
Rating]]&gt;=4, "High Performer", "Low Performer")</f>
        <v>Low Performer</v>
      </c>
    </row>
    <row r="914" spans="2:24" x14ac:dyDescent="0.3">
      <c r="B914" t="s">
        <v>19</v>
      </c>
      <c r="C914" t="s">
        <v>25</v>
      </c>
      <c r="D914">
        <v>1</v>
      </c>
      <c r="E914" t="s">
        <v>28</v>
      </c>
      <c r="F914">
        <v>1</v>
      </c>
      <c r="G914" t="s">
        <v>26</v>
      </c>
      <c r="H914">
        <v>3</v>
      </c>
      <c r="I914">
        <v>2451</v>
      </c>
      <c r="J914">
        <v>12</v>
      </c>
      <c r="K914">
        <v>3</v>
      </c>
      <c r="L914">
        <v>1</v>
      </c>
      <c r="M914">
        <v>13</v>
      </c>
      <c r="N914">
        <v>2</v>
      </c>
      <c r="O914">
        <v>3</v>
      </c>
      <c r="P914">
        <v>9</v>
      </c>
      <c r="Q914">
        <v>8</v>
      </c>
      <c r="R914">
        <v>1</v>
      </c>
      <c r="S914" t="s">
        <v>34</v>
      </c>
      <c r="T914" t="s">
        <v>37</v>
      </c>
      <c r="U914" t="str">
        <f>IF(Table1[[#This Row],[YearsSince
LastPromotion]]&gt; 4, "Delayed", "Normal")</f>
        <v>Normal</v>
      </c>
      <c r="V914" t="str">
        <f>IF(Table1[[#This Row],[Years
InCurrentRole]]&gt;4, "Role Stagnent", "Normal")</f>
        <v>Role Stagnent</v>
      </c>
      <c r="W914" t="str">
        <f>IF(AND(Table1[[#This Row],[Years
InCurrentRole]]&gt; 4, Table1[[#This Row],[Performance
Rating]]&gt;=3), "High Risk", "Normal")</f>
        <v>High Risk</v>
      </c>
      <c r="X914" t="str">
        <f>IF(Table1[[#This Row],[Performance
Rating]]&gt;=4, "High Performer", "Low Performer")</f>
        <v>Low Performer</v>
      </c>
    </row>
    <row r="915" spans="2:24" x14ac:dyDescent="0.3">
      <c r="B915" t="s">
        <v>19</v>
      </c>
      <c r="C915" t="s">
        <v>25</v>
      </c>
      <c r="D915">
        <v>1</v>
      </c>
      <c r="E915" t="s">
        <v>21</v>
      </c>
      <c r="F915">
        <v>5</v>
      </c>
      <c r="G915" t="s">
        <v>35</v>
      </c>
      <c r="H915">
        <v>1</v>
      </c>
      <c r="I915">
        <v>19701</v>
      </c>
      <c r="J915">
        <v>21</v>
      </c>
      <c r="K915">
        <v>4</v>
      </c>
      <c r="L915">
        <v>1</v>
      </c>
      <c r="M915">
        <v>32</v>
      </c>
      <c r="N915">
        <v>3</v>
      </c>
      <c r="O915">
        <v>3</v>
      </c>
      <c r="P915">
        <v>9</v>
      </c>
      <c r="Q915">
        <v>8</v>
      </c>
      <c r="R915">
        <v>1</v>
      </c>
      <c r="S915" t="s">
        <v>34</v>
      </c>
      <c r="T915" t="s">
        <v>37</v>
      </c>
      <c r="U915" t="str">
        <f>IF(Table1[[#This Row],[YearsSince
LastPromotion]]&gt; 4, "Delayed", "Normal")</f>
        <v>Normal</v>
      </c>
      <c r="V915" t="str">
        <f>IF(Table1[[#This Row],[Years
InCurrentRole]]&gt;4, "Role Stagnent", "Normal")</f>
        <v>Role Stagnent</v>
      </c>
      <c r="W915" t="str">
        <f>IF(AND(Table1[[#This Row],[Years
InCurrentRole]]&gt; 4, Table1[[#This Row],[Performance
Rating]]&gt;=3), "High Risk", "Normal")</f>
        <v>High Risk</v>
      </c>
      <c r="X915" t="str">
        <f>IF(Table1[[#This Row],[Performance
Rating]]&gt;=4, "High Performer", "Low Performer")</f>
        <v>High Performer</v>
      </c>
    </row>
    <row r="916" spans="2:24" x14ac:dyDescent="0.3">
      <c r="B916" t="s">
        <v>19</v>
      </c>
      <c r="C916" t="s">
        <v>25</v>
      </c>
      <c r="D916">
        <v>1</v>
      </c>
      <c r="E916" t="s">
        <v>21</v>
      </c>
      <c r="F916">
        <v>2</v>
      </c>
      <c r="G916" t="s">
        <v>26</v>
      </c>
      <c r="H916">
        <v>4</v>
      </c>
      <c r="I916">
        <v>5775</v>
      </c>
      <c r="J916">
        <v>13</v>
      </c>
      <c r="K916">
        <v>3</v>
      </c>
      <c r="L916">
        <v>2</v>
      </c>
      <c r="M916">
        <v>11</v>
      </c>
      <c r="N916">
        <v>2</v>
      </c>
      <c r="O916">
        <v>3</v>
      </c>
      <c r="P916">
        <v>10</v>
      </c>
      <c r="Q916">
        <v>8</v>
      </c>
      <c r="R916">
        <v>1</v>
      </c>
      <c r="S916" t="s">
        <v>34</v>
      </c>
      <c r="T916" t="s">
        <v>37</v>
      </c>
      <c r="U916" t="str">
        <f>IF(Table1[[#This Row],[YearsSince
LastPromotion]]&gt; 4, "Delayed", "Normal")</f>
        <v>Normal</v>
      </c>
      <c r="V916" t="str">
        <f>IF(Table1[[#This Row],[Years
InCurrentRole]]&gt;4, "Role Stagnent", "Normal")</f>
        <v>Role Stagnent</v>
      </c>
      <c r="W916" t="str">
        <f>IF(AND(Table1[[#This Row],[Years
InCurrentRole]]&gt; 4, Table1[[#This Row],[Performance
Rating]]&gt;=3), "High Risk", "Normal")</f>
        <v>High Risk</v>
      </c>
      <c r="X916" t="str">
        <f>IF(Table1[[#This Row],[Performance
Rating]]&gt;=4, "High Performer", "Low Performer")</f>
        <v>Low Performer</v>
      </c>
    </row>
    <row r="917" spans="2:24" x14ac:dyDescent="0.3">
      <c r="B917" t="s">
        <v>19</v>
      </c>
      <c r="C917" t="s">
        <v>25</v>
      </c>
      <c r="D917">
        <v>1</v>
      </c>
      <c r="E917" t="s">
        <v>28</v>
      </c>
      <c r="F917">
        <v>1</v>
      </c>
      <c r="G917" t="s">
        <v>29</v>
      </c>
      <c r="H917">
        <v>2</v>
      </c>
      <c r="I917">
        <v>3748</v>
      </c>
      <c r="J917">
        <v>13</v>
      </c>
      <c r="K917">
        <v>3</v>
      </c>
      <c r="L917">
        <v>0</v>
      </c>
      <c r="M917">
        <v>12</v>
      </c>
      <c r="N917">
        <v>6</v>
      </c>
      <c r="O917">
        <v>2</v>
      </c>
      <c r="P917">
        <v>12</v>
      </c>
      <c r="Q917">
        <v>8</v>
      </c>
      <c r="R917">
        <v>1</v>
      </c>
      <c r="S917" t="s">
        <v>23</v>
      </c>
      <c r="T917" t="s">
        <v>37</v>
      </c>
      <c r="U917" t="str">
        <f>IF(Table1[[#This Row],[YearsSince
LastPromotion]]&gt; 4, "Delayed", "Normal")</f>
        <v>Normal</v>
      </c>
      <c r="V917" t="str">
        <f>IF(Table1[[#This Row],[Years
InCurrentRole]]&gt;4, "Role Stagnent", "Normal")</f>
        <v>Role Stagnent</v>
      </c>
      <c r="W917" t="str">
        <f>IF(AND(Table1[[#This Row],[Years
InCurrentRole]]&gt; 4, Table1[[#This Row],[Performance
Rating]]&gt;=3), "High Risk", "Normal")</f>
        <v>High Risk</v>
      </c>
      <c r="X917" t="str">
        <f>IF(Table1[[#This Row],[Performance
Rating]]&gt;=4, "High Performer", "Low Performer")</f>
        <v>Low Performer</v>
      </c>
    </row>
    <row r="918" spans="2:24" x14ac:dyDescent="0.3">
      <c r="B918" t="s">
        <v>19</v>
      </c>
      <c r="C918" t="s">
        <v>25</v>
      </c>
      <c r="D918">
        <v>1</v>
      </c>
      <c r="E918" t="s">
        <v>28</v>
      </c>
      <c r="F918">
        <v>5</v>
      </c>
      <c r="G918" t="s">
        <v>22</v>
      </c>
      <c r="H918">
        <v>3</v>
      </c>
      <c r="I918">
        <v>19197</v>
      </c>
      <c r="J918">
        <v>14</v>
      </c>
      <c r="K918">
        <v>3</v>
      </c>
      <c r="L918">
        <v>1</v>
      </c>
      <c r="M918">
        <v>21</v>
      </c>
      <c r="N918">
        <v>3</v>
      </c>
      <c r="O918">
        <v>3</v>
      </c>
      <c r="P918">
        <v>21</v>
      </c>
      <c r="Q918">
        <v>8</v>
      </c>
      <c r="R918">
        <v>1</v>
      </c>
      <c r="S918" t="s">
        <v>34</v>
      </c>
      <c r="T918" t="s">
        <v>37</v>
      </c>
      <c r="U918" t="str">
        <f>IF(Table1[[#This Row],[YearsSince
LastPromotion]]&gt; 4, "Delayed", "Normal")</f>
        <v>Normal</v>
      </c>
      <c r="V918" t="str">
        <f>IF(Table1[[#This Row],[Years
InCurrentRole]]&gt;4, "Role Stagnent", "Normal")</f>
        <v>Role Stagnent</v>
      </c>
      <c r="W918" t="str">
        <f>IF(AND(Table1[[#This Row],[Years
InCurrentRole]]&gt; 4, Table1[[#This Row],[Performance
Rating]]&gt;=3), "High Risk", "Normal")</f>
        <v>High Risk</v>
      </c>
      <c r="X918" t="str">
        <f>IF(Table1[[#This Row],[Performance
Rating]]&gt;=4, "High Performer", "Low Performer")</f>
        <v>Low Performer</v>
      </c>
    </row>
    <row r="919" spans="2:24" x14ac:dyDescent="0.3">
      <c r="B919" t="s">
        <v>19</v>
      </c>
      <c r="C919" t="s">
        <v>25</v>
      </c>
      <c r="D919">
        <v>1</v>
      </c>
      <c r="E919" t="s">
        <v>28</v>
      </c>
      <c r="F919">
        <v>2</v>
      </c>
      <c r="G919" t="s">
        <v>33</v>
      </c>
      <c r="H919">
        <v>3</v>
      </c>
      <c r="I919">
        <v>9547</v>
      </c>
      <c r="J919">
        <v>17</v>
      </c>
      <c r="K919">
        <v>3</v>
      </c>
      <c r="L919">
        <v>0</v>
      </c>
      <c r="M919">
        <v>10</v>
      </c>
      <c r="N919">
        <v>2</v>
      </c>
      <c r="O919">
        <v>2</v>
      </c>
      <c r="P919">
        <v>10</v>
      </c>
      <c r="Q919">
        <v>9</v>
      </c>
      <c r="R919">
        <v>1</v>
      </c>
      <c r="S919" t="s">
        <v>23</v>
      </c>
      <c r="T919" t="s">
        <v>37</v>
      </c>
      <c r="U919" t="str">
        <f>IF(Table1[[#This Row],[YearsSince
LastPromotion]]&gt; 4, "Delayed", "Normal")</f>
        <v>Normal</v>
      </c>
      <c r="V919" t="str">
        <f>IF(Table1[[#This Row],[Years
InCurrentRole]]&gt;4, "Role Stagnent", "Normal")</f>
        <v>Role Stagnent</v>
      </c>
      <c r="W919" t="str">
        <f>IF(AND(Table1[[#This Row],[Years
InCurrentRole]]&gt; 4, Table1[[#This Row],[Performance
Rating]]&gt;=3), "High Risk", "Normal")</f>
        <v>High Risk</v>
      </c>
      <c r="X919" t="str">
        <f>IF(Table1[[#This Row],[Performance
Rating]]&gt;=4, "High Performer", "Low Performer")</f>
        <v>Low Performer</v>
      </c>
    </row>
    <row r="920" spans="2:24" x14ac:dyDescent="0.3">
      <c r="B920" t="s">
        <v>19</v>
      </c>
      <c r="C920" t="s">
        <v>36</v>
      </c>
      <c r="D920">
        <v>1</v>
      </c>
      <c r="E920" t="s">
        <v>28</v>
      </c>
      <c r="F920">
        <v>5</v>
      </c>
      <c r="G920" t="s">
        <v>22</v>
      </c>
      <c r="H920">
        <v>2</v>
      </c>
      <c r="I920">
        <v>19636</v>
      </c>
      <c r="J920">
        <v>18</v>
      </c>
      <c r="K920">
        <v>3</v>
      </c>
      <c r="L920">
        <v>1</v>
      </c>
      <c r="M920">
        <v>35</v>
      </c>
      <c r="N920">
        <v>0</v>
      </c>
      <c r="O920">
        <v>3</v>
      </c>
      <c r="P920">
        <v>10</v>
      </c>
      <c r="Q920">
        <v>9</v>
      </c>
      <c r="R920">
        <v>1</v>
      </c>
      <c r="S920" t="s">
        <v>34</v>
      </c>
      <c r="T920" t="s">
        <v>37</v>
      </c>
      <c r="U920" t="str">
        <f>IF(Table1[[#This Row],[YearsSince
LastPromotion]]&gt; 4, "Delayed", "Normal")</f>
        <v>Normal</v>
      </c>
      <c r="V920" t="str">
        <f>IF(Table1[[#This Row],[Years
InCurrentRole]]&gt;4, "Role Stagnent", "Normal")</f>
        <v>Role Stagnent</v>
      </c>
      <c r="W920" t="str">
        <f>IF(AND(Table1[[#This Row],[Years
InCurrentRole]]&gt; 4, Table1[[#This Row],[Performance
Rating]]&gt;=3), "High Risk", "Normal")</f>
        <v>High Risk</v>
      </c>
      <c r="X920" t="str">
        <f>IF(Table1[[#This Row],[Performance
Rating]]&gt;=4, "High Performer", "Low Performer")</f>
        <v>Low Performer</v>
      </c>
    </row>
    <row r="921" spans="2:24" x14ac:dyDescent="0.3">
      <c r="B921" t="s">
        <v>19</v>
      </c>
      <c r="C921" t="s">
        <v>25</v>
      </c>
      <c r="D921">
        <v>1</v>
      </c>
      <c r="E921" t="s">
        <v>21</v>
      </c>
      <c r="F921">
        <v>2</v>
      </c>
      <c r="G921" t="s">
        <v>31</v>
      </c>
      <c r="H921">
        <v>1</v>
      </c>
      <c r="I921">
        <v>6812</v>
      </c>
      <c r="J921">
        <v>19</v>
      </c>
      <c r="K921">
        <v>3</v>
      </c>
      <c r="L921">
        <v>0</v>
      </c>
      <c r="M921">
        <v>10</v>
      </c>
      <c r="N921">
        <v>2</v>
      </c>
      <c r="O921">
        <v>3</v>
      </c>
      <c r="P921">
        <v>10</v>
      </c>
      <c r="Q921">
        <v>9</v>
      </c>
      <c r="R921">
        <v>1</v>
      </c>
      <c r="S921" t="s">
        <v>34</v>
      </c>
      <c r="T921" t="s">
        <v>37</v>
      </c>
      <c r="U921" t="str">
        <f>IF(Table1[[#This Row],[YearsSince
LastPromotion]]&gt; 4, "Delayed", "Normal")</f>
        <v>Normal</v>
      </c>
      <c r="V921" t="str">
        <f>IF(Table1[[#This Row],[Years
InCurrentRole]]&gt;4, "Role Stagnent", "Normal")</f>
        <v>Role Stagnent</v>
      </c>
      <c r="W921" t="str">
        <f>IF(AND(Table1[[#This Row],[Years
InCurrentRole]]&gt; 4, Table1[[#This Row],[Performance
Rating]]&gt;=3), "High Risk", "Normal")</f>
        <v>High Risk</v>
      </c>
      <c r="X921" t="str">
        <f>IF(Table1[[#This Row],[Performance
Rating]]&gt;=4, "High Performer", "Low Performer")</f>
        <v>Low Performer</v>
      </c>
    </row>
    <row r="922" spans="2:24" x14ac:dyDescent="0.3">
      <c r="B922" t="s">
        <v>19</v>
      </c>
      <c r="C922" t="s">
        <v>20</v>
      </c>
      <c r="D922">
        <v>1</v>
      </c>
      <c r="E922" t="s">
        <v>21</v>
      </c>
      <c r="F922">
        <v>2</v>
      </c>
      <c r="G922" t="s">
        <v>32</v>
      </c>
      <c r="H922">
        <v>3</v>
      </c>
      <c r="I922">
        <v>6118</v>
      </c>
      <c r="J922">
        <v>13</v>
      </c>
      <c r="K922">
        <v>3</v>
      </c>
      <c r="L922">
        <v>3</v>
      </c>
      <c r="M922">
        <v>10</v>
      </c>
      <c r="N922">
        <v>2</v>
      </c>
      <c r="O922">
        <v>3</v>
      </c>
      <c r="P922">
        <v>10</v>
      </c>
      <c r="Q922">
        <v>9</v>
      </c>
      <c r="R922">
        <v>1</v>
      </c>
      <c r="S922" t="s">
        <v>34</v>
      </c>
      <c r="T922" t="s">
        <v>37</v>
      </c>
      <c r="U922" t="str">
        <f>IF(Table1[[#This Row],[YearsSince
LastPromotion]]&gt; 4, "Delayed", "Normal")</f>
        <v>Normal</v>
      </c>
      <c r="V922" t="str">
        <f>IF(Table1[[#This Row],[Years
InCurrentRole]]&gt;4, "Role Stagnent", "Normal")</f>
        <v>Role Stagnent</v>
      </c>
      <c r="W922" t="str">
        <f>IF(AND(Table1[[#This Row],[Years
InCurrentRole]]&gt; 4, Table1[[#This Row],[Performance
Rating]]&gt;=3), "High Risk", "Normal")</f>
        <v>High Risk</v>
      </c>
      <c r="X922" t="str">
        <f>IF(Table1[[#This Row],[Performance
Rating]]&gt;=4, "High Performer", "Low Performer")</f>
        <v>Low Performer</v>
      </c>
    </row>
    <row r="923" spans="2:24" x14ac:dyDescent="0.3">
      <c r="B923" t="s">
        <v>19</v>
      </c>
      <c r="C923" t="s">
        <v>25</v>
      </c>
      <c r="D923">
        <v>1</v>
      </c>
      <c r="E923" t="s">
        <v>28</v>
      </c>
      <c r="F923">
        <v>1</v>
      </c>
      <c r="G923" t="s">
        <v>29</v>
      </c>
      <c r="H923">
        <v>1</v>
      </c>
      <c r="I923">
        <v>4723</v>
      </c>
      <c r="J923">
        <v>18</v>
      </c>
      <c r="K923">
        <v>3</v>
      </c>
      <c r="L923">
        <v>0</v>
      </c>
      <c r="M923">
        <v>10</v>
      </c>
      <c r="N923">
        <v>3</v>
      </c>
      <c r="O923">
        <v>3</v>
      </c>
      <c r="P923">
        <v>10</v>
      </c>
      <c r="Q923">
        <v>9</v>
      </c>
      <c r="R923">
        <v>1</v>
      </c>
      <c r="S923" t="s">
        <v>34</v>
      </c>
      <c r="T923" t="s">
        <v>37</v>
      </c>
      <c r="U923" t="str">
        <f>IF(Table1[[#This Row],[YearsSince
LastPromotion]]&gt; 4, "Delayed", "Normal")</f>
        <v>Normal</v>
      </c>
      <c r="V923" t="str">
        <f>IF(Table1[[#This Row],[Years
InCurrentRole]]&gt;4, "Role Stagnent", "Normal")</f>
        <v>Role Stagnent</v>
      </c>
      <c r="W923" t="str">
        <f>IF(AND(Table1[[#This Row],[Years
InCurrentRole]]&gt; 4, Table1[[#This Row],[Performance
Rating]]&gt;=3), "High Risk", "Normal")</f>
        <v>High Risk</v>
      </c>
      <c r="X923" t="str">
        <f>IF(Table1[[#This Row],[Performance
Rating]]&gt;=4, "High Performer", "Low Performer")</f>
        <v>Low Performer</v>
      </c>
    </row>
    <row r="924" spans="2:24" x14ac:dyDescent="0.3">
      <c r="B924" t="s">
        <v>19</v>
      </c>
      <c r="C924" t="s">
        <v>20</v>
      </c>
      <c r="D924">
        <v>1</v>
      </c>
      <c r="E924" t="s">
        <v>21</v>
      </c>
      <c r="F924">
        <v>2</v>
      </c>
      <c r="G924" t="s">
        <v>32</v>
      </c>
      <c r="H924">
        <v>3</v>
      </c>
      <c r="I924">
        <v>5673</v>
      </c>
      <c r="J924">
        <v>13</v>
      </c>
      <c r="K924">
        <v>3</v>
      </c>
      <c r="L924">
        <v>1</v>
      </c>
      <c r="M924">
        <v>10</v>
      </c>
      <c r="N924">
        <v>4</v>
      </c>
      <c r="O924">
        <v>3</v>
      </c>
      <c r="P924">
        <v>10</v>
      </c>
      <c r="Q924">
        <v>9</v>
      </c>
      <c r="R924">
        <v>1</v>
      </c>
      <c r="S924" t="s">
        <v>34</v>
      </c>
      <c r="T924" t="s">
        <v>37</v>
      </c>
      <c r="U924" t="str">
        <f>IF(Table1[[#This Row],[YearsSince
LastPromotion]]&gt; 4, "Delayed", "Normal")</f>
        <v>Normal</v>
      </c>
      <c r="V924" t="str">
        <f>IF(Table1[[#This Row],[Years
InCurrentRole]]&gt;4, "Role Stagnent", "Normal")</f>
        <v>Role Stagnent</v>
      </c>
      <c r="W924" t="str">
        <f>IF(AND(Table1[[#This Row],[Years
InCurrentRole]]&gt; 4, Table1[[#This Row],[Performance
Rating]]&gt;=3), "High Risk", "Normal")</f>
        <v>High Risk</v>
      </c>
      <c r="X924" t="str">
        <f>IF(Table1[[#This Row],[Performance
Rating]]&gt;=4, "High Performer", "Low Performer")</f>
        <v>Low Performer</v>
      </c>
    </row>
    <row r="925" spans="2:24" x14ac:dyDescent="0.3">
      <c r="B925" t="s">
        <v>19</v>
      </c>
      <c r="C925" t="s">
        <v>36</v>
      </c>
      <c r="D925">
        <v>1</v>
      </c>
      <c r="E925" t="s">
        <v>28</v>
      </c>
      <c r="F925">
        <v>2</v>
      </c>
      <c r="G925" t="s">
        <v>36</v>
      </c>
      <c r="H925">
        <v>2</v>
      </c>
      <c r="I925">
        <v>4490</v>
      </c>
      <c r="J925">
        <v>11</v>
      </c>
      <c r="K925">
        <v>3</v>
      </c>
      <c r="L925">
        <v>2</v>
      </c>
      <c r="M925">
        <v>14</v>
      </c>
      <c r="N925">
        <v>5</v>
      </c>
      <c r="O925">
        <v>4</v>
      </c>
      <c r="P925">
        <v>10</v>
      </c>
      <c r="Q925">
        <v>9</v>
      </c>
      <c r="R925">
        <v>1</v>
      </c>
      <c r="S925" t="s">
        <v>34</v>
      </c>
      <c r="T925" t="s">
        <v>37</v>
      </c>
      <c r="U925" t="str">
        <f>IF(Table1[[#This Row],[YearsSince
LastPromotion]]&gt; 4, "Delayed", "Normal")</f>
        <v>Normal</v>
      </c>
      <c r="V925" t="str">
        <f>IF(Table1[[#This Row],[Years
InCurrentRole]]&gt;4, "Role Stagnent", "Normal")</f>
        <v>Role Stagnent</v>
      </c>
      <c r="W925" t="str">
        <f>IF(AND(Table1[[#This Row],[Years
InCurrentRole]]&gt; 4, Table1[[#This Row],[Performance
Rating]]&gt;=3), "High Risk", "Normal")</f>
        <v>High Risk</v>
      </c>
      <c r="X925" t="str">
        <f>IF(Table1[[#This Row],[Performance
Rating]]&gt;=4, "High Performer", "Low Performer")</f>
        <v>Low Performer</v>
      </c>
    </row>
    <row r="926" spans="2:24" x14ac:dyDescent="0.3">
      <c r="B926" t="s">
        <v>19</v>
      </c>
      <c r="C926" t="s">
        <v>20</v>
      </c>
      <c r="D926">
        <v>1</v>
      </c>
      <c r="E926" t="s">
        <v>28</v>
      </c>
      <c r="F926">
        <v>3</v>
      </c>
      <c r="G926" t="s">
        <v>32</v>
      </c>
      <c r="H926">
        <v>4</v>
      </c>
      <c r="I926">
        <v>9699</v>
      </c>
      <c r="J926">
        <v>11</v>
      </c>
      <c r="K926">
        <v>3</v>
      </c>
      <c r="L926">
        <v>1</v>
      </c>
      <c r="M926">
        <v>16</v>
      </c>
      <c r="N926">
        <v>2</v>
      </c>
      <c r="O926">
        <v>3</v>
      </c>
      <c r="P926">
        <v>13</v>
      </c>
      <c r="Q926">
        <v>9</v>
      </c>
      <c r="R926">
        <v>1</v>
      </c>
      <c r="S926" t="s">
        <v>34</v>
      </c>
      <c r="T926" t="s">
        <v>37</v>
      </c>
      <c r="U926" t="str">
        <f>IF(Table1[[#This Row],[YearsSince
LastPromotion]]&gt; 4, "Delayed", "Normal")</f>
        <v>Normal</v>
      </c>
      <c r="V926" t="str">
        <f>IF(Table1[[#This Row],[Years
InCurrentRole]]&gt;4, "Role Stagnent", "Normal")</f>
        <v>Role Stagnent</v>
      </c>
      <c r="W926" t="str">
        <f>IF(AND(Table1[[#This Row],[Years
InCurrentRole]]&gt; 4, Table1[[#This Row],[Performance
Rating]]&gt;=3), "High Risk", "Normal")</f>
        <v>High Risk</v>
      </c>
      <c r="X926" t="str">
        <f>IF(Table1[[#This Row],[Performance
Rating]]&gt;=4, "High Performer", "Low Performer")</f>
        <v>Low Performer</v>
      </c>
    </row>
    <row r="927" spans="2:24" x14ac:dyDescent="0.3">
      <c r="B927" t="s">
        <v>19</v>
      </c>
      <c r="C927" t="s">
        <v>25</v>
      </c>
      <c r="D927">
        <v>1</v>
      </c>
      <c r="E927" t="s">
        <v>21</v>
      </c>
      <c r="F927">
        <v>4</v>
      </c>
      <c r="G927" t="s">
        <v>22</v>
      </c>
      <c r="H927">
        <v>4</v>
      </c>
      <c r="I927">
        <v>16032</v>
      </c>
      <c r="J927">
        <v>20</v>
      </c>
      <c r="K927">
        <v>4</v>
      </c>
      <c r="L927">
        <v>1</v>
      </c>
      <c r="M927">
        <v>26</v>
      </c>
      <c r="N927">
        <v>2</v>
      </c>
      <c r="O927">
        <v>3</v>
      </c>
      <c r="P927">
        <v>14</v>
      </c>
      <c r="Q927">
        <v>9</v>
      </c>
      <c r="R927">
        <v>1</v>
      </c>
      <c r="S927" t="s">
        <v>34</v>
      </c>
      <c r="T927" t="s">
        <v>37</v>
      </c>
      <c r="U927" t="str">
        <f>IF(Table1[[#This Row],[YearsSince
LastPromotion]]&gt; 4, "Delayed", "Normal")</f>
        <v>Normal</v>
      </c>
      <c r="V927" t="str">
        <f>IF(Table1[[#This Row],[Years
InCurrentRole]]&gt;4, "Role Stagnent", "Normal")</f>
        <v>Role Stagnent</v>
      </c>
      <c r="W927" t="str">
        <f>IF(AND(Table1[[#This Row],[Years
InCurrentRole]]&gt; 4, Table1[[#This Row],[Performance
Rating]]&gt;=3), "High Risk", "Normal")</f>
        <v>High Risk</v>
      </c>
      <c r="X927" t="str">
        <f>IF(Table1[[#This Row],[Performance
Rating]]&gt;=4, "High Performer", "Low Performer")</f>
        <v>High Performer</v>
      </c>
    </row>
    <row r="928" spans="2:24" x14ac:dyDescent="0.3">
      <c r="B928" t="s">
        <v>19</v>
      </c>
      <c r="C928" t="s">
        <v>25</v>
      </c>
      <c r="D928">
        <v>1</v>
      </c>
      <c r="E928" t="s">
        <v>21</v>
      </c>
      <c r="F928">
        <v>3</v>
      </c>
      <c r="G928" t="s">
        <v>31</v>
      </c>
      <c r="H928">
        <v>3</v>
      </c>
      <c r="I928">
        <v>8823</v>
      </c>
      <c r="J928">
        <v>18</v>
      </c>
      <c r="K928">
        <v>3</v>
      </c>
      <c r="L928">
        <v>1</v>
      </c>
      <c r="M928">
        <v>20</v>
      </c>
      <c r="N928">
        <v>4</v>
      </c>
      <c r="O928">
        <v>2</v>
      </c>
      <c r="P928">
        <v>19</v>
      </c>
      <c r="Q928">
        <v>9</v>
      </c>
      <c r="R928">
        <v>1</v>
      </c>
      <c r="S928" t="s">
        <v>23</v>
      </c>
      <c r="T928" t="s">
        <v>37</v>
      </c>
      <c r="U928" t="str">
        <f>IF(Table1[[#This Row],[YearsSince
LastPromotion]]&gt; 4, "Delayed", "Normal")</f>
        <v>Normal</v>
      </c>
      <c r="V928" t="str">
        <f>IF(Table1[[#This Row],[Years
InCurrentRole]]&gt;4, "Role Stagnent", "Normal")</f>
        <v>Role Stagnent</v>
      </c>
      <c r="W928" t="str">
        <f>IF(AND(Table1[[#This Row],[Years
InCurrentRole]]&gt; 4, Table1[[#This Row],[Performance
Rating]]&gt;=3), "High Risk", "Normal")</f>
        <v>High Risk</v>
      </c>
      <c r="X928" t="str">
        <f>IF(Table1[[#This Row],[Performance
Rating]]&gt;=4, "High Performer", "Low Performer")</f>
        <v>Low Performer</v>
      </c>
    </row>
    <row r="929" spans="2:24" x14ac:dyDescent="0.3">
      <c r="B929" t="s">
        <v>19</v>
      </c>
      <c r="C929" t="s">
        <v>25</v>
      </c>
      <c r="D929">
        <v>1</v>
      </c>
      <c r="E929" t="s">
        <v>21</v>
      </c>
      <c r="F929">
        <v>3</v>
      </c>
      <c r="G929" t="s">
        <v>29</v>
      </c>
      <c r="H929">
        <v>2</v>
      </c>
      <c r="I929">
        <v>7403</v>
      </c>
      <c r="J929">
        <v>11</v>
      </c>
      <c r="K929">
        <v>3</v>
      </c>
      <c r="L929">
        <v>1</v>
      </c>
      <c r="M929">
        <v>29</v>
      </c>
      <c r="N929">
        <v>3</v>
      </c>
      <c r="O929">
        <v>2</v>
      </c>
      <c r="P929">
        <v>26</v>
      </c>
      <c r="Q929">
        <v>9</v>
      </c>
      <c r="R929">
        <v>1</v>
      </c>
      <c r="S929" t="s">
        <v>23</v>
      </c>
      <c r="T929" t="s">
        <v>37</v>
      </c>
      <c r="U929" t="str">
        <f>IF(Table1[[#This Row],[YearsSince
LastPromotion]]&gt; 4, "Delayed", "Normal")</f>
        <v>Normal</v>
      </c>
      <c r="V929" t="str">
        <f>IF(Table1[[#This Row],[Years
InCurrentRole]]&gt;4, "Role Stagnent", "Normal")</f>
        <v>Role Stagnent</v>
      </c>
      <c r="W929" t="str">
        <f>IF(AND(Table1[[#This Row],[Years
InCurrentRole]]&gt; 4, Table1[[#This Row],[Performance
Rating]]&gt;=3), "High Risk", "Normal")</f>
        <v>High Risk</v>
      </c>
      <c r="X929" t="str">
        <f>IF(Table1[[#This Row],[Performance
Rating]]&gt;=4, "High Performer", "Low Performer")</f>
        <v>Low Performer</v>
      </c>
    </row>
    <row r="930" spans="2:24" x14ac:dyDescent="0.3">
      <c r="B930" t="s">
        <v>27</v>
      </c>
      <c r="C930" t="s">
        <v>20</v>
      </c>
      <c r="D930">
        <v>1</v>
      </c>
      <c r="E930" t="s">
        <v>21</v>
      </c>
      <c r="F930">
        <v>5</v>
      </c>
      <c r="G930" t="s">
        <v>22</v>
      </c>
      <c r="H930">
        <v>2</v>
      </c>
      <c r="I930">
        <v>18824</v>
      </c>
      <c r="J930">
        <v>16</v>
      </c>
      <c r="K930">
        <v>3</v>
      </c>
      <c r="L930">
        <v>0</v>
      </c>
      <c r="M930">
        <v>26</v>
      </c>
      <c r="N930">
        <v>2</v>
      </c>
      <c r="O930">
        <v>3</v>
      </c>
      <c r="P930">
        <v>24</v>
      </c>
      <c r="Q930">
        <v>10</v>
      </c>
      <c r="R930">
        <v>1</v>
      </c>
      <c r="S930" t="s">
        <v>34</v>
      </c>
      <c r="T930" t="s">
        <v>37</v>
      </c>
      <c r="U930" t="str">
        <f>IF(Table1[[#This Row],[YearsSince
LastPromotion]]&gt; 4, "Delayed", "Normal")</f>
        <v>Normal</v>
      </c>
      <c r="V930" t="str">
        <f>IF(Table1[[#This Row],[Years
InCurrentRole]]&gt;4, "Role Stagnent", "Normal")</f>
        <v>Role Stagnent</v>
      </c>
      <c r="W930" t="str">
        <f>IF(AND(Table1[[#This Row],[Years
InCurrentRole]]&gt; 4, Table1[[#This Row],[Performance
Rating]]&gt;=3), "High Risk", "Normal")</f>
        <v>High Risk</v>
      </c>
      <c r="X930" t="str">
        <f>IF(Table1[[#This Row],[Performance
Rating]]&gt;=4, "High Performer", "Low Performer")</f>
        <v>Low Performer</v>
      </c>
    </row>
    <row r="931" spans="2:24" x14ac:dyDescent="0.3">
      <c r="B931" t="s">
        <v>19</v>
      </c>
      <c r="C931" t="s">
        <v>20</v>
      </c>
      <c r="D931">
        <v>1</v>
      </c>
      <c r="E931" t="s">
        <v>28</v>
      </c>
      <c r="F931">
        <v>4</v>
      </c>
      <c r="G931" t="s">
        <v>32</v>
      </c>
      <c r="H931">
        <v>3</v>
      </c>
      <c r="I931">
        <v>13872</v>
      </c>
      <c r="J931">
        <v>13</v>
      </c>
      <c r="K931">
        <v>3</v>
      </c>
      <c r="L931">
        <v>0</v>
      </c>
      <c r="M931">
        <v>38</v>
      </c>
      <c r="N931">
        <v>1</v>
      </c>
      <c r="O931">
        <v>2</v>
      </c>
      <c r="P931">
        <v>37</v>
      </c>
      <c r="Q931">
        <v>10</v>
      </c>
      <c r="R931">
        <v>1</v>
      </c>
      <c r="S931" t="s">
        <v>23</v>
      </c>
      <c r="T931" t="s">
        <v>37</v>
      </c>
      <c r="U931" t="str">
        <f>IF(Table1[[#This Row],[YearsSince
LastPromotion]]&gt; 4, "Delayed", "Normal")</f>
        <v>Normal</v>
      </c>
      <c r="V931" t="str">
        <f>IF(Table1[[#This Row],[Years
InCurrentRole]]&gt;4, "Role Stagnent", "Normal")</f>
        <v>Role Stagnent</v>
      </c>
      <c r="W931" t="str">
        <f>IF(AND(Table1[[#This Row],[Years
InCurrentRole]]&gt; 4, Table1[[#This Row],[Performance
Rating]]&gt;=3), "High Risk", "Normal")</f>
        <v>High Risk</v>
      </c>
      <c r="X931" t="str">
        <f>IF(Table1[[#This Row],[Performance
Rating]]&gt;=4, "High Performer", "Low Performer")</f>
        <v>Low Performer</v>
      </c>
    </row>
    <row r="932" spans="2:24" x14ac:dyDescent="0.3">
      <c r="B932" t="s">
        <v>19</v>
      </c>
      <c r="C932" t="s">
        <v>25</v>
      </c>
      <c r="D932">
        <v>1</v>
      </c>
      <c r="E932" t="s">
        <v>28</v>
      </c>
      <c r="F932">
        <v>4</v>
      </c>
      <c r="G932" t="s">
        <v>33</v>
      </c>
      <c r="H932">
        <v>3</v>
      </c>
      <c r="I932">
        <v>13973</v>
      </c>
      <c r="J932">
        <v>18</v>
      </c>
      <c r="K932">
        <v>3</v>
      </c>
      <c r="L932">
        <v>1</v>
      </c>
      <c r="M932">
        <v>22</v>
      </c>
      <c r="N932">
        <v>2</v>
      </c>
      <c r="O932">
        <v>3</v>
      </c>
      <c r="P932">
        <v>12</v>
      </c>
      <c r="Q932">
        <v>11</v>
      </c>
      <c r="R932">
        <v>1</v>
      </c>
      <c r="S932" t="s">
        <v>34</v>
      </c>
      <c r="T932" t="s">
        <v>37</v>
      </c>
      <c r="U932" t="str">
        <f>IF(Table1[[#This Row],[YearsSince
LastPromotion]]&gt; 4, "Delayed", "Normal")</f>
        <v>Normal</v>
      </c>
      <c r="V932" t="str">
        <f>IF(Table1[[#This Row],[Years
InCurrentRole]]&gt;4, "Role Stagnent", "Normal")</f>
        <v>Role Stagnent</v>
      </c>
      <c r="W932" t="str">
        <f>IF(AND(Table1[[#This Row],[Years
InCurrentRole]]&gt; 4, Table1[[#This Row],[Performance
Rating]]&gt;=3), "High Risk", "Normal")</f>
        <v>High Risk</v>
      </c>
      <c r="X932" t="str">
        <f>IF(Table1[[#This Row],[Performance
Rating]]&gt;=4, "High Performer", "Low Performer")</f>
        <v>Low Performer</v>
      </c>
    </row>
    <row r="933" spans="2:24" x14ac:dyDescent="0.3">
      <c r="B933" t="s">
        <v>19</v>
      </c>
      <c r="C933" t="s">
        <v>25</v>
      </c>
      <c r="D933">
        <v>1</v>
      </c>
      <c r="E933" t="s">
        <v>21</v>
      </c>
      <c r="F933">
        <v>2</v>
      </c>
      <c r="G933" t="s">
        <v>26</v>
      </c>
      <c r="H933">
        <v>4</v>
      </c>
      <c r="I933">
        <v>5329</v>
      </c>
      <c r="J933">
        <v>12</v>
      </c>
      <c r="K933">
        <v>3</v>
      </c>
      <c r="L933">
        <v>3</v>
      </c>
      <c r="M933">
        <v>17</v>
      </c>
      <c r="N933">
        <v>3</v>
      </c>
      <c r="O933">
        <v>3</v>
      </c>
      <c r="P933">
        <v>13</v>
      </c>
      <c r="Q933">
        <v>11</v>
      </c>
      <c r="R933">
        <v>1</v>
      </c>
      <c r="S933" t="s">
        <v>34</v>
      </c>
      <c r="T933" t="s">
        <v>37</v>
      </c>
      <c r="U933" t="str">
        <f>IF(Table1[[#This Row],[YearsSince
LastPromotion]]&gt; 4, "Delayed", "Normal")</f>
        <v>Normal</v>
      </c>
      <c r="V933" t="str">
        <f>IF(Table1[[#This Row],[Years
InCurrentRole]]&gt;4, "Role Stagnent", "Normal")</f>
        <v>Role Stagnent</v>
      </c>
      <c r="W933" t="str">
        <f>IF(AND(Table1[[#This Row],[Years
InCurrentRole]]&gt; 4, Table1[[#This Row],[Performance
Rating]]&gt;=3), "High Risk", "Normal")</f>
        <v>High Risk</v>
      </c>
      <c r="X933" t="str">
        <f>IF(Table1[[#This Row],[Performance
Rating]]&gt;=4, "High Performer", "Low Performer")</f>
        <v>Low Performer</v>
      </c>
    </row>
    <row r="934" spans="2:24" x14ac:dyDescent="0.3">
      <c r="B934" t="s">
        <v>19</v>
      </c>
      <c r="C934" t="s">
        <v>25</v>
      </c>
      <c r="D934">
        <v>1</v>
      </c>
      <c r="E934" t="s">
        <v>21</v>
      </c>
      <c r="F934">
        <v>3</v>
      </c>
      <c r="G934" t="s">
        <v>35</v>
      </c>
      <c r="H934">
        <v>1</v>
      </c>
      <c r="I934">
        <v>13269</v>
      </c>
      <c r="J934">
        <v>15</v>
      </c>
      <c r="K934">
        <v>3</v>
      </c>
      <c r="L934">
        <v>3</v>
      </c>
      <c r="M934">
        <v>19</v>
      </c>
      <c r="N934">
        <v>3</v>
      </c>
      <c r="O934">
        <v>3</v>
      </c>
      <c r="P934">
        <v>14</v>
      </c>
      <c r="Q934">
        <v>11</v>
      </c>
      <c r="R934">
        <v>1</v>
      </c>
      <c r="S934" t="s">
        <v>34</v>
      </c>
      <c r="T934" t="s">
        <v>37</v>
      </c>
      <c r="U934" t="str">
        <f>IF(Table1[[#This Row],[YearsSince
LastPromotion]]&gt; 4, "Delayed", "Normal")</f>
        <v>Normal</v>
      </c>
      <c r="V934" t="str">
        <f>IF(Table1[[#This Row],[Years
InCurrentRole]]&gt;4, "Role Stagnent", "Normal")</f>
        <v>Role Stagnent</v>
      </c>
      <c r="W934" t="str">
        <f>IF(AND(Table1[[#This Row],[Years
InCurrentRole]]&gt; 4, Table1[[#This Row],[Performance
Rating]]&gt;=3), "High Risk", "Normal")</f>
        <v>High Risk</v>
      </c>
      <c r="X934" t="str">
        <f>IF(Table1[[#This Row],[Performance
Rating]]&gt;=4, "High Performer", "Low Performer")</f>
        <v>Low Performer</v>
      </c>
    </row>
    <row r="935" spans="2:24" x14ac:dyDescent="0.3">
      <c r="B935" t="s">
        <v>19</v>
      </c>
      <c r="C935" t="s">
        <v>25</v>
      </c>
      <c r="D935">
        <v>1</v>
      </c>
      <c r="E935" t="s">
        <v>28</v>
      </c>
      <c r="F935">
        <v>2</v>
      </c>
      <c r="G935" t="s">
        <v>31</v>
      </c>
      <c r="H935">
        <v>3</v>
      </c>
      <c r="I935">
        <v>6306</v>
      </c>
      <c r="J935">
        <v>21</v>
      </c>
      <c r="K935">
        <v>4</v>
      </c>
      <c r="L935">
        <v>1</v>
      </c>
      <c r="M935">
        <v>13</v>
      </c>
      <c r="N935">
        <v>2</v>
      </c>
      <c r="O935">
        <v>2</v>
      </c>
      <c r="P935">
        <v>13</v>
      </c>
      <c r="Q935">
        <v>12</v>
      </c>
      <c r="R935">
        <v>1</v>
      </c>
      <c r="S935" t="s">
        <v>23</v>
      </c>
      <c r="T935" t="s">
        <v>37</v>
      </c>
      <c r="U935" t="str">
        <f>IF(Table1[[#This Row],[YearsSince
LastPromotion]]&gt; 4, "Delayed", "Normal")</f>
        <v>Normal</v>
      </c>
      <c r="V935" t="str">
        <f>IF(Table1[[#This Row],[Years
InCurrentRole]]&gt;4, "Role Stagnent", "Normal")</f>
        <v>Role Stagnent</v>
      </c>
      <c r="W935" t="str">
        <f>IF(AND(Table1[[#This Row],[Years
InCurrentRole]]&gt; 4, Table1[[#This Row],[Performance
Rating]]&gt;=3), "High Risk", "Normal")</f>
        <v>High Risk</v>
      </c>
      <c r="X935" t="str">
        <f>IF(Table1[[#This Row],[Performance
Rating]]&gt;=4, "High Performer", "Low Performer")</f>
        <v>High Performer</v>
      </c>
    </row>
    <row r="936" spans="2:24" x14ac:dyDescent="0.3">
      <c r="B936" t="s">
        <v>19</v>
      </c>
      <c r="C936" t="s">
        <v>25</v>
      </c>
      <c r="D936">
        <v>1</v>
      </c>
      <c r="E936" t="s">
        <v>21</v>
      </c>
      <c r="F936">
        <v>2</v>
      </c>
      <c r="G936" t="s">
        <v>26</v>
      </c>
      <c r="H936">
        <v>1</v>
      </c>
      <c r="I936">
        <v>4615</v>
      </c>
      <c r="J936">
        <v>23</v>
      </c>
      <c r="K936">
        <v>4</v>
      </c>
      <c r="L936">
        <v>3</v>
      </c>
      <c r="M936">
        <v>19</v>
      </c>
      <c r="N936">
        <v>2</v>
      </c>
      <c r="O936">
        <v>3</v>
      </c>
      <c r="P936">
        <v>16</v>
      </c>
      <c r="Q936">
        <v>13</v>
      </c>
      <c r="R936">
        <v>1</v>
      </c>
      <c r="S936" t="s">
        <v>34</v>
      </c>
      <c r="T936" t="s">
        <v>37</v>
      </c>
      <c r="U936" t="str">
        <f>IF(Table1[[#This Row],[YearsSince
LastPromotion]]&gt; 4, "Delayed", "Normal")</f>
        <v>Normal</v>
      </c>
      <c r="V936" t="str">
        <f>IF(Table1[[#This Row],[Years
InCurrentRole]]&gt;4, "Role Stagnent", "Normal")</f>
        <v>Role Stagnent</v>
      </c>
      <c r="W936" t="str">
        <f>IF(AND(Table1[[#This Row],[Years
InCurrentRole]]&gt; 4, Table1[[#This Row],[Performance
Rating]]&gt;=3), "High Risk", "Normal")</f>
        <v>High Risk</v>
      </c>
      <c r="X936" t="str">
        <f>IF(Table1[[#This Row],[Performance
Rating]]&gt;=4, "High Performer", "Low Performer")</f>
        <v>High Performer</v>
      </c>
    </row>
    <row r="937" spans="2:24" x14ac:dyDescent="0.3">
      <c r="B937" t="s">
        <v>19</v>
      </c>
      <c r="C937" t="s">
        <v>20</v>
      </c>
      <c r="D937">
        <v>1</v>
      </c>
      <c r="E937" t="s">
        <v>21</v>
      </c>
      <c r="F937">
        <v>4</v>
      </c>
      <c r="G937" t="s">
        <v>22</v>
      </c>
      <c r="H937">
        <v>4</v>
      </c>
      <c r="I937">
        <v>16064</v>
      </c>
      <c r="J937">
        <v>22</v>
      </c>
      <c r="K937">
        <v>4</v>
      </c>
      <c r="L937">
        <v>1</v>
      </c>
      <c r="M937">
        <v>22</v>
      </c>
      <c r="N937">
        <v>3</v>
      </c>
      <c r="O937">
        <v>3</v>
      </c>
      <c r="P937">
        <v>17</v>
      </c>
      <c r="Q937">
        <v>13</v>
      </c>
      <c r="R937">
        <v>1</v>
      </c>
      <c r="S937" t="s">
        <v>34</v>
      </c>
      <c r="T937" t="s">
        <v>37</v>
      </c>
      <c r="U937" t="str">
        <f>IF(Table1[[#This Row],[YearsSince
LastPromotion]]&gt; 4, "Delayed", "Normal")</f>
        <v>Normal</v>
      </c>
      <c r="V937" t="str">
        <f>IF(Table1[[#This Row],[Years
InCurrentRole]]&gt;4, "Role Stagnent", "Normal")</f>
        <v>Role Stagnent</v>
      </c>
      <c r="W937" t="str">
        <f>IF(AND(Table1[[#This Row],[Years
InCurrentRole]]&gt; 4, Table1[[#This Row],[Performance
Rating]]&gt;=3), "High Risk", "Normal")</f>
        <v>High Risk</v>
      </c>
      <c r="X937" t="str">
        <f>IF(Table1[[#This Row],[Performance
Rating]]&gt;=4, "High Performer", "Low Performer")</f>
        <v>High Performer</v>
      </c>
    </row>
    <row r="938" spans="2:24" x14ac:dyDescent="0.3">
      <c r="B938" t="s">
        <v>19</v>
      </c>
      <c r="C938" t="s">
        <v>20</v>
      </c>
      <c r="D938">
        <v>1</v>
      </c>
      <c r="E938" t="s">
        <v>28</v>
      </c>
      <c r="F938">
        <v>3</v>
      </c>
      <c r="G938" t="s">
        <v>32</v>
      </c>
      <c r="H938">
        <v>1</v>
      </c>
      <c r="I938">
        <v>10475</v>
      </c>
      <c r="J938">
        <v>21</v>
      </c>
      <c r="K938">
        <v>4</v>
      </c>
      <c r="L938">
        <v>1</v>
      </c>
      <c r="M938">
        <v>20</v>
      </c>
      <c r="N938">
        <v>2</v>
      </c>
      <c r="O938">
        <v>3</v>
      </c>
      <c r="P938">
        <v>18</v>
      </c>
      <c r="Q938">
        <v>13</v>
      </c>
      <c r="R938">
        <v>1</v>
      </c>
      <c r="S938" t="s">
        <v>34</v>
      </c>
      <c r="T938" t="s">
        <v>37</v>
      </c>
      <c r="U938" t="str">
        <f>IF(Table1[[#This Row],[YearsSince
LastPromotion]]&gt; 4, "Delayed", "Normal")</f>
        <v>Normal</v>
      </c>
      <c r="V938" t="str">
        <f>IF(Table1[[#This Row],[Years
InCurrentRole]]&gt;4, "Role Stagnent", "Normal")</f>
        <v>Role Stagnent</v>
      </c>
      <c r="W938" t="str">
        <f>IF(AND(Table1[[#This Row],[Years
InCurrentRole]]&gt; 4, Table1[[#This Row],[Performance
Rating]]&gt;=3), "High Risk", "Normal")</f>
        <v>High Risk</v>
      </c>
      <c r="X938" t="str">
        <f>IF(Table1[[#This Row],[Performance
Rating]]&gt;=4, "High Performer", "Low Performer")</f>
        <v>High Performer</v>
      </c>
    </row>
    <row r="939" spans="2:24" x14ac:dyDescent="0.3">
      <c r="B939" t="s">
        <v>19</v>
      </c>
      <c r="C939" t="s">
        <v>25</v>
      </c>
      <c r="D939">
        <v>1</v>
      </c>
      <c r="E939" t="s">
        <v>28</v>
      </c>
      <c r="F939">
        <v>2</v>
      </c>
      <c r="G939" t="s">
        <v>26</v>
      </c>
      <c r="H939">
        <v>1</v>
      </c>
      <c r="I939">
        <v>5208</v>
      </c>
      <c r="J939">
        <v>11</v>
      </c>
      <c r="K939">
        <v>3</v>
      </c>
      <c r="L939">
        <v>0</v>
      </c>
      <c r="M939">
        <v>16</v>
      </c>
      <c r="N939">
        <v>2</v>
      </c>
      <c r="O939">
        <v>3</v>
      </c>
      <c r="P939">
        <v>16</v>
      </c>
      <c r="Q939">
        <v>15</v>
      </c>
      <c r="R939">
        <v>1</v>
      </c>
      <c r="S939" t="s">
        <v>34</v>
      </c>
      <c r="T939" t="s">
        <v>37</v>
      </c>
      <c r="U939" t="str">
        <f>IF(Table1[[#This Row],[YearsSince
LastPromotion]]&gt; 4, "Delayed", "Normal")</f>
        <v>Normal</v>
      </c>
      <c r="V939" t="str">
        <f>IF(Table1[[#This Row],[Years
InCurrentRole]]&gt;4, "Role Stagnent", "Normal")</f>
        <v>Role Stagnent</v>
      </c>
      <c r="W939" t="str">
        <f>IF(AND(Table1[[#This Row],[Years
InCurrentRole]]&gt; 4, Table1[[#This Row],[Performance
Rating]]&gt;=3), "High Risk", "Normal")</f>
        <v>High Risk</v>
      </c>
      <c r="X939" t="str">
        <f>IF(Table1[[#This Row],[Performance
Rating]]&gt;=4, "High Performer", "Low Performer")</f>
        <v>Low Performer</v>
      </c>
    </row>
    <row r="940" spans="2:24" x14ac:dyDescent="0.3">
      <c r="B940" t="s">
        <v>19</v>
      </c>
      <c r="C940" t="s">
        <v>20</v>
      </c>
      <c r="D940">
        <v>1</v>
      </c>
      <c r="E940" t="s">
        <v>21</v>
      </c>
      <c r="F940">
        <v>5</v>
      </c>
      <c r="G940" t="s">
        <v>22</v>
      </c>
      <c r="H940">
        <v>3</v>
      </c>
      <c r="I940">
        <v>18041</v>
      </c>
      <c r="J940">
        <v>14</v>
      </c>
      <c r="K940">
        <v>3</v>
      </c>
      <c r="L940">
        <v>0</v>
      </c>
      <c r="M940">
        <v>21</v>
      </c>
      <c r="N940">
        <v>2</v>
      </c>
      <c r="O940">
        <v>3</v>
      </c>
      <c r="P940">
        <v>20</v>
      </c>
      <c r="Q940">
        <v>15</v>
      </c>
      <c r="R940">
        <v>1</v>
      </c>
      <c r="S940" t="s">
        <v>34</v>
      </c>
      <c r="T940" t="s">
        <v>37</v>
      </c>
      <c r="U940" t="str">
        <f>IF(Table1[[#This Row],[YearsSince
LastPromotion]]&gt; 4, "Delayed", "Normal")</f>
        <v>Normal</v>
      </c>
      <c r="V940" t="str">
        <f>IF(Table1[[#This Row],[Years
InCurrentRole]]&gt;4, "Role Stagnent", "Normal")</f>
        <v>Role Stagnent</v>
      </c>
      <c r="W940" t="str">
        <f>IF(AND(Table1[[#This Row],[Years
InCurrentRole]]&gt; 4, Table1[[#This Row],[Performance
Rating]]&gt;=3), "High Risk", "Normal")</f>
        <v>High Risk</v>
      </c>
      <c r="X940" t="str">
        <f>IF(Table1[[#This Row],[Performance
Rating]]&gt;=4, "High Performer", "Low Performer")</f>
        <v>Low Performer</v>
      </c>
    </row>
    <row r="941" spans="2:24" x14ac:dyDescent="0.3">
      <c r="B941" t="s">
        <v>19</v>
      </c>
      <c r="C941" t="s">
        <v>25</v>
      </c>
      <c r="D941">
        <v>1</v>
      </c>
      <c r="E941" t="s">
        <v>21</v>
      </c>
      <c r="F941">
        <v>3</v>
      </c>
      <c r="G941" t="s">
        <v>35</v>
      </c>
      <c r="H941">
        <v>3</v>
      </c>
      <c r="I941">
        <v>13206</v>
      </c>
      <c r="J941">
        <v>12</v>
      </c>
      <c r="K941">
        <v>3</v>
      </c>
      <c r="L941">
        <v>1</v>
      </c>
      <c r="M941">
        <v>20</v>
      </c>
      <c r="N941">
        <v>3</v>
      </c>
      <c r="O941">
        <v>3</v>
      </c>
      <c r="P941">
        <v>18</v>
      </c>
      <c r="Q941">
        <v>16</v>
      </c>
      <c r="R941">
        <v>1</v>
      </c>
      <c r="S941" t="s">
        <v>34</v>
      </c>
      <c r="T941" t="s">
        <v>37</v>
      </c>
      <c r="U941" t="str">
        <f>IF(Table1[[#This Row],[YearsSince
LastPromotion]]&gt; 4, "Delayed", "Normal")</f>
        <v>Normal</v>
      </c>
      <c r="V941" t="str">
        <f>IF(Table1[[#This Row],[Years
InCurrentRole]]&gt;4, "Role Stagnent", "Normal")</f>
        <v>Role Stagnent</v>
      </c>
      <c r="W941" t="str">
        <f>IF(AND(Table1[[#This Row],[Years
InCurrentRole]]&gt; 4, Table1[[#This Row],[Performance
Rating]]&gt;=3), "High Risk", "Normal")</f>
        <v>High Risk</v>
      </c>
      <c r="X941" t="str">
        <f>IF(Table1[[#This Row],[Performance
Rating]]&gt;=4, "High Performer", "Low Performer")</f>
        <v>Low Performer</v>
      </c>
    </row>
    <row r="942" spans="2:24" x14ac:dyDescent="0.3">
      <c r="B942" t="s">
        <v>27</v>
      </c>
      <c r="C942" t="s">
        <v>25</v>
      </c>
      <c r="D942">
        <v>1</v>
      </c>
      <c r="E942" t="s">
        <v>28</v>
      </c>
      <c r="F942">
        <v>1</v>
      </c>
      <c r="G942" t="s">
        <v>26</v>
      </c>
      <c r="H942">
        <v>4</v>
      </c>
      <c r="I942">
        <v>2293</v>
      </c>
      <c r="J942">
        <v>16</v>
      </c>
      <c r="K942">
        <v>3</v>
      </c>
      <c r="L942">
        <v>1</v>
      </c>
      <c r="M942">
        <v>6</v>
      </c>
      <c r="N942">
        <v>2</v>
      </c>
      <c r="O942">
        <v>2</v>
      </c>
      <c r="P942">
        <v>2</v>
      </c>
      <c r="Q942">
        <v>0</v>
      </c>
      <c r="R942">
        <v>2</v>
      </c>
      <c r="S942" t="s">
        <v>23</v>
      </c>
      <c r="T942" t="s">
        <v>24</v>
      </c>
      <c r="U942" t="str">
        <f>IF(Table1[[#This Row],[YearsSince
LastPromotion]]&gt; 4, "Delayed", "Normal")</f>
        <v>Normal</v>
      </c>
      <c r="V942" t="str">
        <f>IF(Table1[[#This Row],[Years
InCurrentRole]]&gt;4, "Role Stagnent", "Normal")</f>
        <v>Normal</v>
      </c>
      <c r="W942" t="str">
        <f>IF(AND(Table1[[#This Row],[Years
InCurrentRole]]&gt; 4, Table1[[#This Row],[Performance
Rating]]&gt;=3), "High Risk", "Normal")</f>
        <v>Normal</v>
      </c>
      <c r="X942" t="str">
        <f>IF(Table1[[#This Row],[Performance
Rating]]&gt;=4, "High Performer", "Low Performer")</f>
        <v>Low Performer</v>
      </c>
    </row>
    <row r="943" spans="2:24" x14ac:dyDescent="0.3">
      <c r="B943" t="s">
        <v>27</v>
      </c>
      <c r="C943" t="s">
        <v>20</v>
      </c>
      <c r="D943">
        <v>1</v>
      </c>
      <c r="E943" t="s">
        <v>21</v>
      </c>
      <c r="F943">
        <v>2</v>
      </c>
      <c r="G943" t="s">
        <v>32</v>
      </c>
      <c r="H943">
        <v>3</v>
      </c>
      <c r="I943">
        <v>9854</v>
      </c>
      <c r="J943">
        <v>11</v>
      </c>
      <c r="K943">
        <v>3</v>
      </c>
      <c r="L943">
        <v>0</v>
      </c>
      <c r="M943">
        <v>6</v>
      </c>
      <c r="N943">
        <v>0</v>
      </c>
      <c r="O943">
        <v>3</v>
      </c>
      <c r="P943">
        <v>2</v>
      </c>
      <c r="Q943">
        <v>0</v>
      </c>
      <c r="R943">
        <v>2</v>
      </c>
      <c r="S943" t="s">
        <v>34</v>
      </c>
      <c r="T943" t="s">
        <v>24</v>
      </c>
      <c r="U943" t="str">
        <f>IF(Table1[[#This Row],[YearsSince
LastPromotion]]&gt; 4, "Delayed", "Normal")</f>
        <v>Normal</v>
      </c>
      <c r="V943" t="str">
        <f>IF(Table1[[#This Row],[Years
InCurrentRole]]&gt;4, "Role Stagnent", "Normal")</f>
        <v>Normal</v>
      </c>
      <c r="W943" t="str">
        <f>IF(AND(Table1[[#This Row],[Years
InCurrentRole]]&gt; 4, Table1[[#This Row],[Performance
Rating]]&gt;=3), "High Risk", "Normal")</f>
        <v>Normal</v>
      </c>
      <c r="X943" t="str">
        <f>IF(Table1[[#This Row],[Performance
Rating]]&gt;=4, "High Performer", "Low Performer")</f>
        <v>Low Performer</v>
      </c>
    </row>
    <row r="944" spans="2:24" x14ac:dyDescent="0.3">
      <c r="B944" t="s">
        <v>19</v>
      </c>
      <c r="C944" t="s">
        <v>25</v>
      </c>
      <c r="D944">
        <v>1</v>
      </c>
      <c r="E944" t="s">
        <v>21</v>
      </c>
      <c r="F944">
        <v>3</v>
      </c>
      <c r="G944" t="s">
        <v>33</v>
      </c>
      <c r="H944">
        <v>2</v>
      </c>
      <c r="I944">
        <v>8376</v>
      </c>
      <c r="J944">
        <v>18</v>
      </c>
      <c r="K944">
        <v>3</v>
      </c>
      <c r="L944">
        <v>0</v>
      </c>
      <c r="M944">
        <v>9</v>
      </c>
      <c r="N944">
        <v>3</v>
      </c>
      <c r="O944">
        <v>3</v>
      </c>
      <c r="P944">
        <v>2</v>
      </c>
      <c r="Q944">
        <v>0</v>
      </c>
      <c r="R944">
        <v>2</v>
      </c>
      <c r="S944" t="s">
        <v>34</v>
      </c>
      <c r="T944" t="s">
        <v>24</v>
      </c>
      <c r="U944" t="str">
        <f>IF(Table1[[#This Row],[YearsSince
LastPromotion]]&gt; 4, "Delayed", "Normal")</f>
        <v>Normal</v>
      </c>
      <c r="V944" t="str">
        <f>IF(Table1[[#This Row],[Years
InCurrentRole]]&gt;4, "Role Stagnent", "Normal")</f>
        <v>Normal</v>
      </c>
      <c r="W944" t="str">
        <f>IF(AND(Table1[[#This Row],[Years
InCurrentRole]]&gt; 4, Table1[[#This Row],[Performance
Rating]]&gt;=3), "High Risk", "Normal")</f>
        <v>Normal</v>
      </c>
      <c r="X944" t="str">
        <f>IF(Table1[[#This Row],[Performance
Rating]]&gt;=4, "High Performer", "Low Performer")</f>
        <v>Low Performer</v>
      </c>
    </row>
    <row r="945" spans="2:24" x14ac:dyDescent="0.3">
      <c r="B945" t="s">
        <v>19</v>
      </c>
      <c r="C945" t="s">
        <v>20</v>
      </c>
      <c r="D945">
        <v>1</v>
      </c>
      <c r="E945" t="s">
        <v>28</v>
      </c>
      <c r="F945">
        <v>4</v>
      </c>
      <c r="G945" t="s">
        <v>32</v>
      </c>
      <c r="H945">
        <v>4</v>
      </c>
      <c r="I945">
        <v>11836</v>
      </c>
      <c r="J945">
        <v>14</v>
      </c>
      <c r="K945">
        <v>3</v>
      </c>
      <c r="L945">
        <v>1</v>
      </c>
      <c r="M945">
        <v>28</v>
      </c>
      <c r="N945">
        <v>3</v>
      </c>
      <c r="O945">
        <v>3</v>
      </c>
      <c r="P945">
        <v>2</v>
      </c>
      <c r="Q945">
        <v>0</v>
      </c>
      <c r="R945">
        <v>2</v>
      </c>
      <c r="S945" t="s">
        <v>34</v>
      </c>
      <c r="T945" t="s">
        <v>24</v>
      </c>
      <c r="U945" t="str">
        <f>IF(Table1[[#This Row],[YearsSince
LastPromotion]]&gt; 4, "Delayed", "Normal")</f>
        <v>Normal</v>
      </c>
      <c r="V945" t="str">
        <f>IF(Table1[[#This Row],[Years
InCurrentRole]]&gt;4, "Role Stagnent", "Normal")</f>
        <v>Normal</v>
      </c>
      <c r="W945" t="str">
        <f>IF(AND(Table1[[#This Row],[Years
InCurrentRole]]&gt; 4, Table1[[#This Row],[Performance
Rating]]&gt;=3), "High Risk", "Normal")</f>
        <v>Normal</v>
      </c>
      <c r="X945" t="str">
        <f>IF(Table1[[#This Row],[Performance
Rating]]&gt;=4, "High Performer", "Low Performer")</f>
        <v>Low Performer</v>
      </c>
    </row>
    <row r="946" spans="2:24" x14ac:dyDescent="0.3">
      <c r="B946" t="s">
        <v>19</v>
      </c>
      <c r="C946" t="s">
        <v>25</v>
      </c>
      <c r="D946">
        <v>1</v>
      </c>
      <c r="E946" t="s">
        <v>28</v>
      </c>
      <c r="F946">
        <v>2</v>
      </c>
      <c r="G946" t="s">
        <v>31</v>
      </c>
      <c r="H946">
        <v>1</v>
      </c>
      <c r="I946">
        <v>5033</v>
      </c>
      <c r="J946">
        <v>15</v>
      </c>
      <c r="K946">
        <v>3</v>
      </c>
      <c r="L946">
        <v>1</v>
      </c>
      <c r="M946">
        <v>10</v>
      </c>
      <c r="N946">
        <v>5</v>
      </c>
      <c r="O946">
        <v>3</v>
      </c>
      <c r="P946">
        <v>2</v>
      </c>
      <c r="Q946">
        <v>0</v>
      </c>
      <c r="R946">
        <v>2</v>
      </c>
      <c r="S946" t="s">
        <v>34</v>
      </c>
      <c r="T946" t="s">
        <v>24</v>
      </c>
      <c r="U946" t="str">
        <f>IF(Table1[[#This Row],[YearsSince
LastPromotion]]&gt; 4, "Delayed", "Normal")</f>
        <v>Normal</v>
      </c>
      <c r="V946" t="str">
        <f>IF(Table1[[#This Row],[Years
InCurrentRole]]&gt;4, "Role Stagnent", "Normal")</f>
        <v>Normal</v>
      </c>
      <c r="W946" t="str">
        <f>IF(AND(Table1[[#This Row],[Years
InCurrentRole]]&gt; 4, Table1[[#This Row],[Performance
Rating]]&gt;=3), "High Risk", "Normal")</f>
        <v>Normal</v>
      </c>
      <c r="X946" t="str">
        <f>IF(Table1[[#This Row],[Performance
Rating]]&gt;=4, "High Performer", "Low Performer")</f>
        <v>Low Performer</v>
      </c>
    </row>
    <row r="947" spans="2:24" x14ac:dyDescent="0.3">
      <c r="B947" t="s">
        <v>19</v>
      </c>
      <c r="C947" t="s">
        <v>25</v>
      </c>
      <c r="D947">
        <v>1</v>
      </c>
      <c r="E947" t="s">
        <v>28</v>
      </c>
      <c r="F947">
        <v>3</v>
      </c>
      <c r="G947" t="s">
        <v>31</v>
      </c>
      <c r="H947">
        <v>1</v>
      </c>
      <c r="I947">
        <v>9884</v>
      </c>
      <c r="J947">
        <v>13</v>
      </c>
      <c r="K947">
        <v>3</v>
      </c>
      <c r="L947">
        <v>1</v>
      </c>
      <c r="M947">
        <v>10</v>
      </c>
      <c r="N947">
        <v>3</v>
      </c>
      <c r="O947">
        <v>3</v>
      </c>
      <c r="P947">
        <v>4</v>
      </c>
      <c r="Q947">
        <v>0</v>
      </c>
      <c r="R947">
        <v>2</v>
      </c>
      <c r="S947" t="s">
        <v>34</v>
      </c>
      <c r="T947" t="s">
        <v>38</v>
      </c>
      <c r="U947" t="str">
        <f>IF(Table1[[#This Row],[YearsSince
LastPromotion]]&gt; 4, "Delayed", "Normal")</f>
        <v>Normal</v>
      </c>
      <c r="V947" t="str">
        <f>IF(Table1[[#This Row],[Years
InCurrentRole]]&gt;4, "Role Stagnent", "Normal")</f>
        <v>Normal</v>
      </c>
      <c r="W947" t="str">
        <f>IF(AND(Table1[[#This Row],[Years
InCurrentRole]]&gt; 4, Table1[[#This Row],[Performance
Rating]]&gt;=3), "High Risk", "Normal")</f>
        <v>Normal</v>
      </c>
      <c r="X947" t="str">
        <f>IF(Table1[[#This Row],[Performance
Rating]]&gt;=4, "High Performer", "Low Performer")</f>
        <v>Low Performer</v>
      </c>
    </row>
    <row r="948" spans="2:24" x14ac:dyDescent="0.3">
      <c r="B948" t="s">
        <v>27</v>
      </c>
      <c r="C948" t="s">
        <v>25</v>
      </c>
      <c r="D948">
        <v>1</v>
      </c>
      <c r="E948" t="s">
        <v>28</v>
      </c>
      <c r="F948">
        <v>1</v>
      </c>
      <c r="G948" t="s">
        <v>26</v>
      </c>
      <c r="H948">
        <v>3</v>
      </c>
      <c r="I948">
        <v>2461</v>
      </c>
      <c r="J948">
        <v>12</v>
      </c>
      <c r="K948">
        <v>3</v>
      </c>
      <c r="L948">
        <v>3</v>
      </c>
      <c r="M948">
        <v>18</v>
      </c>
      <c r="N948">
        <v>2</v>
      </c>
      <c r="O948">
        <v>4</v>
      </c>
      <c r="P948">
        <v>10</v>
      </c>
      <c r="Q948">
        <v>0</v>
      </c>
      <c r="R948">
        <v>2</v>
      </c>
      <c r="S948" t="s">
        <v>34</v>
      </c>
      <c r="T948" t="s">
        <v>37</v>
      </c>
      <c r="U948" t="str">
        <f>IF(Table1[[#This Row],[YearsSince
LastPromotion]]&gt; 4, "Delayed", "Normal")</f>
        <v>Normal</v>
      </c>
      <c r="V948" t="str">
        <f>IF(Table1[[#This Row],[Years
InCurrentRole]]&gt;4, "Role Stagnent", "Normal")</f>
        <v>Normal</v>
      </c>
      <c r="W948" t="str">
        <f>IF(AND(Table1[[#This Row],[Years
InCurrentRole]]&gt; 4, Table1[[#This Row],[Performance
Rating]]&gt;=3), "High Risk", "Normal")</f>
        <v>Normal</v>
      </c>
      <c r="X948" t="str">
        <f>IF(Table1[[#This Row],[Performance
Rating]]&gt;=4, "High Performer", "Low Performer")</f>
        <v>Low Performer</v>
      </c>
    </row>
    <row r="949" spans="2:24" x14ac:dyDescent="0.3">
      <c r="B949" t="s">
        <v>19</v>
      </c>
      <c r="C949" t="s">
        <v>20</v>
      </c>
      <c r="D949">
        <v>1</v>
      </c>
      <c r="E949" t="s">
        <v>28</v>
      </c>
      <c r="F949">
        <v>2</v>
      </c>
      <c r="G949" t="s">
        <v>32</v>
      </c>
      <c r="H949">
        <v>3</v>
      </c>
      <c r="I949">
        <v>5301</v>
      </c>
      <c r="J949">
        <v>15</v>
      </c>
      <c r="K949">
        <v>3</v>
      </c>
      <c r="L949">
        <v>2</v>
      </c>
      <c r="M949">
        <v>4</v>
      </c>
      <c r="N949">
        <v>2</v>
      </c>
      <c r="O949">
        <v>2</v>
      </c>
      <c r="P949">
        <v>2</v>
      </c>
      <c r="Q949">
        <v>1</v>
      </c>
      <c r="R949">
        <v>2</v>
      </c>
      <c r="S949" t="s">
        <v>23</v>
      </c>
      <c r="T949" t="s">
        <v>24</v>
      </c>
      <c r="U949" t="str">
        <f>IF(Table1[[#This Row],[YearsSince
LastPromotion]]&gt; 4, "Delayed", "Normal")</f>
        <v>Normal</v>
      </c>
      <c r="V949" t="str">
        <f>IF(Table1[[#This Row],[Years
InCurrentRole]]&gt;4, "Role Stagnent", "Normal")</f>
        <v>Normal</v>
      </c>
      <c r="W949" t="str">
        <f>IF(AND(Table1[[#This Row],[Years
InCurrentRole]]&gt; 4, Table1[[#This Row],[Performance
Rating]]&gt;=3), "High Risk", "Normal")</f>
        <v>Normal</v>
      </c>
      <c r="X949" t="str">
        <f>IF(Table1[[#This Row],[Performance
Rating]]&gt;=4, "High Performer", "Low Performer")</f>
        <v>Low Performer</v>
      </c>
    </row>
    <row r="950" spans="2:24" x14ac:dyDescent="0.3">
      <c r="B950" t="s">
        <v>19</v>
      </c>
      <c r="C950" t="s">
        <v>20</v>
      </c>
      <c r="D950">
        <v>1</v>
      </c>
      <c r="E950" t="s">
        <v>28</v>
      </c>
      <c r="F950">
        <v>1</v>
      </c>
      <c r="G950" t="s">
        <v>30</v>
      </c>
      <c r="H950">
        <v>4</v>
      </c>
      <c r="I950">
        <v>2678</v>
      </c>
      <c r="J950">
        <v>17</v>
      </c>
      <c r="K950">
        <v>3</v>
      </c>
      <c r="L950">
        <v>0</v>
      </c>
      <c r="M950">
        <v>2</v>
      </c>
      <c r="N950">
        <v>2</v>
      </c>
      <c r="O950">
        <v>3</v>
      </c>
      <c r="P950">
        <v>2</v>
      </c>
      <c r="Q950">
        <v>1</v>
      </c>
      <c r="R950">
        <v>2</v>
      </c>
      <c r="S950" t="s">
        <v>34</v>
      </c>
      <c r="T950" t="s">
        <v>24</v>
      </c>
      <c r="U950" t="str">
        <f>IF(Table1[[#This Row],[YearsSince
LastPromotion]]&gt; 4, "Delayed", "Normal")</f>
        <v>Normal</v>
      </c>
      <c r="V950" t="str">
        <f>IF(Table1[[#This Row],[Years
InCurrentRole]]&gt;4, "Role Stagnent", "Normal")</f>
        <v>Normal</v>
      </c>
      <c r="W950" t="str">
        <f>IF(AND(Table1[[#This Row],[Years
InCurrentRole]]&gt; 4, Table1[[#This Row],[Performance
Rating]]&gt;=3), "High Risk", "Normal")</f>
        <v>Normal</v>
      </c>
      <c r="X950" t="str">
        <f>IF(Table1[[#This Row],[Performance
Rating]]&gt;=4, "High Performer", "Low Performer")</f>
        <v>Low Performer</v>
      </c>
    </row>
    <row r="951" spans="2:24" x14ac:dyDescent="0.3">
      <c r="B951" t="s">
        <v>19</v>
      </c>
      <c r="C951" t="s">
        <v>25</v>
      </c>
      <c r="D951">
        <v>1</v>
      </c>
      <c r="E951" t="s">
        <v>28</v>
      </c>
      <c r="F951">
        <v>1</v>
      </c>
      <c r="G951" t="s">
        <v>29</v>
      </c>
      <c r="H951">
        <v>4</v>
      </c>
      <c r="I951">
        <v>2523</v>
      </c>
      <c r="J951">
        <v>14</v>
      </c>
      <c r="K951">
        <v>3</v>
      </c>
      <c r="L951">
        <v>1</v>
      </c>
      <c r="M951">
        <v>3</v>
      </c>
      <c r="N951">
        <v>2</v>
      </c>
      <c r="O951">
        <v>3</v>
      </c>
      <c r="P951">
        <v>2</v>
      </c>
      <c r="Q951">
        <v>1</v>
      </c>
      <c r="R951">
        <v>2</v>
      </c>
      <c r="S951" t="s">
        <v>34</v>
      </c>
      <c r="T951" t="s">
        <v>24</v>
      </c>
      <c r="U951" t="str">
        <f>IF(Table1[[#This Row],[YearsSince
LastPromotion]]&gt; 4, "Delayed", "Normal")</f>
        <v>Normal</v>
      </c>
      <c r="V951" t="str">
        <f>IF(Table1[[#This Row],[Years
InCurrentRole]]&gt;4, "Role Stagnent", "Normal")</f>
        <v>Normal</v>
      </c>
      <c r="W951" t="str">
        <f>IF(AND(Table1[[#This Row],[Years
InCurrentRole]]&gt; 4, Table1[[#This Row],[Performance
Rating]]&gt;=3), "High Risk", "Normal")</f>
        <v>Normal</v>
      </c>
      <c r="X951" t="str">
        <f>IF(Table1[[#This Row],[Performance
Rating]]&gt;=4, "High Performer", "Low Performer")</f>
        <v>Low Performer</v>
      </c>
    </row>
    <row r="952" spans="2:24" x14ac:dyDescent="0.3">
      <c r="B952" t="s">
        <v>19</v>
      </c>
      <c r="C952" t="s">
        <v>25</v>
      </c>
      <c r="D952">
        <v>1</v>
      </c>
      <c r="E952" t="s">
        <v>28</v>
      </c>
      <c r="F952">
        <v>1</v>
      </c>
      <c r="G952" t="s">
        <v>26</v>
      </c>
      <c r="H952">
        <v>4</v>
      </c>
      <c r="I952">
        <v>2515</v>
      </c>
      <c r="J952">
        <v>14</v>
      </c>
      <c r="K952">
        <v>3</v>
      </c>
      <c r="L952">
        <v>0</v>
      </c>
      <c r="M952">
        <v>8</v>
      </c>
      <c r="N952">
        <v>2</v>
      </c>
      <c r="O952">
        <v>3</v>
      </c>
      <c r="P952">
        <v>2</v>
      </c>
      <c r="Q952">
        <v>1</v>
      </c>
      <c r="R952">
        <v>2</v>
      </c>
      <c r="S952" t="s">
        <v>34</v>
      </c>
      <c r="T952" t="s">
        <v>24</v>
      </c>
      <c r="U952" t="str">
        <f>IF(Table1[[#This Row],[YearsSince
LastPromotion]]&gt; 4, "Delayed", "Normal")</f>
        <v>Normal</v>
      </c>
      <c r="V952" t="str">
        <f>IF(Table1[[#This Row],[Years
InCurrentRole]]&gt;4, "Role Stagnent", "Normal")</f>
        <v>Normal</v>
      </c>
      <c r="W952" t="str">
        <f>IF(AND(Table1[[#This Row],[Years
InCurrentRole]]&gt; 4, Table1[[#This Row],[Performance
Rating]]&gt;=3), "High Risk", "Normal")</f>
        <v>Normal</v>
      </c>
      <c r="X952" t="str">
        <f>IF(Table1[[#This Row],[Performance
Rating]]&gt;=4, "High Performer", "Low Performer")</f>
        <v>Low Performer</v>
      </c>
    </row>
    <row r="953" spans="2:24" x14ac:dyDescent="0.3">
      <c r="B953" t="s">
        <v>19</v>
      </c>
      <c r="C953" t="s">
        <v>25</v>
      </c>
      <c r="D953">
        <v>1</v>
      </c>
      <c r="E953" t="s">
        <v>28</v>
      </c>
      <c r="F953">
        <v>5</v>
      </c>
      <c r="G953" t="s">
        <v>35</v>
      </c>
      <c r="H953">
        <v>4</v>
      </c>
      <c r="I953">
        <v>19328</v>
      </c>
      <c r="J953">
        <v>17</v>
      </c>
      <c r="K953">
        <v>3</v>
      </c>
      <c r="L953">
        <v>1</v>
      </c>
      <c r="M953">
        <v>24</v>
      </c>
      <c r="N953">
        <v>3</v>
      </c>
      <c r="O953">
        <v>3</v>
      </c>
      <c r="P953">
        <v>2</v>
      </c>
      <c r="Q953">
        <v>1</v>
      </c>
      <c r="R953">
        <v>2</v>
      </c>
      <c r="S953" t="s">
        <v>34</v>
      </c>
      <c r="T953" t="s">
        <v>24</v>
      </c>
      <c r="U953" t="str">
        <f>IF(Table1[[#This Row],[YearsSince
LastPromotion]]&gt; 4, "Delayed", "Normal")</f>
        <v>Normal</v>
      </c>
      <c r="V953" t="str">
        <f>IF(Table1[[#This Row],[Years
InCurrentRole]]&gt;4, "Role Stagnent", "Normal")</f>
        <v>Normal</v>
      </c>
      <c r="W953" t="str">
        <f>IF(AND(Table1[[#This Row],[Years
InCurrentRole]]&gt; 4, Table1[[#This Row],[Performance
Rating]]&gt;=3), "High Risk", "Normal")</f>
        <v>Normal</v>
      </c>
      <c r="X953" t="str">
        <f>IF(Table1[[#This Row],[Performance
Rating]]&gt;=4, "High Performer", "Low Performer")</f>
        <v>Low Performer</v>
      </c>
    </row>
    <row r="954" spans="2:24" x14ac:dyDescent="0.3">
      <c r="B954" t="s">
        <v>19</v>
      </c>
      <c r="C954" t="s">
        <v>20</v>
      </c>
      <c r="D954">
        <v>1</v>
      </c>
      <c r="E954" t="s">
        <v>28</v>
      </c>
      <c r="F954">
        <v>2</v>
      </c>
      <c r="G954" t="s">
        <v>32</v>
      </c>
      <c r="H954">
        <v>4</v>
      </c>
      <c r="I954">
        <v>4127</v>
      </c>
      <c r="J954">
        <v>18</v>
      </c>
      <c r="K954">
        <v>3</v>
      </c>
      <c r="L954">
        <v>1</v>
      </c>
      <c r="M954">
        <v>7</v>
      </c>
      <c r="N954">
        <v>6</v>
      </c>
      <c r="O954">
        <v>3</v>
      </c>
      <c r="P954">
        <v>2</v>
      </c>
      <c r="Q954">
        <v>1</v>
      </c>
      <c r="R954">
        <v>2</v>
      </c>
      <c r="S954" t="s">
        <v>34</v>
      </c>
      <c r="T954" t="s">
        <v>24</v>
      </c>
      <c r="U954" t="str">
        <f>IF(Table1[[#This Row],[YearsSince
LastPromotion]]&gt; 4, "Delayed", "Normal")</f>
        <v>Normal</v>
      </c>
      <c r="V954" t="str">
        <f>IF(Table1[[#This Row],[Years
InCurrentRole]]&gt;4, "Role Stagnent", "Normal")</f>
        <v>Normal</v>
      </c>
      <c r="W954" t="str">
        <f>IF(AND(Table1[[#This Row],[Years
InCurrentRole]]&gt; 4, Table1[[#This Row],[Performance
Rating]]&gt;=3), "High Risk", "Normal")</f>
        <v>Normal</v>
      </c>
      <c r="X954" t="str">
        <f>IF(Table1[[#This Row],[Performance
Rating]]&gt;=4, "High Performer", "Low Performer")</f>
        <v>Low Performer</v>
      </c>
    </row>
    <row r="955" spans="2:24" x14ac:dyDescent="0.3">
      <c r="B955" t="s">
        <v>19</v>
      </c>
      <c r="C955" t="s">
        <v>25</v>
      </c>
      <c r="D955">
        <v>1</v>
      </c>
      <c r="E955" t="s">
        <v>21</v>
      </c>
      <c r="F955">
        <v>2</v>
      </c>
      <c r="G955" t="s">
        <v>26</v>
      </c>
      <c r="H955">
        <v>2</v>
      </c>
      <c r="I955">
        <v>5878</v>
      </c>
      <c r="J955">
        <v>12</v>
      </c>
      <c r="K955">
        <v>3</v>
      </c>
      <c r="L955">
        <v>1</v>
      </c>
      <c r="M955">
        <v>12</v>
      </c>
      <c r="N955">
        <v>2</v>
      </c>
      <c r="O955">
        <v>3</v>
      </c>
      <c r="P955">
        <v>7</v>
      </c>
      <c r="Q955">
        <v>1</v>
      </c>
      <c r="R955">
        <v>2</v>
      </c>
      <c r="S955" t="s">
        <v>34</v>
      </c>
      <c r="T955" t="s">
        <v>37</v>
      </c>
      <c r="U955" t="str">
        <f>IF(Table1[[#This Row],[YearsSince
LastPromotion]]&gt; 4, "Delayed", "Normal")</f>
        <v>Normal</v>
      </c>
      <c r="V955" t="str">
        <f>IF(Table1[[#This Row],[Years
InCurrentRole]]&gt;4, "Role Stagnent", "Normal")</f>
        <v>Normal</v>
      </c>
      <c r="W955" t="str">
        <f>IF(AND(Table1[[#This Row],[Years
InCurrentRole]]&gt; 4, Table1[[#This Row],[Performance
Rating]]&gt;=3), "High Risk", "Normal")</f>
        <v>Normal</v>
      </c>
      <c r="X955" t="str">
        <f>IF(Table1[[#This Row],[Performance
Rating]]&gt;=4, "High Performer", "Low Performer")</f>
        <v>Low Performer</v>
      </c>
    </row>
    <row r="956" spans="2:24" x14ac:dyDescent="0.3">
      <c r="B956" t="s">
        <v>19</v>
      </c>
      <c r="C956" t="s">
        <v>25</v>
      </c>
      <c r="D956">
        <v>1</v>
      </c>
      <c r="E956" t="s">
        <v>28</v>
      </c>
      <c r="F956">
        <v>1</v>
      </c>
      <c r="G956" t="s">
        <v>26</v>
      </c>
      <c r="H956">
        <v>2</v>
      </c>
      <c r="I956">
        <v>2024</v>
      </c>
      <c r="J956">
        <v>18</v>
      </c>
      <c r="K956">
        <v>3</v>
      </c>
      <c r="L956">
        <v>1</v>
      </c>
      <c r="M956">
        <v>6</v>
      </c>
      <c r="N956">
        <v>1</v>
      </c>
      <c r="O956">
        <v>1</v>
      </c>
      <c r="P956">
        <v>2</v>
      </c>
      <c r="Q956">
        <v>2</v>
      </c>
      <c r="R956">
        <v>2</v>
      </c>
      <c r="S956" t="s">
        <v>23</v>
      </c>
      <c r="T956" t="s">
        <v>24</v>
      </c>
      <c r="U956" t="str">
        <f>IF(Table1[[#This Row],[YearsSince
LastPromotion]]&gt; 4, "Delayed", "Normal")</f>
        <v>Normal</v>
      </c>
      <c r="V956" t="str">
        <f>IF(Table1[[#This Row],[Years
InCurrentRole]]&gt;4, "Role Stagnent", "Normal")</f>
        <v>Normal</v>
      </c>
      <c r="W956" t="str">
        <f>IF(AND(Table1[[#This Row],[Years
InCurrentRole]]&gt; 4, Table1[[#This Row],[Performance
Rating]]&gt;=3), "High Risk", "Normal")</f>
        <v>Normal</v>
      </c>
      <c r="X956" t="str">
        <f>IF(Table1[[#This Row],[Performance
Rating]]&gt;=4, "High Performer", "Low Performer")</f>
        <v>Low Performer</v>
      </c>
    </row>
    <row r="957" spans="2:24" x14ac:dyDescent="0.3">
      <c r="B957" t="s">
        <v>27</v>
      </c>
      <c r="C957" t="s">
        <v>25</v>
      </c>
      <c r="D957">
        <v>1</v>
      </c>
      <c r="E957" t="s">
        <v>21</v>
      </c>
      <c r="F957">
        <v>1</v>
      </c>
      <c r="G957" t="s">
        <v>29</v>
      </c>
      <c r="H957">
        <v>3</v>
      </c>
      <c r="I957">
        <v>2625</v>
      </c>
      <c r="J957">
        <v>20</v>
      </c>
      <c r="K957">
        <v>4</v>
      </c>
      <c r="L957">
        <v>0</v>
      </c>
      <c r="M957">
        <v>2</v>
      </c>
      <c r="N957">
        <v>2</v>
      </c>
      <c r="O957">
        <v>1</v>
      </c>
      <c r="P957">
        <v>2</v>
      </c>
      <c r="Q957">
        <v>2</v>
      </c>
      <c r="R957">
        <v>2</v>
      </c>
      <c r="S957" t="s">
        <v>23</v>
      </c>
      <c r="T957" t="s">
        <v>24</v>
      </c>
      <c r="U957" t="str">
        <f>IF(Table1[[#This Row],[YearsSince
LastPromotion]]&gt; 4, "Delayed", "Normal")</f>
        <v>Normal</v>
      </c>
      <c r="V957" t="str">
        <f>IF(Table1[[#This Row],[Years
InCurrentRole]]&gt;4, "Role Stagnent", "Normal")</f>
        <v>Normal</v>
      </c>
      <c r="W957" t="str">
        <f>IF(AND(Table1[[#This Row],[Years
InCurrentRole]]&gt; 4, Table1[[#This Row],[Performance
Rating]]&gt;=3), "High Risk", "Normal")</f>
        <v>Normal</v>
      </c>
      <c r="X957" t="str">
        <f>IF(Table1[[#This Row],[Performance
Rating]]&gt;=4, "High Performer", "Low Performer")</f>
        <v>High Performer</v>
      </c>
    </row>
    <row r="958" spans="2:24" x14ac:dyDescent="0.3">
      <c r="B958" t="s">
        <v>19</v>
      </c>
      <c r="C958" t="s">
        <v>25</v>
      </c>
      <c r="D958">
        <v>1</v>
      </c>
      <c r="E958" t="s">
        <v>28</v>
      </c>
      <c r="F958">
        <v>1</v>
      </c>
      <c r="G958" t="s">
        <v>26</v>
      </c>
      <c r="H958">
        <v>4</v>
      </c>
      <c r="I958">
        <v>2695</v>
      </c>
      <c r="J958">
        <v>18</v>
      </c>
      <c r="K958">
        <v>3</v>
      </c>
      <c r="L958">
        <v>1</v>
      </c>
      <c r="M958">
        <v>3</v>
      </c>
      <c r="N958">
        <v>2</v>
      </c>
      <c r="O958">
        <v>1</v>
      </c>
      <c r="P958">
        <v>2</v>
      </c>
      <c r="Q958">
        <v>2</v>
      </c>
      <c r="R958">
        <v>2</v>
      </c>
      <c r="S958" t="s">
        <v>23</v>
      </c>
      <c r="T958" t="s">
        <v>24</v>
      </c>
      <c r="U958" t="str">
        <f>IF(Table1[[#This Row],[YearsSince
LastPromotion]]&gt; 4, "Delayed", "Normal")</f>
        <v>Normal</v>
      </c>
      <c r="V958" t="str">
        <f>IF(Table1[[#This Row],[Years
InCurrentRole]]&gt;4, "Role Stagnent", "Normal")</f>
        <v>Normal</v>
      </c>
      <c r="W958" t="str">
        <f>IF(AND(Table1[[#This Row],[Years
InCurrentRole]]&gt; 4, Table1[[#This Row],[Performance
Rating]]&gt;=3), "High Risk", "Normal")</f>
        <v>Normal</v>
      </c>
      <c r="X958" t="str">
        <f>IF(Table1[[#This Row],[Performance
Rating]]&gt;=4, "High Performer", "Low Performer")</f>
        <v>Low Performer</v>
      </c>
    </row>
    <row r="959" spans="2:24" x14ac:dyDescent="0.3">
      <c r="B959" t="s">
        <v>19</v>
      </c>
      <c r="C959" t="s">
        <v>25</v>
      </c>
      <c r="D959">
        <v>1</v>
      </c>
      <c r="E959" t="s">
        <v>28</v>
      </c>
      <c r="F959">
        <v>2</v>
      </c>
      <c r="G959" t="s">
        <v>33</v>
      </c>
      <c r="H959">
        <v>4</v>
      </c>
      <c r="I959">
        <v>4775</v>
      </c>
      <c r="J959">
        <v>22</v>
      </c>
      <c r="K959">
        <v>4</v>
      </c>
      <c r="L959">
        <v>2</v>
      </c>
      <c r="M959">
        <v>4</v>
      </c>
      <c r="N959">
        <v>2</v>
      </c>
      <c r="O959">
        <v>1</v>
      </c>
      <c r="P959">
        <v>2</v>
      </c>
      <c r="Q959">
        <v>2</v>
      </c>
      <c r="R959">
        <v>2</v>
      </c>
      <c r="S959" t="s">
        <v>23</v>
      </c>
      <c r="T959" t="s">
        <v>24</v>
      </c>
      <c r="U959" t="str">
        <f>IF(Table1[[#This Row],[YearsSince
LastPromotion]]&gt; 4, "Delayed", "Normal")</f>
        <v>Normal</v>
      </c>
      <c r="V959" t="str">
        <f>IF(Table1[[#This Row],[Years
InCurrentRole]]&gt;4, "Role Stagnent", "Normal")</f>
        <v>Normal</v>
      </c>
      <c r="W959" t="str">
        <f>IF(AND(Table1[[#This Row],[Years
InCurrentRole]]&gt; 4, Table1[[#This Row],[Performance
Rating]]&gt;=3), "High Risk", "Normal")</f>
        <v>Normal</v>
      </c>
      <c r="X959" t="str">
        <f>IF(Table1[[#This Row],[Performance
Rating]]&gt;=4, "High Performer", "Low Performer")</f>
        <v>High Performer</v>
      </c>
    </row>
    <row r="960" spans="2:24" x14ac:dyDescent="0.3">
      <c r="B960" t="s">
        <v>27</v>
      </c>
      <c r="C960" t="s">
        <v>25</v>
      </c>
      <c r="D960">
        <v>1</v>
      </c>
      <c r="E960" t="s">
        <v>28</v>
      </c>
      <c r="F960">
        <v>1</v>
      </c>
      <c r="G960" t="s">
        <v>29</v>
      </c>
      <c r="H960">
        <v>4</v>
      </c>
      <c r="I960">
        <v>3722</v>
      </c>
      <c r="J960">
        <v>13</v>
      </c>
      <c r="K960">
        <v>3</v>
      </c>
      <c r="L960">
        <v>1</v>
      </c>
      <c r="M960">
        <v>7</v>
      </c>
      <c r="N960">
        <v>2</v>
      </c>
      <c r="O960">
        <v>1</v>
      </c>
      <c r="P960">
        <v>2</v>
      </c>
      <c r="Q960">
        <v>2</v>
      </c>
      <c r="R960">
        <v>2</v>
      </c>
      <c r="S960" t="s">
        <v>23</v>
      </c>
      <c r="T960" t="s">
        <v>24</v>
      </c>
      <c r="U960" t="str">
        <f>IF(Table1[[#This Row],[YearsSince
LastPromotion]]&gt; 4, "Delayed", "Normal")</f>
        <v>Normal</v>
      </c>
      <c r="V960" t="str">
        <f>IF(Table1[[#This Row],[Years
InCurrentRole]]&gt;4, "Role Stagnent", "Normal")</f>
        <v>Normal</v>
      </c>
      <c r="W960" t="str">
        <f>IF(AND(Table1[[#This Row],[Years
InCurrentRole]]&gt; 4, Table1[[#This Row],[Performance
Rating]]&gt;=3), "High Risk", "Normal")</f>
        <v>Normal</v>
      </c>
      <c r="X960" t="str">
        <f>IF(Table1[[#This Row],[Performance
Rating]]&gt;=4, "High Performer", "Low Performer")</f>
        <v>Low Performer</v>
      </c>
    </row>
    <row r="961" spans="2:24" x14ac:dyDescent="0.3">
      <c r="B961" t="s">
        <v>27</v>
      </c>
      <c r="C961" t="s">
        <v>25</v>
      </c>
      <c r="D961">
        <v>1</v>
      </c>
      <c r="E961" t="s">
        <v>28</v>
      </c>
      <c r="F961">
        <v>1</v>
      </c>
      <c r="G961" t="s">
        <v>29</v>
      </c>
      <c r="H961">
        <v>1</v>
      </c>
      <c r="I961">
        <v>2404</v>
      </c>
      <c r="J961">
        <v>21</v>
      </c>
      <c r="K961">
        <v>4</v>
      </c>
      <c r="L961">
        <v>0</v>
      </c>
      <c r="M961">
        <v>8</v>
      </c>
      <c r="N961">
        <v>2</v>
      </c>
      <c r="O961">
        <v>1</v>
      </c>
      <c r="P961">
        <v>2</v>
      </c>
      <c r="Q961">
        <v>2</v>
      </c>
      <c r="R961">
        <v>2</v>
      </c>
      <c r="S961" t="s">
        <v>23</v>
      </c>
      <c r="T961" t="s">
        <v>24</v>
      </c>
      <c r="U961" t="str">
        <f>IF(Table1[[#This Row],[YearsSince
LastPromotion]]&gt; 4, "Delayed", "Normal")</f>
        <v>Normal</v>
      </c>
      <c r="V961" t="str">
        <f>IF(Table1[[#This Row],[Years
InCurrentRole]]&gt;4, "Role Stagnent", "Normal")</f>
        <v>Normal</v>
      </c>
      <c r="W961" t="str">
        <f>IF(AND(Table1[[#This Row],[Years
InCurrentRole]]&gt; 4, Table1[[#This Row],[Performance
Rating]]&gt;=3), "High Risk", "Normal")</f>
        <v>Normal</v>
      </c>
      <c r="X961" t="str">
        <f>IF(Table1[[#This Row],[Performance
Rating]]&gt;=4, "High Performer", "Low Performer")</f>
        <v>High Performer</v>
      </c>
    </row>
    <row r="962" spans="2:24" x14ac:dyDescent="0.3">
      <c r="B962" t="s">
        <v>19</v>
      </c>
      <c r="C962" t="s">
        <v>20</v>
      </c>
      <c r="D962">
        <v>1</v>
      </c>
      <c r="E962" t="s">
        <v>28</v>
      </c>
      <c r="F962">
        <v>2</v>
      </c>
      <c r="G962" t="s">
        <v>32</v>
      </c>
      <c r="H962">
        <v>1</v>
      </c>
      <c r="I962">
        <v>6392</v>
      </c>
      <c r="J962">
        <v>13</v>
      </c>
      <c r="K962">
        <v>3</v>
      </c>
      <c r="L962">
        <v>1</v>
      </c>
      <c r="M962">
        <v>8</v>
      </c>
      <c r="N962">
        <v>6</v>
      </c>
      <c r="O962">
        <v>1</v>
      </c>
      <c r="P962">
        <v>2</v>
      </c>
      <c r="Q962">
        <v>2</v>
      </c>
      <c r="R962">
        <v>2</v>
      </c>
      <c r="S962" t="s">
        <v>23</v>
      </c>
      <c r="T962" t="s">
        <v>24</v>
      </c>
      <c r="U962" t="str">
        <f>IF(Table1[[#This Row],[YearsSince
LastPromotion]]&gt; 4, "Delayed", "Normal")</f>
        <v>Normal</v>
      </c>
      <c r="V962" t="str">
        <f>IF(Table1[[#This Row],[Years
InCurrentRole]]&gt;4, "Role Stagnent", "Normal")</f>
        <v>Normal</v>
      </c>
      <c r="W962" t="str">
        <f>IF(AND(Table1[[#This Row],[Years
InCurrentRole]]&gt; 4, Table1[[#This Row],[Performance
Rating]]&gt;=3), "High Risk", "Normal")</f>
        <v>Normal</v>
      </c>
      <c r="X962" t="str">
        <f>IF(Table1[[#This Row],[Performance
Rating]]&gt;=4, "High Performer", "Low Performer")</f>
        <v>Low Performer</v>
      </c>
    </row>
    <row r="963" spans="2:24" x14ac:dyDescent="0.3">
      <c r="B963" t="s">
        <v>19</v>
      </c>
      <c r="C963" t="s">
        <v>25</v>
      </c>
      <c r="D963">
        <v>1</v>
      </c>
      <c r="E963" t="s">
        <v>21</v>
      </c>
      <c r="F963">
        <v>1</v>
      </c>
      <c r="G963" t="s">
        <v>29</v>
      </c>
      <c r="H963">
        <v>3</v>
      </c>
      <c r="I963">
        <v>3978</v>
      </c>
      <c r="J963">
        <v>12</v>
      </c>
      <c r="K963">
        <v>3</v>
      </c>
      <c r="L963">
        <v>1</v>
      </c>
      <c r="M963">
        <v>4</v>
      </c>
      <c r="N963">
        <v>0</v>
      </c>
      <c r="O963">
        <v>2</v>
      </c>
      <c r="P963">
        <v>2</v>
      </c>
      <c r="Q963">
        <v>2</v>
      </c>
      <c r="R963">
        <v>2</v>
      </c>
      <c r="S963" t="s">
        <v>23</v>
      </c>
      <c r="T963" t="s">
        <v>24</v>
      </c>
      <c r="U963" t="str">
        <f>IF(Table1[[#This Row],[YearsSince
LastPromotion]]&gt; 4, "Delayed", "Normal")</f>
        <v>Normal</v>
      </c>
      <c r="V963" t="str">
        <f>IF(Table1[[#This Row],[Years
InCurrentRole]]&gt;4, "Role Stagnent", "Normal")</f>
        <v>Normal</v>
      </c>
      <c r="W963" t="str">
        <f>IF(AND(Table1[[#This Row],[Years
InCurrentRole]]&gt; 4, Table1[[#This Row],[Performance
Rating]]&gt;=3), "High Risk", "Normal")</f>
        <v>Normal</v>
      </c>
      <c r="X963" t="str">
        <f>IF(Table1[[#This Row],[Performance
Rating]]&gt;=4, "High Performer", "Low Performer")</f>
        <v>Low Performer</v>
      </c>
    </row>
    <row r="964" spans="2:24" x14ac:dyDescent="0.3">
      <c r="B964" t="s">
        <v>19</v>
      </c>
      <c r="C964" t="s">
        <v>20</v>
      </c>
      <c r="D964">
        <v>1</v>
      </c>
      <c r="E964" t="s">
        <v>21</v>
      </c>
      <c r="F964">
        <v>1</v>
      </c>
      <c r="G964" t="s">
        <v>30</v>
      </c>
      <c r="H964">
        <v>4</v>
      </c>
      <c r="I964">
        <v>2342</v>
      </c>
      <c r="J964">
        <v>19</v>
      </c>
      <c r="K964">
        <v>3</v>
      </c>
      <c r="L964">
        <v>0</v>
      </c>
      <c r="M964">
        <v>3</v>
      </c>
      <c r="N964">
        <v>2</v>
      </c>
      <c r="O964">
        <v>2</v>
      </c>
      <c r="P964">
        <v>2</v>
      </c>
      <c r="Q964">
        <v>2</v>
      </c>
      <c r="R964">
        <v>2</v>
      </c>
      <c r="S964" t="s">
        <v>23</v>
      </c>
      <c r="T964" t="s">
        <v>24</v>
      </c>
      <c r="U964" t="str">
        <f>IF(Table1[[#This Row],[YearsSince
LastPromotion]]&gt; 4, "Delayed", "Normal")</f>
        <v>Normal</v>
      </c>
      <c r="V964" t="str">
        <f>IF(Table1[[#This Row],[Years
InCurrentRole]]&gt;4, "Role Stagnent", "Normal")</f>
        <v>Normal</v>
      </c>
      <c r="W964" t="str">
        <f>IF(AND(Table1[[#This Row],[Years
InCurrentRole]]&gt; 4, Table1[[#This Row],[Performance
Rating]]&gt;=3), "High Risk", "Normal")</f>
        <v>Normal</v>
      </c>
      <c r="X964" t="str">
        <f>IF(Table1[[#This Row],[Performance
Rating]]&gt;=4, "High Performer", "Low Performer")</f>
        <v>Low Performer</v>
      </c>
    </row>
    <row r="965" spans="2:24" x14ac:dyDescent="0.3">
      <c r="B965" t="s">
        <v>19</v>
      </c>
      <c r="C965" t="s">
        <v>36</v>
      </c>
      <c r="D965">
        <v>1</v>
      </c>
      <c r="E965" t="s">
        <v>28</v>
      </c>
      <c r="F965">
        <v>1</v>
      </c>
      <c r="G965" t="s">
        <v>36</v>
      </c>
      <c r="H965">
        <v>3</v>
      </c>
      <c r="I965">
        <v>2267</v>
      </c>
      <c r="J965">
        <v>17</v>
      </c>
      <c r="K965">
        <v>3</v>
      </c>
      <c r="L965">
        <v>0</v>
      </c>
      <c r="M965">
        <v>7</v>
      </c>
      <c r="N965">
        <v>2</v>
      </c>
      <c r="O965">
        <v>2</v>
      </c>
      <c r="P965">
        <v>2</v>
      </c>
      <c r="Q965">
        <v>2</v>
      </c>
      <c r="R965">
        <v>2</v>
      </c>
      <c r="S965" t="s">
        <v>23</v>
      </c>
      <c r="T965" t="s">
        <v>24</v>
      </c>
      <c r="U965" t="str">
        <f>IF(Table1[[#This Row],[YearsSince
LastPromotion]]&gt; 4, "Delayed", "Normal")</f>
        <v>Normal</v>
      </c>
      <c r="V965" t="str">
        <f>IF(Table1[[#This Row],[Years
InCurrentRole]]&gt;4, "Role Stagnent", "Normal")</f>
        <v>Normal</v>
      </c>
      <c r="W965" t="str">
        <f>IF(AND(Table1[[#This Row],[Years
InCurrentRole]]&gt; 4, Table1[[#This Row],[Performance
Rating]]&gt;=3), "High Risk", "Normal")</f>
        <v>Normal</v>
      </c>
      <c r="X965" t="str">
        <f>IF(Table1[[#This Row],[Performance
Rating]]&gt;=4, "High Performer", "Low Performer")</f>
        <v>Low Performer</v>
      </c>
    </row>
    <row r="966" spans="2:24" x14ac:dyDescent="0.3">
      <c r="B966" t="s">
        <v>27</v>
      </c>
      <c r="C966" t="s">
        <v>20</v>
      </c>
      <c r="D966">
        <v>1</v>
      </c>
      <c r="E966" t="s">
        <v>28</v>
      </c>
      <c r="F966">
        <v>2</v>
      </c>
      <c r="G966" t="s">
        <v>32</v>
      </c>
      <c r="H966">
        <v>4</v>
      </c>
      <c r="I966">
        <v>5440</v>
      </c>
      <c r="J966">
        <v>14</v>
      </c>
      <c r="K966">
        <v>3</v>
      </c>
      <c r="L966">
        <v>2</v>
      </c>
      <c r="M966">
        <v>7</v>
      </c>
      <c r="N966">
        <v>2</v>
      </c>
      <c r="O966">
        <v>2</v>
      </c>
      <c r="P966">
        <v>2</v>
      </c>
      <c r="Q966">
        <v>2</v>
      </c>
      <c r="R966">
        <v>2</v>
      </c>
      <c r="S966" t="s">
        <v>23</v>
      </c>
      <c r="T966" t="s">
        <v>24</v>
      </c>
      <c r="U966" t="str">
        <f>IF(Table1[[#This Row],[YearsSince
LastPromotion]]&gt; 4, "Delayed", "Normal")</f>
        <v>Normal</v>
      </c>
      <c r="V966" t="str">
        <f>IF(Table1[[#This Row],[Years
InCurrentRole]]&gt;4, "Role Stagnent", "Normal")</f>
        <v>Normal</v>
      </c>
      <c r="W966" t="str">
        <f>IF(AND(Table1[[#This Row],[Years
InCurrentRole]]&gt; 4, Table1[[#This Row],[Performance
Rating]]&gt;=3), "High Risk", "Normal")</f>
        <v>Normal</v>
      </c>
      <c r="X966" t="str">
        <f>IF(Table1[[#This Row],[Performance
Rating]]&gt;=4, "High Performer", "Low Performer")</f>
        <v>Low Performer</v>
      </c>
    </row>
    <row r="967" spans="2:24" x14ac:dyDescent="0.3">
      <c r="B967" t="s">
        <v>27</v>
      </c>
      <c r="C967" t="s">
        <v>20</v>
      </c>
      <c r="D967">
        <v>1</v>
      </c>
      <c r="E967" t="s">
        <v>28</v>
      </c>
      <c r="F967">
        <v>3</v>
      </c>
      <c r="G967" t="s">
        <v>32</v>
      </c>
      <c r="H967">
        <v>1</v>
      </c>
      <c r="I967">
        <v>10448</v>
      </c>
      <c r="J967">
        <v>13</v>
      </c>
      <c r="K967">
        <v>3</v>
      </c>
      <c r="L967">
        <v>0</v>
      </c>
      <c r="M967">
        <v>15</v>
      </c>
      <c r="N967">
        <v>2</v>
      </c>
      <c r="O967">
        <v>2</v>
      </c>
      <c r="P967">
        <v>2</v>
      </c>
      <c r="Q967">
        <v>2</v>
      </c>
      <c r="R967">
        <v>2</v>
      </c>
      <c r="S967" t="s">
        <v>23</v>
      </c>
      <c r="T967" t="s">
        <v>24</v>
      </c>
      <c r="U967" t="str">
        <f>IF(Table1[[#This Row],[YearsSince
LastPromotion]]&gt; 4, "Delayed", "Normal")</f>
        <v>Normal</v>
      </c>
      <c r="V967" t="str">
        <f>IF(Table1[[#This Row],[Years
InCurrentRole]]&gt;4, "Role Stagnent", "Normal")</f>
        <v>Normal</v>
      </c>
      <c r="W967" t="str">
        <f>IF(AND(Table1[[#This Row],[Years
InCurrentRole]]&gt; 4, Table1[[#This Row],[Performance
Rating]]&gt;=3), "High Risk", "Normal")</f>
        <v>Normal</v>
      </c>
      <c r="X967" t="str">
        <f>IF(Table1[[#This Row],[Performance
Rating]]&gt;=4, "High Performer", "Low Performer")</f>
        <v>Low Performer</v>
      </c>
    </row>
    <row r="968" spans="2:24" x14ac:dyDescent="0.3">
      <c r="B968" t="s">
        <v>19</v>
      </c>
      <c r="C968" t="s">
        <v>25</v>
      </c>
      <c r="D968">
        <v>1</v>
      </c>
      <c r="E968" t="s">
        <v>28</v>
      </c>
      <c r="F968">
        <v>3</v>
      </c>
      <c r="G968" t="s">
        <v>33</v>
      </c>
      <c r="H968">
        <v>3</v>
      </c>
      <c r="I968">
        <v>10209</v>
      </c>
      <c r="J968">
        <v>18</v>
      </c>
      <c r="K968">
        <v>3</v>
      </c>
      <c r="L968">
        <v>0</v>
      </c>
      <c r="M968">
        <v>16</v>
      </c>
      <c r="N968">
        <v>2</v>
      </c>
      <c r="O968">
        <v>2</v>
      </c>
      <c r="P968">
        <v>2</v>
      </c>
      <c r="Q968">
        <v>2</v>
      </c>
      <c r="R968">
        <v>2</v>
      </c>
      <c r="S968" t="s">
        <v>23</v>
      </c>
      <c r="T968" t="s">
        <v>24</v>
      </c>
      <c r="U968" t="str">
        <f>IF(Table1[[#This Row],[YearsSince
LastPromotion]]&gt; 4, "Delayed", "Normal")</f>
        <v>Normal</v>
      </c>
      <c r="V968" t="str">
        <f>IF(Table1[[#This Row],[Years
InCurrentRole]]&gt;4, "Role Stagnent", "Normal")</f>
        <v>Normal</v>
      </c>
      <c r="W968" t="str">
        <f>IF(AND(Table1[[#This Row],[Years
InCurrentRole]]&gt; 4, Table1[[#This Row],[Performance
Rating]]&gt;=3), "High Risk", "Normal")</f>
        <v>Normal</v>
      </c>
      <c r="X968" t="str">
        <f>IF(Table1[[#This Row],[Performance
Rating]]&gt;=4, "High Performer", "Low Performer")</f>
        <v>Low Performer</v>
      </c>
    </row>
    <row r="969" spans="2:24" x14ac:dyDescent="0.3">
      <c r="B969" t="s">
        <v>19</v>
      </c>
      <c r="C969" t="s">
        <v>25</v>
      </c>
      <c r="D969">
        <v>1</v>
      </c>
      <c r="E969" t="s">
        <v>21</v>
      </c>
      <c r="F969">
        <v>1</v>
      </c>
      <c r="G969" t="s">
        <v>29</v>
      </c>
      <c r="H969">
        <v>1</v>
      </c>
      <c r="I969">
        <v>2587</v>
      </c>
      <c r="J969">
        <v>16</v>
      </c>
      <c r="K969">
        <v>3</v>
      </c>
      <c r="L969">
        <v>1</v>
      </c>
      <c r="M969">
        <v>17</v>
      </c>
      <c r="N969">
        <v>2</v>
      </c>
      <c r="O969">
        <v>2</v>
      </c>
      <c r="P969">
        <v>2</v>
      </c>
      <c r="Q969">
        <v>2</v>
      </c>
      <c r="R969">
        <v>2</v>
      </c>
      <c r="S969" t="s">
        <v>23</v>
      </c>
      <c r="T969" t="s">
        <v>24</v>
      </c>
      <c r="U969" t="str">
        <f>IF(Table1[[#This Row],[YearsSince
LastPromotion]]&gt; 4, "Delayed", "Normal")</f>
        <v>Normal</v>
      </c>
      <c r="V969" t="str">
        <f>IF(Table1[[#This Row],[Years
InCurrentRole]]&gt;4, "Role Stagnent", "Normal")</f>
        <v>Normal</v>
      </c>
      <c r="W969" t="str">
        <f>IF(AND(Table1[[#This Row],[Years
InCurrentRole]]&gt; 4, Table1[[#This Row],[Performance
Rating]]&gt;=3), "High Risk", "Normal")</f>
        <v>Normal</v>
      </c>
      <c r="X969" t="str">
        <f>IF(Table1[[#This Row],[Performance
Rating]]&gt;=4, "High Performer", "Low Performer")</f>
        <v>Low Performer</v>
      </c>
    </row>
    <row r="970" spans="2:24" x14ac:dyDescent="0.3">
      <c r="B970" t="s">
        <v>19</v>
      </c>
      <c r="C970" t="s">
        <v>20</v>
      </c>
      <c r="D970">
        <v>1</v>
      </c>
      <c r="E970" t="s">
        <v>21</v>
      </c>
      <c r="F970">
        <v>5</v>
      </c>
      <c r="G970" t="s">
        <v>22</v>
      </c>
      <c r="H970">
        <v>1</v>
      </c>
      <c r="I970">
        <v>18947</v>
      </c>
      <c r="J970">
        <v>12</v>
      </c>
      <c r="K970">
        <v>3</v>
      </c>
      <c r="L970">
        <v>0</v>
      </c>
      <c r="M970">
        <v>22</v>
      </c>
      <c r="N970">
        <v>2</v>
      </c>
      <c r="O970">
        <v>2</v>
      </c>
      <c r="P970">
        <v>2</v>
      </c>
      <c r="Q970">
        <v>2</v>
      </c>
      <c r="R970">
        <v>2</v>
      </c>
      <c r="S970" t="s">
        <v>23</v>
      </c>
      <c r="T970" t="s">
        <v>24</v>
      </c>
      <c r="U970" t="str">
        <f>IF(Table1[[#This Row],[YearsSince
LastPromotion]]&gt; 4, "Delayed", "Normal")</f>
        <v>Normal</v>
      </c>
      <c r="V970" t="str">
        <f>IF(Table1[[#This Row],[Years
InCurrentRole]]&gt;4, "Role Stagnent", "Normal")</f>
        <v>Normal</v>
      </c>
      <c r="W970" t="str">
        <f>IF(AND(Table1[[#This Row],[Years
InCurrentRole]]&gt; 4, Table1[[#This Row],[Performance
Rating]]&gt;=3), "High Risk", "Normal")</f>
        <v>Normal</v>
      </c>
      <c r="X970" t="str">
        <f>IF(Table1[[#This Row],[Performance
Rating]]&gt;=4, "High Performer", "Low Performer")</f>
        <v>Low Performer</v>
      </c>
    </row>
    <row r="971" spans="2:24" x14ac:dyDescent="0.3">
      <c r="B971" t="s">
        <v>27</v>
      </c>
      <c r="C971" t="s">
        <v>25</v>
      </c>
      <c r="D971">
        <v>1</v>
      </c>
      <c r="E971" t="s">
        <v>28</v>
      </c>
      <c r="F971">
        <v>1</v>
      </c>
      <c r="G971" t="s">
        <v>29</v>
      </c>
      <c r="H971">
        <v>3</v>
      </c>
      <c r="I971">
        <v>3441</v>
      </c>
      <c r="J971">
        <v>13</v>
      </c>
      <c r="K971">
        <v>3</v>
      </c>
      <c r="L971">
        <v>0</v>
      </c>
      <c r="M971">
        <v>2</v>
      </c>
      <c r="N971">
        <v>3</v>
      </c>
      <c r="O971">
        <v>2</v>
      </c>
      <c r="P971">
        <v>2</v>
      </c>
      <c r="Q971">
        <v>2</v>
      </c>
      <c r="R971">
        <v>2</v>
      </c>
      <c r="S971" t="s">
        <v>23</v>
      </c>
      <c r="T971" t="s">
        <v>24</v>
      </c>
      <c r="U971" t="str">
        <f>IF(Table1[[#This Row],[YearsSince
LastPromotion]]&gt; 4, "Delayed", "Normal")</f>
        <v>Normal</v>
      </c>
      <c r="V971" t="str">
        <f>IF(Table1[[#This Row],[Years
InCurrentRole]]&gt;4, "Role Stagnent", "Normal")</f>
        <v>Normal</v>
      </c>
      <c r="W971" t="str">
        <f>IF(AND(Table1[[#This Row],[Years
InCurrentRole]]&gt; 4, Table1[[#This Row],[Performance
Rating]]&gt;=3), "High Risk", "Normal")</f>
        <v>Normal</v>
      </c>
      <c r="X971" t="str">
        <f>IF(Table1[[#This Row],[Performance
Rating]]&gt;=4, "High Performer", "Low Performer")</f>
        <v>Low Performer</v>
      </c>
    </row>
    <row r="972" spans="2:24" x14ac:dyDescent="0.3">
      <c r="B972" t="s">
        <v>19</v>
      </c>
      <c r="C972" t="s">
        <v>25</v>
      </c>
      <c r="D972">
        <v>1</v>
      </c>
      <c r="E972" t="s">
        <v>21</v>
      </c>
      <c r="F972">
        <v>1</v>
      </c>
      <c r="G972" t="s">
        <v>26</v>
      </c>
      <c r="H972">
        <v>2</v>
      </c>
      <c r="I972">
        <v>2096</v>
      </c>
      <c r="J972">
        <v>18</v>
      </c>
      <c r="K972">
        <v>3</v>
      </c>
      <c r="L972">
        <v>0</v>
      </c>
      <c r="M972">
        <v>2</v>
      </c>
      <c r="N972">
        <v>3</v>
      </c>
      <c r="O972">
        <v>2</v>
      </c>
      <c r="P972">
        <v>2</v>
      </c>
      <c r="Q972">
        <v>2</v>
      </c>
      <c r="R972">
        <v>2</v>
      </c>
      <c r="S972" t="s">
        <v>23</v>
      </c>
      <c r="T972" t="s">
        <v>24</v>
      </c>
      <c r="U972" t="str">
        <f>IF(Table1[[#This Row],[YearsSince
LastPromotion]]&gt; 4, "Delayed", "Normal")</f>
        <v>Normal</v>
      </c>
      <c r="V972" t="str">
        <f>IF(Table1[[#This Row],[Years
InCurrentRole]]&gt;4, "Role Stagnent", "Normal")</f>
        <v>Normal</v>
      </c>
      <c r="W972" t="str">
        <f>IF(AND(Table1[[#This Row],[Years
InCurrentRole]]&gt; 4, Table1[[#This Row],[Performance
Rating]]&gt;=3), "High Risk", "Normal")</f>
        <v>Normal</v>
      </c>
      <c r="X972" t="str">
        <f>IF(Table1[[#This Row],[Performance
Rating]]&gt;=4, "High Performer", "Low Performer")</f>
        <v>Low Performer</v>
      </c>
    </row>
    <row r="973" spans="2:24" x14ac:dyDescent="0.3">
      <c r="B973" t="s">
        <v>27</v>
      </c>
      <c r="C973" t="s">
        <v>25</v>
      </c>
      <c r="D973">
        <v>1</v>
      </c>
      <c r="E973" t="s">
        <v>28</v>
      </c>
      <c r="F973">
        <v>1</v>
      </c>
      <c r="G973" t="s">
        <v>26</v>
      </c>
      <c r="H973">
        <v>3</v>
      </c>
      <c r="I973">
        <v>4382</v>
      </c>
      <c r="J973">
        <v>17</v>
      </c>
      <c r="K973">
        <v>3</v>
      </c>
      <c r="L973">
        <v>0</v>
      </c>
      <c r="M973">
        <v>5</v>
      </c>
      <c r="N973">
        <v>3</v>
      </c>
      <c r="O973">
        <v>2</v>
      </c>
      <c r="P973">
        <v>2</v>
      </c>
      <c r="Q973">
        <v>2</v>
      </c>
      <c r="R973">
        <v>2</v>
      </c>
      <c r="S973" t="s">
        <v>23</v>
      </c>
      <c r="T973" t="s">
        <v>24</v>
      </c>
      <c r="U973" t="str">
        <f>IF(Table1[[#This Row],[YearsSince
LastPromotion]]&gt; 4, "Delayed", "Normal")</f>
        <v>Normal</v>
      </c>
      <c r="V973" t="str">
        <f>IF(Table1[[#This Row],[Years
InCurrentRole]]&gt;4, "Role Stagnent", "Normal")</f>
        <v>Normal</v>
      </c>
      <c r="W973" t="str">
        <f>IF(AND(Table1[[#This Row],[Years
InCurrentRole]]&gt; 4, Table1[[#This Row],[Performance
Rating]]&gt;=3), "High Risk", "Normal")</f>
        <v>Normal</v>
      </c>
      <c r="X973" t="str">
        <f>IF(Table1[[#This Row],[Performance
Rating]]&gt;=4, "High Performer", "Low Performer")</f>
        <v>Low Performer</v>
      </c>
    </row>
    <row r="974" spans="2:24" x14ac:dyDescent="0.3">
      <c r="B974" t="s">
        <v>19</v>
      </c>
      <c r="C974" t="s">
        <v>25</v>
      </c>
      <c r="D974">
        <v>1</v>
      </c>
      <c r="E974" t="s">
        <v>21</v>
      </c>
      <c r="F974">
        <v>1</v>
      </c>
      <c r="G974" t="s">
        <v>29</v>
      </c>
      <c r="H974">
        <v>4</v>
      </c>
      <c r="I974">
        <v>3212</v>
      </c>
      <c r="J974">
        <v>15</v>
      </c>
      <c r="K974">
        <v>3</v>
      </c>
      <c r="L974">
        <v>0</v>
      </c>
      <c r="M974">
        <v>6</v>
      </c>
      <c r="N974">
        <v>3</v>
      </c>
      <c r="O974">
        <v>2</v>
      </c>
      <c r="P974">
        <v>2</v>
      </c>
      <c r="Q974">
        <v>2</v>
      </c>
      <c r="R974">
        <v>2</v>
      </c>
      <c r="S974" t="s">
        <v>23</v>
      </c>
      <c r="T974" t="s">
        <v>24</v>
      </c>
      <c r="U974" t="str">
        <f>IF(Table1[[#This Row],[YearsSince
LastPromotion]]&gt; 4, "Delayed", "Normal")</f>
        <v>Normal</v>
      </c>
      <c r="V974" t="str">
        <f>IF(Table1[[#This Row],[Years
InCurrentRole]]&gt;4, "Role Stagnent", "Normal")</f>
        <v>Normal</v>
      </c>
      <c r="W974" t="str">
        <f>IF(AND(Table1[[#This Row],[Years
InCurrentRole]]&gt; 4, Table1[[#This Row],[Performance
Rating]]&gt;=3), "High Risk", "Normal")</f>
        <v>Normal</v>
      </c>
      <c r="X974" t="str">
        <f>IF(Table1[[#This Row],[Performance
Rating]]&gt;=4, "High Performer", "Low Performer")</f>
        <v>Low Performer</v>
      </c>
    </row>
    <row r="975" spans="2:24" x14ac:dyDescent="0.3">
      <c r="B975" t="s">
        <v>27</v>
      </c>
      <c r="C975" t="s">
        <v>20</v>
      </c>
      <c r="D975">
        <v>1</v>
      </c>
      <c r="E975" t="s">
        <v>28</v>
      </c>
      <c r="F975">
        <v>2</v>
      </c>
      <c r="G975" t="s">
        <v>32</v>
      </c>
      <c r="H975">
        <v>2</v>
      </c>
      <c r="I975">
        <v>9907</v>
      </c>
      <c r="J975">
        <v>12</v>
      </c>
      <c r="K975">
        <v>3</v>
      </c>
      <c r="L975">
        <v>0</v>
      </c>
      <c r="M975">
        <v>7</v>
      </c>
      <c r="N975">
        <v>3</v>
      </c>
      <c r="O975">
        <v>2</v>
      </c>
      <c r="P975">
        <v>2</v>
      </c>
      <c r="Q975">
        <v>2</v>
      </c>
      <c r="R975">
        <v>2</v>
      </c>
      <c r="S975" t="s">
        <v>23</v>
      </c>
      <c r="T975" t="s">
        <v>24</v>
      </c>
      <c r="U975" t="str">
        <f>IF(Table1[[#This Row],[YearsSince
LastPromotion]]&gt; 4, "Delayed", "Normal")</f>
        <v>Normal</v>
      </c>
      <c r="V975" t="str">
        <f>IF(Table1[[#This Row],[Years
InCurrentRole]]&gt;4, "Role Stagnent", "Normal")</f>
        <v>Normal</v>
      </c>
      <c r="W975" t="str">
        <f>IF(AND(Table1[[#This Row],[Years
InCurrentRole]]&gt; 4, Table1[[#This Row],[Performance
Rating]]&gt;=3), "High Risk", "Normal")</f>
        <v>Normal</v>
      </c>
      <c r="X975" t="str">
        <f>IF(Table1[[#This Row],[Performance
Rating]]&gt;=4, "High Performer", "Low Performer")</f>
        <v>Low Performer</v>
      </c>
    </row>
    <row r="976" spans="2:24" x14ac:dyDescent="0.3">
      <c r="B976" t="s">
        <v>19</v>
      </c>
      <c r="C976" t="s">
        <v>25</v>
      </c>
      <c r="D976">
        <v>1</v>
      </c>
      <c r="E976" t="s">
        <v>28</v>
      </c>
      <c r="F976">
        <v>2</v>
      </c>
      <c r="G976" t="s">
        <v>26</v>
      </c>
      <c r="H976">
        <v>4</v>
      </c>
      <c r="I976">
        <v>5484</v>
      </c>
      <c r="J976">
        <v>17</v>
      </c>
      <c r="K976">
        <v>3</v>
      </c>
      <c r="L976">
        <v>1</v>
      </c>
      <c r="M976">
        <v>9</v>
      </c>
      <c r="N976">
        <v>3</v>
      </c>
      <c r="O976">
        <v>2</v>
      </c>
      <c r="P976">
        <v>2</v>
      </c>
      <c r="Q976">
        <v>2</v>
      </c>
      <c r="R976">
        <v>2</v>
      </c>
      <c r="S976" t="s">
        <v>23</v>
      </c>
      <c r="T976" t="s">
        <v>24</v>
      </c>
      <c r="U976" t="str">
        <f>IF(Table1[[#This Row],[YearsSince
LastPromotion]]&gt; 4, "Delayed", "Normal")</f>
        <v>Normal</v>
      </c>
      <c r="V976" t="str">
        <f>IF(Table1[[#This Row],[Years
InCurrentRole]]&gt;4, "Role Stagnent", "Normal")</f>
        <v>Normal</v>
      </c>
      <c r="W976" t="str">
        <f>IF(AND(Table1[[#This Row],[Years
InCurrentRole]]&gt; 4, Table1[[#This Row],[Performance
Rating]]&gt;=3), "High Risk", "Normal")</f>
        <v>Normal</v>
      </c>
      <c r="X976" t="str">
        <f>IF(Table1[[#This Row],[Performance
Rating]]&gt;=4, "High Performer", "Low Performer")</f>
        <v>Low Performer</v>
      </c>
    </row>
    <row r="977" spans="2:24" x14ac:dyDescent="0.3">
      <c r="B977" t="s">
        <v>19</v>
      </c>
      <c r="C977" t="s">
        <v>20</v>
      </c>
      <c r="D977">
        <v>1</v>
      </c>
      <c r="E977" t="s">
        <v>21</v>
      </c>
      <c r="F977">
        <v>1</v>
      </c>
      <c r="G977" t="s">
        <v>30</v>
      </c>
      <c r="H977">
        <v>2</v>
      </c>
      <c r="I977">
        <v>2789</v>
      </c>
      <c r="J977">
        <v>11</v>
      </c>
      <c r="K977">
        <v>3</v>
      </c>
      <c r="L977">
        <v>1</v>
      </c>
      <c r="M977">
        <v>2</v>
      </c>
      <c r="N977">
        <v>5</v>
      </c>
      <c r="O977">
        <v>2</v>
      </c>
      <c r="P977">
        <v>2</v>
      </c>
      <c r="Q977">
        <v>2</v>
      </c>
      <c r="R977">
        <v>2</v>
      </c>
      <c r="S977" t="s">
        <v>23</v>
      </c>
      <c r="T977" t="s">
        <v>24</v>
      </c>
      <c r="U977" t="str">
        <f>IF(Table1[[#This Row],[YearsSince
LastPromotion]]&gt; 4, "Delayed", "Normal")</f>
        <v>Normal</v>
      </c>
      <c r="V977" t="str">
        <f>IF(Table1[[#This Row],[Years
InCurrentRole]]&gt;4, "Role Stagnent", "Normal")</f>
        <v>Normal</v>
      </c>
      <c r="W977" t="str">
        <f>IF(AND(Table1[[#This Row],[Years
InCurrentRole]]&gt; 4, Table1[[#This Row],[Performance
Rating]]&gt;=3), "High Risk", "Normal")</f>
        <v>Normal</v>
      </c>
      <c r="X977" t="str">
        <f>IF(Table1[[#This Row],[Performance
Rating]]&gt;=4, "High Performer", "Low Performer")</f>
        <v>Low Performer</v>
      </c>
    </row>
    <row r="978" spans="2:24" x14ac:dyDescent="0.3">
      <c r="B978" t="s">
        <v>27</v>
      </c>
      <c r="C978" t="s">
        <v>25</v>
      </c>
      <c r="D978">
        <v>1</v>
      </c>
      <c r="E978" t="s">
        <v>28</v>
      </c>
      <c r="F978">
        <v>1</v>
      </c>
      <c r="G978" t="s">
        <v>29</v>
      </c>
      <c r="H978">
        <v>3</v>
      </c>
      <c r="I978">
        <v>2610</v>
      </c>
      <c r="J978">
        <v>12</v>
      </c>
      <c r="K978">
        <v>3</v>
      </c>
      <c r="L978">
        <v>1</v>
      </c>
      <c r="M978">
        <v>2</v>
      </c>
      <c r="N978">
        <v>5</v>
      </c>
      <c r="O978">
        <v>2</v>
      </c>
      <c r="P978">
        <v>2</v>
      </c>
      <c r="Q978">
        <v>2</v>
      </c>
      <c r="R978">
        <v>2</v>
      </c>
      <c r="S978" t="s">
        <v>23</v>
      </c>
      <c r="T978" t="s">
        <v>24</v>
      </c>
      <c r="U978" t="str">
        <f>IF(Table1[[#This Row],[YearsSince
LastPromotion]]&gt; 4, "Delayed", "Normal")</f>
        <v>Normal</v>
      </c>
      <c r="V978" t="str">
        <f>IF(Table1[[#This Row],[Years
InCurrentRole]]&gt;4, "Role Stagnent", "Normal")</f>
        <v>Normal</v>
      </c>
      <c r="W978" t="str">
        <f>IF(AND(Table1[[#This Row],[Years
InCurrentRole]]&gt; 4, Table1[[#This Row],[Performance
Rating]]&gt;=3), "High Risk", "Normal")</f>
        <v>Normal</v>
      </c>
      <c r="X978" t="str">
        <f>IF(Table1[[#This Row],[Performance
Rating]]&gt;=4, "High Performer", "Low Performer")</f>
        <v>Low Performer</v>
      </c>
    </row>
    <row r="979" spans="2:24" x14ac:dyDescent="0.3">
      <c r="B979" t="s">
        <v>27</v>
      </c>
      <c r="C979" t="s">
        <v>36</v>
      </c>
      <c r="D979">
        <v>1</v>
      </c>
      <c r="E979" t="s">
        <v>21</v>
      </c>
      <c r="F979">
        <v>1</v>
      </c>
      <c r="G979" t="s">
        <v>36</v>
      </c>
      <c r="H979">
        <v>3</v>
      </c>
      <c r="I979">
        <v>2742</v>
      </c>
      <c r="J979">
        <v>15</v>
      </c>
      <c r="K979">
        <v>3</v>
      </c>
      <c r="L979">
        <v>0</v>
      </c>
      <c r="M979">
        <v>2</v>
      </c>
      <c r="N979">
        <v>0</v>
      </c>
      <c r="O979">
        <v>3</v>
      </c>
      <c r="P979">
        <v>2</v>
      </c>
      <c r="Q979">
        <v>2</v>
      </c>
      <c r="R979">
        <v>2</v>
      </c>
      <c r="S979" t="s">
        <v>34</v>
      </c>
      <c r="T979" t="s">
        <v>24</v>
      </c>
      <c r="U979" t="str">
        <f>IF(Table1[[#This Row],[YearsSince
LastPromotion]]&gt; 4, "Delayed", "Normal")</f>
        <v>Normal</v>
      </c>
      <c r="V979" t="str">
        <f>IF(Table1[[#This Row],[Years
InCurrentRole]]&gt;4, "Role Stagnent", "Normal")</f>
        <v>Normal</v>
      </c>
      <c r="W979" t="str">
        <f>IF(AND(Table1[[#This Row],[Years
InCurrentRole]]&gt; 4, Table1[[#This Row],[Performance
Rating]]&gt;=3), "High Risk", "Normal")</f>
        <v>Normal</v>
      </c>
      <c r="X979" t="str">
        <f>IF(Table1[[#This Row],[Performance
Rating]]&gt;=4, "High Performer", "Low Performer")</f>
        <v>Low Performer</v>
      </c>
    </row>
    <row r="980" spans="2:24" x14ac:dyDescent="0.3">
      <c r="B980" t="s">
        <v>27</v>
      </c>
      <c r="C980" t="s">
        <v>25</v>
      </c>
      <c r="D980">
        <v>1</v>
      </c>
      <c r="E980" t="s">
        <v>28</v>
      </c>
      <c r="F980">
        <v>1</v>
      </c>
      <c r="G980" t="s">
        <v>26</v>
      </c>
      <c r="H980">
        <v>2</v>
      </c>
      <c r="I980">
        <v>2313</v>
      </c>
      <c r="J980">
        <v>20</v>
      </c>
      <c r="K980">
        <v>4</v>
      </c>
      <c r="L980">
        <v>0</v>
      </c>
      <c r="M980">
        <v>5</v>
      </c>
      <c r="N980">
        <v>0</v>
      </c>
      <c r="O980">
        <v>3</v>
      </c>
      <c r="P980">
        <v>2</v>
      </c>
      <c r="Q980">
        <v>2</v>
      </c>
      <c r="R980">
        <v>2</v>
      </c>
      <c r="S980" t="s">
        <v>34</v>
      </c>
      <c r="T980" t="s">
        <v>24</v>
      </c>
      <c r="U980" t="str">
        <f>IF(Table1[[#This Row],[YearsSince
LastPromotion]]&gt; 4, "Delayed", "Normal")</f>
        <v>Normal</v>
      </c>
      <c r="V980" t="str">
        <f>IF(Table1[[#This Row],[Years
InCurrentRole]]&gt;4, "Role Stagnent", "Normal")</f>
        <v>Normal</v>
      </c>
      <c r="W980" t="str">
        <f>IF(AND(Table1[[#This Row],[Years
InCurrentRole]]&gt; 4, Table1[[#This Row],[Performance
Rating]]&gt;=3), "High Risk", "Normal")</f>
        <v>Normal</v>
      </c>
      <c r="X980" t="str">
        <f>IF(Table1[[#This Row],[Performance
Rating]]&gt;=4, "High Performer", "Low Performer")</f>
        <v>High Performer</v>
      </c>
    </row>
    <row r="981" spans="2:24" x14ac:dyDescent="0.3">
      <c r="B981" t="s">
        <v>19</v>
      </c>
      <c r="C981" t="s">
        <v>25</v>
      </c>
      <c r="D981">
        <v>1</v>
      </c>
      <c r="E981" t="s">
        <v>21</v>
      </c>
      <c r="F981">
        <v>1</v>
      </c>
      <c r="G981" t="s">
        <v>26</v>
      </c>
      <c r="H981">
        <v>3</v>
      </c>
      <c r="I981">
        <v>2506</v>
      </c>
      <c r="J981">
        <v>13</v>
      </c>
      <c r="K981">
        <v>3</v>
      </c>
      <c r="L981">
        <v>0</v>
      </c>
      <c r="M981">
        <v>7</v>
      </c>
      <c r="N981">
        <v>0</v>
      </c>
      <c r="O981">
        <v>3</v>
      </c>
      <c r="P981">
        <v>2</v>
      </c>
      <c r="Q981">
        <v>2</v>
      </c>
      <c r="R981">
        <v>2</v>
      </c>
      <c r="S981" t="s">
        <v>34</v>
      </c>
      <c r="T981" t="s">
        <v>24</v>
      </c>
      <c r="U981" t="str">
        <f>IF(Table1[[#This Row],[YearsSince
LastPromotion]]&gt; 4, "Delayed", "Normal")</f>
        <v>Normal</v>
      </c>
      <c r="V981" t="str">
        <f>IF(Table1[[#This Row],[Years
InCurrentRole]]&gt;4, "Role Stagnent", "Normal")</f>
        <v>Normal</v>
      </c>
      <c r="W981" t="str">
        <f>IF(AND(Table1[[#This Row],[Years
InCurrentRole]]&gt; 4, Table1[[#This Row],[Performance
Rating]]&gt;=3), "High Risk", "Normal")</f>
        <v>Normal</v>
      </c>
      <c r="X981" t="str">
        <f>IF(Table1[[#This Row],[Performance
Rating]]&gt;=4, "High Performer", "Low Performer")</f>
        <v>Low Performer</v>
      </c>
    </row>
    <row r="982" spans="2:24" x14ac:dyDescent="0.3">
      <c r="B982" t="s">
        <v>19</v>
      </c>
      <c r="C982" t="s">
        <v>25</v>
      </c>
      <c r="D982">
        <v>1</v>
      </c>
      <c r="E982" t="s">
        <v>28</v>
      </c>
      <c r="F982">
        <v>2</v>
      </c>
      <c r="G982" t="s">
        <v>31</v>
      </c>
      <c r="H982">
        <v>3</v>
      </c>
      <c r="I982">
        <v>4240</v>
      </c>
      <c r="J982">
        <v>13</v>
      </c>
      <c r="K982">
        <v>3</v>
      </c>
      <c r="L982">
        <v>0</v>
      </c>
      <c r="M982">
        <v>19</v>
      </c>
      <c r="N982">
        <v>0</v>
      </c>
      <c r="O982">
        <v>3</v>
      </c>
      <c r="P982">
        <v>2</v>
      </c>
      <c r="Q982">
        <v>2</v>
      </c>
      <c r="R982">
        <v>2</v>
      </c>
      <c r="S982" t="s">
        <v>34</v>
      </c>
      <c r="T982" t="s">
        <v>24</v>
      </c>
      <c r="U982" t="str">
        <f>IF(Table1[[#This Row],[YearsSince
LastPromotion]]&gt; 4, "Delayed", "Normal")</f>
        <v>Normal</v>
      </c>
      <c r="V982" t="str">
        <f>IF(Table1[[#This Row],[Years
InCurrentRole]]&gt;4, "Role Stagnent", "Normal")</f>
        <v>Normal</v>
      </c>
      <c r="W982" t="str">
        <f>IF(AND(Table1[[#This Row],[Years
InCurrentRole]]&gt; 4, Table1[[#This Row],[Performance
Rating]]&gt;=3), "High Risk", "Normal")</f>
        <v>Normal</v>
      </c>
      <c r="X982" t="str">
        <f>IF(Table1[[#This Row],[Performance
Rating]]&gt;=4, "High Performer", "Low Performer")</f>
        <v>Low Performer</v>
      </c>
    </row>
    <row r="983" spans="2:24" x14ac:dyDescent="0.3">
      <c r="B983" t="s">
        <v>19</v>
      </c>
      <c r="C983" t="s">
        <v>25</v>
      </c>
      <c r="D983">
        <v>1</v>
      </c>
      <c r="E983" t="s">
        <v>28</v>
      </c>
      <c r="F983">
        <v>5</v>
      </c>
      <c r="G983" t="s">
        <v>35</v>
      </c>
      <c r="H983">
        <v>4</v>
      </c>
      <c r="I983">
        <v>19627</v>
      </c>
      <c r="J983">
        <v>17</v>
      </c>
      <c r="K983">
        <v>3</v>
      </c>
      <c r="L983">
        <v>2</v>
      </c>
      <c r="M983">
        <v>23</v>
      </c>
      <c r="N983">
        <v>0</v>
      </c>
      <c r="O983">
        <v>3</v>
      </c>
      <c r="P983">
        <v>2</v>
      </c>
      <c r="Q983">
        <v>2</v>
      </c>
      <c r="R983">
        <v>2</v>
      </c>
      <c r="S983" t="s">
        <v>34</v>
      </c>
      <c r="T983" t="s">
        <v>24</v>
      </c>
      <c r="U983" t="str">
        <f>IF(Table1[[#This Row],[YearsSince
LastPromotion]]&gt; 4, "Delayed", "Normal")</f>
        <v>Normal</v>
      </c>
      <c r="V983" t="str">
        <f>IF(Table1[[#This Row],[Years
InCurrentRole]]&gt;4, "Role Stagnent", "Normal")</f>
        <v>Normal</v>
      </c>
      <c r="W983" t="str">
        <f>IF(AND(Table1[[#This Row],[Years
InCurrentRole]]&gt; 4, Table1[[#This Row],[Performance
Rating]]&gt;=3), "High Risk", "Normal")</f>
        <v>Normal</v>
      </c>
      <c r="X983" t="str">
        <f>IF(Table1[[#This Row],[Performance
Rating]]&gt;=4, "High Performer", "Low Performer")</f>
        <v>Low Performer</v>
      </c>
    </row>
    <row r="984" spans="2:24" x14ac:dyDescent="0.3">
      <c r="B984" t="s">
        <v>19</v>
      </c>
      <c r="C984" t="s">
        <v>25</v>
      </c>
      <c r="D984">
        <v>1</v>
      </c>
      <c r="E984" t="s">
        <v>28</v>
      </c>
      <c r="F984">
        <v>2</v>
      </c>
      <c r="G984" t="s">
        <v>33</v>
      </c>
      <c r="H984">
        <v>1</v>
      </c>
      <c r="I984">
        <v>4298</v>
      </c>
      <c r="J984">
        <v>19</v>
      </c>
      <c r="K984">
        <v>3</v>
      </c>
      <c r="L984">
        <v>1</v>
      </c>
      <c r="M984">
        <v>6</v>
      </c>
      <c r="N984">
        <v>1</v>
      </c>
      <c r="O984">
        <v>3</v>
      </c>
      <c r="P984">
        <v>2</v>
      </c>
      <c r="Q984">
        <v>2</v>
      </c>
      <c r="R984">
        <v>2</v>
      </c>
      <c r="S984" t="s">
        <v>34</v>
      </c>
      <c r="T984" t="s">
        <v>24</v>
      </c>
      <c r="U984" t="str">
        <f>IF(Table1[[#This Row],[YearsSince
LastPromotion]]&gt; 4, "Delayed", "Normal")</f>
        <v>Normal</v>
      </c>
      <c r="V984" t="str">
        <f>IF(Table1[[#This Row],[Years
InCurrentRole]]&gt;4, "Role Stagnent", "Normal")</f>
        <v>Normal</v>
      </c>
      <c r="W984" t="str">
        <f>IF(AND(Table1[[#This Row],[Years
InCurrentRole]]&gt; 4, Table1[[#This Row],[Performance
Rating]]&gt;=3), "High Risk", "Normal")</f>
        <v>Normal</v>
      </c>
      <c r="X984" t="str">
        <f>IF(Table1[[#This Row],[Performance
Rating]]&gt;=4, "High Performer", "Low Performer")</f>
        <v>Low Performer</v>
      </c>
    </row>
    <row r="985" spans="2:24" x14ac:dyDescent="0.3">
      <c r="B985" t="s">
        <v>19</v>
      </c>
      <c r="C985" t="s">
        <v>20</v>
      </c>
      <c r="D985">
        <v>1</v>
      </c>
      <c r="E985" t="s">
        <v>28</v>
      </c>
      <c r="F985">
        <v>2</v>
      </c>
      <c r="G985" t="s">
        <v>32</v>
      </c>
      <c r="H985">
        <v>1</v>
      </c>
      <c r="I985">
        <v>5405</v>
      </c>
      <c r="J985">
        <v>14</v>
      </c>
      <c r="K985">
        <v>3</v>
      </c>
      <c r="L985">
        <v>0</v>
      </c>
      <c r="M985">
        <v>10</v>
      </c>
      <c r="N985">
        <v>1</v>
      </c>
      <c r="O985">
        <v>3</v>
      </c>
      <c r="P985">
        <v>2</v>
      </c>
      <c r="Q985">
        <v>2</v>
      </c>
      <c r="R985">
        <v>2</v>
      </c>
      <c r="S985" t="s">
        <v>34</v>
      </c>
      <c r="T985" t="s">
        <v>24</v>
      </c>
      <c r="U985" t="str">
        <f>IF(Table1[[#This Row],[YearsSince
LastPromotion]]&gt; 4, "Delayed", "Normal")</f>
        <v>Normal</v>
      </c>
      <c r="V985" t="str">
        <f>IF(Table1[[#This Row],[Years
InCurrentRole]]&gt;4, "Role Stagnent", "Normal")</f>
        <v>Normal</v>
      </c>
      <c r="W985" t="str">
        <f>IF(AND(Table1[[#This Row],[Years
InCurrentRole]]&gt; 4, Table1[[#This Row],[Performance
Rating]]&gt;=3), "High Risk", "Normal")</f>
        <v>Normal</v>
      </c>
      <c r="X985" t="str">
        <f>IF(Table1[[#This Row],[Performance
Rating]]&gt;=4, "High Performer", "Low Performer")</f>
        <v>Low Performer</v>
      </c>
    </row>
    <row r="986" spans="2:24" x14ac:dyDescent="0.3">
      <c r="B986" t="s">
        <v>19</v>
      </c>
      <c r="C986" t="s">
        <v>25</v>
      </c>
      <c r="D986">
        <v>1</v>
      </c>
      <c r="E986" t="s">
        <v>28</v>
      </c>
      <c r="F986">
        <v>1</v>
      </c>
      <c r="G986" t="s">
        <v>29</v>
      </c>
      <c r="H986">
        <v>4</v>
      </c>
      <c r="I986">
        <v>3867</v>
      </c>
      <c r="J986">
        <v>12</v>
      </c>
      <c r="K986">
        <v>3</v>
      </c>
      <c r="L986">
        <v>1</v>
      </c>
      <c r="M986">
        <v>2</v>
      </c>
      <c r="N986">
        <v>2</v>
      </c>
      <c r="O986">
        <v>3</v>
      </c>
      <c r="P986">
        <v>2</v>
      </c>
      <c r="Q986">
        <v>2</v>
      </c>
      <c r="R986">
        <v>2</v>
      </c>
      <c r="S986" t="s">
        <v>34</v>
      </c>
      <c r="T986" t="s">
        <v>24</v>
      </c>
      <c r="U986" t="str">
        <f>IF(Table1[[#This Row],[YearsSince
LastPromotion]]&gt; 4, "Delayed", "Normal")</f>
        <v>Normal</v>
      </c>
      <c r="V986" t="str">
        <f>IF(Table1[[#This Row],[Years
InCurrentRole]]&gt;4, "Role Stagnent", "Normal")</f>
        <v>Normal</v>
      </c>
      <c r="W986" t="str">
        <f>IF(AND(Table1[[#This Row],[Years
InCurrentRole]]&gt; 4, Table1[[#This Row],[Performance
Rating]]&gt;=3), "High Risk", "Normal")</f>
        <v>Normal</v>
      </c>
      <c r="X986" t="str">
        <f>IF(Table1[[#This Row],[Performance
Rating]]&gt;=4, "High Performer", "Low Performer")</f>
        <v>Low Performer</v>
      </c>
    </row>
    <row r="987" spans="2:24" x14ac:dyDescent="0.3">
      <c r="B987" t="s">
        <v>19</v>
      </c>
      <c r="C987" t="s">
        <v>25</v>
      </c>
      <c r="D987">
        <v>1</v>
      </c>
      <c r="E987" t="s">
        <v>21</v>
      </c>
      <c r="F987">
        <v>1</v>
      </c>
      <c r="G987" t="s">
        <v>29</v>
      </c>
      <c r="H987">
        <v>2</v>
      </c>
      <c r="I987">
        <v>2743</v>
      </c>
      <c r="J987">
        <v>20</v>
      </c>
      <c r="K987">
        <v>4</v>
      </c>
      <c r="L987">
        <v>1</v>
      </c>
      <c r="M987">
        <v>2</v>
      </c>
      <c r="N987">
        <v>2</v>
      </c>
      <c r="O987">
        <v>3</v>
      </c>
      <c r="P987">
        <v>2</v>
      </c>
      <c r="Q987">
        <v>2</v>
      </c>
      <c r="R987">
        <v>2</v>
      </c>
      <c r="S987" t="s">
        <v>34</v>
      </c>
      <c r="T987" t="s">
        <v>24</v>
      </c>
      <c r="U987" t="str">
        <f>IF(Table1[[#This Row],[YearsSince
LastPromotion]]&gt; 4, "Delayed", "Normal")</f>
        <v>Normal</v>
      </c>
      <c r="V987" t="str">
        <f>IF(Table1[[#This Row],[Years
InCurrentRole]]&gt;4, "Role Stagnent", "Normal")</f>
        <v>Normal</v>
      </c>
      <c r="W987" t="str">
        <f>IF(AND(Table1[[#This Row],[Years
InCurrentRole]]&gt; 4, Table1[[#This Row],[Performance
Rating]]&gt;=3), "High Risk", "Normal")</f>
        <v>Normal</v>
      </c>
      <c r="X987" t="str">
        <f>IF(Table1[[#This Row],[Performance
Rating]]&gt;=4, "High Performer", "Low Performer")</f>
        <v>High Performer</v>
      </c>
    </row>
    <row r="988" spans="2:24" x14ac:dyDescent="0.3">
      <c r="B988" t="s">
        <v>19</v>
      </c>
      <c r="C988" t="s">
        <v>25</v>
      </c>
      <c r="D988">
        <v>1</v>
      </c>
      <c r="E988" t="s">
        <v>28</v>
      </c>
      <c r="F988">
        <v>1</v>
      </c>
      <c r="G988" t="s">
        <v>26</v>
      </c>
      <c r="H988">
        <v>4</v>
      </c>
      <c r="I988">
        <v>2889</v>
      </c>
      <c r="J988">
        <v>11</v>
      </c>
      <c r="K988">
        <v>3</v>
      </c>
      <c r="L988">
        <v>2</v>
      </c>
      <c r="M988">
        <v>2</v>
      </c>
      <c r="N988">
        <v>2</v>
      </c>
      <c r="O988">
        <v>3</v>
      </c>
      <c r="P988">
        <v>2</v>
      </c>
      <c r="Q988">
        <v>2</v>
      </c>
      <c r="R988">
        <v>2</v>
      </c>
      <c r="S988" t="s">
        <v>34</v>
      </c>
      <c r="T988" t="s">
        <v>24</v>
      </c>
      <c r="U988" t="str">
        <f>IF(Table1[[#This Row],[YearsSince
LastPromotion]]&gt; 4, "Delayed", "Normal")</f>
        <v>Normal</v>
      </c>
      <c r="V988" t="str">
        <f>IF(Table1[[#This Row],[Years
InCurrentRole]]&gt;4, "Role Stagnent", "Normal")</f>
        <v>Normal</v>
      </c>
      <c r="W988" t="str">
        <f>IF(AND(Table1[[#This Row],[Years
InCurrentRole]]&gt; 4, Table1[[#This Row],[Performance
Rating]]&gt;=3), "High Risk", "Normal")</f>
        <v>Normal</v>
      </c>
      <c r="X988" t="str">
        <f>IF(Table1[[#This Row],[Performance
Rating]]&gt;=4, "High Performer", "Low Performer")</f>
        <v>Low Performer</v>
      </c>
    </row>
    <row r="989" spans="2:24" x14ac:dyDescent="0.3">
      <c r="B989" t="s">
        <v>19</v>
      </c>
      <c r="C989" t="s">
        <v>20</v>
      </c>
      <c r="D989">
        <v>1</v>
      </c>
      <c r="E989" t="s">
        <v>28</v>
      </c>
      <c r="F989">
        <v>1</v>
      </c>
      <c r="G989" t="s">
        <v>30</v>
      </c>
      <c r="H989">
        <v>2</v>
      </c>
      <c r="I989">
        <v>2297</v>
      </c>
      <c r="J989">
        <v>14</v>
      </c>
      <c r="K989">
        <v>3</v>
      </c>
      <c r="L989">
        <v>2</v>
      </c>
      <c r="M989">
        <v>2</v>
      </c>
      <c r="N989">
        <v>2</v>
      </c>
      <c r="O989">
        <v>3</v>
      </c>
      <c r="P989">
        <v>2</v>
      </c>
      <c r="Q989">
        <v>2</v>
      </c>
      <c r="R989">
        <v>2</v>
      </c>
      <c r="S989" t="s">
        <v>34</v>
      </c>
      <c r="T989" t="s">
        <v>24</v>
      </c>
      <c r="U989" t="str">
        <f>IF(Table1[[#This Row],[YearsSince
LastPromotion]]&gt; 4, "Delayed", "Normal")</f>
        <v>Normal</v>
      </c>
      <c r="V989" t="str">
        <f>IF(Table1[[#This Row],[Years
InCurrentRole]]&gt;4, "Role Stagnent", "Normal")</f>
        <v>Normal</v>
      </c>
      <c r="W989" t="str">
        <f>IF(AND(Table1[[#This Row],[Years
InCurrentRole]]&gt; 4, Table1[[#This Row],[Performance
Rating]]&gt;=3), "High Risk", "Normal")</f>
        <v>Normal</v>
      </c>
      <c r="X989" t="str">
        <f>IF(Table1[[#This Row],[Performance
Rating]]&gt;=4, "High Performer", "Low Performer")</f>
        <v>Low Performer</v>
      </c>
    </row>
    <row r="990" spans="2:24" x14ac:dyDescent="0.3">
      <c r="B990" t="s">
        <v>19</v>
      </c>
      <c r="C990" t="s">
        <v>25</v>
      </c>
      <c r="D990">
        <v>1</v>
      </c>
      <c r="E990" t="s">
        <v>28</v>
      </c>
      <c r="F990">
        <v>1</v>
      </c>
      <c r="G990" t="s">
        <v>26</v>
      </c>
      <c r="H990">
        <v>4</v>
      </c>
      <c r="I990">
        <v>3117</v>
      </c>
      <c r="J990">
        <v>18</v>
      </c>
      <c r="K990">
        <v>3</v>
      </c>
      <c r="L990">
        <v>0</v>
      </c>
      <c r="M990">
        <v>3</v>
      </c>
      <c r="N990">
        <v>2</v>
      </c>
      <c r="O990">
        <v>3</v>
      </c>
      <c r="P990">
        <v>2</v>
      </c>
      <c r="Q990">
        <v>2</v>
      </c>
      <c r="R990">
        <v>2</v>
      </c>
      <c r="S990" t="s">
        <v>34</v>
      </c>
      <c r="T990" t="s">
        <v>24</v>
      </c>
      <c r="U990" t="str">
        <f>IF(Table1[[#This Row],[YearsSince
LastPromotion]]&gt; 4, "Delayed", "Normal")</f>
        <v>Normal</v>
      </c>
      <c r="V990" t="str">
        <f>IF(Table1[[#This Row],[Years
InCurrentRole]]&gt;4, "Role Stagnent", "Normal")</f>
        <v>Normal</v>
      </c>
      <c r="W990" t="str">
        <f>IF(AND(Table1[[#This Row],[Years
InCurrentRole]]&gt; 4, Table1[[#This Row],[Performance
Rating]]&gt;=3), "High Risk", "Normal")</f>
        <v>Normal</v>
      </c>
      <c r="X990" t="str">
        <f>IF(Table1[[#This Row],[Performance
Rating]]&gt;=4, "High Performer", "Low Performer")</f>
        <v>Low Performer</v>
      </c>
    </row>
    <row r="991" spans="2:24" x14ac:dyDescent="0.3">
      <c r="B991" t="s">
        <v>19</v>
      </c>
      <c r="C991" t="s">
        <v>36</v>
      </c>
      <c r="D991">
        <v>1</v>
      </c>
      <c r="E991" t="s">
        <v>28</v>
      </c>
      <c r="F991">
        <v>1</v>
      </c>
      <c r="G991" t="s">
        <v>36</v>
      </c>
      <c r="H991">
        <v>4</v>
      </c>
      <c r="I991">
        <v>2145</v>
      </c>
      <c r="J991">
        <v>14</v>
      </c>
      <c r="K991">
        <v>3</v>
      </c>
      <c r="L991">
        <v>1</v>
      </c>
      <c r="M991">
        <v>3</v>
      </c>
      <c r="N991">
        <v>2</v>
      </c>
      <c r="O991">
        <v>3</v>
      </c>
      <c r="P991">
        <v>2</v>
      </c>
      <c r="Q991">
        <v>2</v>
      </c>
      <c r="R991">
        <v>2</v>
      </c>
      <c r="S991" t="s">
        <v>34</v>
      </c>
      <c r="T991" t="s">
        <v>24</v>
      </c>
      <c r="U991" t="str">
        <f>IF(Table1[[#This Row],[YearsSince
LastPromotion]]&gt; 4, "Delayed", "Normal")</f>
        <v>Normal</v>
      </c>
      <c r="V991" t="str">
        <f>IF(Table1[[#This Row],[Years
InCurrentRole]]&gt;4, "Role Stagnent", "Normal")</f>
        <v>Normal</v>
      </c>
      <c r="W991" t="str">
        <f>IF(AND(Table1[[#This Row],[Years
InCurrentRole]]&gt; 4, Table1[[#This Row],[Performance
Rating]]&gt;=3), "High Risk", "Normal")</f>
        <v>Normal</v>
      </c>
      <c r="X991" t="str">
        <f>IF(Table1[[#This Row],[Performance
Rating]]&gt;=4, "High Performer", "Low Performer")</f>
        <v>Low Performer</v>
      </c>
    </row>
    <row r="992" spans="2:24" x14ac:dyDescent="0.3">
      <c r="B992" t="s">
        <v>19</v>
      </c>
      <c r="C992" t="s">
        <v>20</v>
      </c>
      <c r="D992">
        <v>1</v>
      </c>
      <c r="E992" t="s">
        <v>28</v>
      </c>
      <c r="F992">
        <v>1</v>
      </c>
      <c r="G992" t="s">
        <v>30</v>
      </c>
      <c r="H992">
        <v>2</v>
      </c>
      <c r="I992">
        <v>2269</v>
      </c>
      <c r="J992">
        <v>14</v>
      </c>
      <c r="K992">
        <v>3</v>
      </c>
      <c r="L992">
        <v>1</v>
      </c>
      <c r="M992">
        <v>3</v>
      </c>
      <c r="N992">
        <v>2</v>
      </c>
      <c r="O992">
        <v>3</v>
      </c>
      <c r="P992">
        <v>2</v>
      </c>
      <c r="Q992">
        <v>2</v>
      </c>
      <c r="R992">
        <v>2</v>
      </c>
      <c r="S992" t="s">
        <v>34</v>
      </c>
      <c r="T992" t="s">
        <v>24</v>
      </c>
      <c r="U992" t="str">
        <f>IF(Table1[[#This Row],[YearsSince
LastPromotion]]&gt; 4, "Delayed", "Normal")</f>
        <v>Normal</v>
      </c>
      <c r="V992" t="str">
        <f>IF(Table1[[#This Row],[Years
InCurrentRole]]&gt;4, "Role Stagnent", "Normal")</f>
        <v>Normal</v>
      </c>
      <c r="W992" t="str">
        <f>IF(AND(Table1[[#This Row],[Years
InCurrentRole]]&gt; 4, Table1[[#This Row],[Performance
Rating]]&gt;=3), "High Risk", "Normal")</f>
        <v>Normal</v>
      </c>
      <c r="X992" t="str">
        <f>IF(Table1[[#This Row],[Performance
Rating]]&gt;=4, "High Performer", "Low Performer")</f>
        <v>Low Performer</v>
      </c>
    </row>
    <row r="993" spans="2:24" x14ac:dyDescent="0.3">
      <c r="B993" t="s">
        <v>27</v>
      </c>
      <c r="C993" t="s">
        <v>20</v>
      </c>
      <c r="D993">
        <v>1</v>
      </c>
      <c r="E993" t="s">
        <v>21</v>
      </c>
      <c r="F993">
        <v>2</v>
      </c>
      <c r="G993" t="s">
        <v>32</v>
      </c>
      <c r="H993">
        <v>3</v>
      </c>
      <c r="I993">
        <v>4559</v>
      </c>
      <c r="J993">
        <v>11</v>
      </c>
      <c r="K993">
        <v>3</v>
      </c>
      <c r="L993">
        <v>1</v>
      </c>
      <c r="M993">
        <v>4</v>
      </c>
      <c r="N993">
        <v>2</v>
      </c>
      <c r="O993">
        <v>3</v>
      </c>
      <c r="P993">
        <v>2</v>
      </c>
      <c r="Q993">
        <v>2</v>
      </c>
      <c r="R993">
        <v>2</v>
      </c>
      <c r="S993" t="s">
        <v>34</v>
      </c>
      <c r="T993" t="s">
        <v>24</v>
      </c>
      <c r="U993" t="str">
        <f>IF(Table1[[#This Row],[YearsSince
LastPromotion]]&gt; 4, "Delayed", "Normal")</f>
        <v>Normal</v>
      </c>
      <c r="V993" t="str">
        <f>IF(Table1[[#This Row],[Years
InCurrentRole]]&gt;4, "Role Stagnent", "Normal")</f>
        <v>Normal</v>
      </c>
      <c r="W993" t="str">
        <f>IF(AND(Table1[[#This Row],[Years
InCurrentRole]]&gt; 4, Table1[[#This Row],[Performance
Rating]]&gt;=3), "High Risk", "Normal")</f>
        <v>Normal</v>
      </c>
      <c r="X993" t="str">
        <f>IF(Table1[[#This Row],[Performance
Rating]]&gt;=4, "High Performer", "Low Performer")</f>
        <v>Low Performer</v>
      </c>
    </row>
    <row r="994" spans="2:24" x14ac:dyDescent="0.3">
      <c r="B994" t="s">
        <v>19</v>
      </c>
      <c r="C994" t="s">
        <v>25</v>
      </c>
      <c r="D994">
        <v>1</v>
      </c>
      <c r="E994" t="s">
        <v>21</v>
      </c>
      <c r="F994">
        <v>1</v>
      </c>
      <c r="G994" t="s">
        <v>29</v>
      </c>
      <c r="H994">
        <v>2</v>
      </c>
      <c r="I994">
        <v>2811</v>
      </c>
      <c r="J994">
        <v>14</v>
      </c>
      <c r="K994">
        <v>3</v>
      </c>
      <c r="L994">
        <v>1</v>
      </c>
      <c r="M994">
        <v>4</v>
      </c>
      <c r="N994">
        <v>2</v>
      </c>
      <c r="O994">
        <v>3</v>
      </c>
      <c r="P994">
        <v>2</v>
      </c>
      <c r="Q994">
        <v>2</v>
      </c>
      <c r="R994">
        <v>2</v>
      </c>
      <c r="S994" t="s">
        <v>34</v>
      </c>
      <c r="T994" t="s">
        <v>24</v>
      </c>
      <c r="U994" t="str">
        <f>IF(Table1[[#This Row],[YearsSince
LastPromotion]]&gt; 4, "Delayed", "Normal")</f>
        <v>Normal</v>
      </c>
      <c r="V994" t="str">
        <f>IF(Table1[[#This Row],[Years
InCurrentRole]]&gt;4, "Role Stagnent", "Normal")</f>
        <v>Normal</v>
      </c>
      <c r="W994" t="str">
        <f>IF(AND(Table1[[#This Row],[Years
InCurrentRole]]&gt; 4, Table1[[#This Row],[Performance
Rating]]&gt;=3), "High Risk", "Normal")</f>
        <v>Normal</v>
      </c>
      <c r="X994" t="str">
        <f>IF(Table1[[#This Row],[Performance
Rating]]&gt;=4, "High Performer", "Low Performer")</f>
        <v>Low Performer</v>
      </c>
    </row>
    <row r="995" spans="2:24" x14ac:dyDescent="0.3">
      <c r="B995" t="s">
        <v>19</v>
      </c>
      <c r="C995" t="s">
        <v>20</v>
      </c>
      <c r="D995">
        <v>1</v>
      </c>
      <c r="E995" t="s">
        <v>28</v>
      </c>
      <c r="F995">
        <v>1</v>
      </c>
      <c r="G995" t="s">
        <v>30</v>
      </c>
      <c r="H995">
        <v>2</v>
      </c>
      <c r="I995">
        <v>3875</v>
      </c>
      <c r="J995">
        <v>15</v>
      </c>
      <c r="K995">
        <v>3</v>
      </c>
      <c r="L995">
        <v>1</v>
      </c>
      <c r="M995">
        <v>4</v>
      </c>
      <c r="N995">
        <v>2</v>
      </c>
      <c r="O995">
        <v>3</v>
      </c>
      <c r="P995">
        <v>2</v>
      </c>
      <c r="Q995">
        <v>2</v>
      </c>
      <c r="R995">
        <v>2</v>
      </c>
      <c r="S995" t="s">
        <v>34</v>
      </c>
      <c r="T995" t="s">
        <v>24</v>
      </c>
      <c r="U995" t="str">
        <f>IF(Table1[[#This Row],[YearsSince
LastPromotion]]&gt; 4, "Delayed", "Normal")</f>
        <v>Normal</v>
      </c>
      <c r="V995" t="str">
        <f>IF(Table1[[#This Row],[Years
InCurrentRole]]&gt;4, "Role Stagnent", "Normal")</f>
        <v>Normal</v>
      </c>
      <c r="W995" t="str">
        <f>IF(AND(Table1[[#This Row],[Years
InCurrentRole]]&gt; 4, Table1[[#This Row],[Performance
Rating]]&gt;=3), "High Risk", "Normal")</f>
        <v>Normal</v>
      </c>
      <c r="X995" t="str">
        <f>IF(Table1[[#This Row],[Performance
Rating]]&gt;=4, "High Performer", "Low Performer")</f>
        <v>Low Performer</v>
      </c>
    </row>
    <row r="996" spans="2:24" x14ac:dyDescent="0.3">
      <c r="B996" t="s">
        <v>19</v>
      </c>
      <c r="C996" t="s">
        <v>25</v>
      </c>
      <c r="D996">
        <v>1</v>
      </c>
      <c r="E996" t="s">
        <v>28</v>
      </c>
      <c r="F996">
        <v>1</v>
      </c>
      <c r="G996" t="s">
        <v>26</v>
      </c>
      <c r="H996">
        <v>3</v>
      </c>
      <c r="I996">
        <v>2073</v>
      </c>
      <c r="J996">
        <v>16</v>
      </c>
      <c r="K996">
        <v>3</v>
      </c>
      <c r="L996">
        <v>1</v>
      </c>
      <c r="M996">
        <v>4</v>
      </c>
      <c r="N996">
        <v>2</v>
      </c>
      <c r="O996">
        <v>3</v>
      </c>
      <c r="P996">
        <v>2</v>
      </c>
      <c r="Q996">
        <v>2</v>
      </c>
      <c r="R996">
        <v>2</v>
      </c>
      <c r="S996" t="s">
        <v>34</v>
      </c>
      <c r="T996" t="s">
        <v>24</v>
      </c>
      <c r="U996" t="str">
        <f>IF(Table1[[#This Row],[YearsSince
LastPromotion]]&gt; 4, "Delayed", "Normal")</f>
        <v>Normal</v>
      </c>
      <c r="V996" t="str">
        <f>IF(Table1[[#This Row],[Years
InCurrentRole]]&gt;4, "Role Stagnent", "Normal")</f>
        <v>Normal</v>
      </c>
      <c r="W996" t="str">
        <f>IF(AND(Table1[[#This Row],[Years
InCurrentRole]]&gt; 4, Table1[[#This Row],[Performance
Rating]]&gt;=3), "High Risk", "Normal")</f>
        <v>Normal</v>
      </c>
      <c r="X996" t="str">
        <f>IF(Table1[[#This Row],[Performance
Rating]]&gt;=4, "High Performer", "Low Performer")</f>
        <v>Low Performer</v>
      </c>
    </row>
    <row r="997" spans="2:24" x14ac:dyDescent="0.3">
      <c r="B997" t="s">
        <v>19</v>
      </c>
      <c r="C997" t="s">
        <v>25</v>
      </c>
      <c r="D997">
        <v>1</v>
      </c>
      <c r="E997" t="s">
        <v>21</v>
      </c>
      <c r="F997">
        <v>1</v>
      </c>
      <c r="G997" t="s">
        <v>29</v>
      </c>
      <c r="H997">
        <v>4</v>
      </c>
      <c r="I997">
        <v>4364</v>
      </c>
      <c r="J997">
        <v>14</v>
      </c>
      <c r="K997">
        <v>3</v>
      </c>
      <c r="L997">
        <v>1</v>
      </c>
      <c r="M997">
        <v>5</v>
      </c>
      <c r="N997">
        <v>2</v>
      </c>
      <c r="O997">
        <v>3</v>
      </c>
      <c r="P997">
        <v>2</v>
      </c>
      <c r="Q997">
        <v>2</v>
      </c>
      <c r="R997">
        <v>2</v>
      </c>
      <c r="S997" t="s">
        <v>34</v>
      </c>
      <c r="T997" t="s">
        <v>24</v>
      </c>
      <c r="U997" t="str">
        <f>IF(Table1[[#This Row],[YearsSince
LastPromotion]]&gt; 4, "Delayed", "Normal")</f>
        <v>Normal</v>
      </c>
      <c r="V997" t="str">
        <f>IF(Table1[[#This Row],[Years
InCurrentRole]]&gt;4, "Role Stagnent", "Normal")</f>
        <v>Normal</v>
      </c>
      <c r="W997" t="str">
        <f>IF(AND(Table1[[#This Row],[Years
InCurrentRole]]&gt; 4, Table1[[#This Row],[Performance
Rating]]&gt;=3), "High Risk", "Normal")</f>
        <v>Normal</v>
      </c>
      <c r="X997" t="str">
        <f>IF(Table1[[#This Row],[Performance
Rating]]&gt;=4, "High Performer", "Low Performer")</f>
        <v>Low Performer</v>
      </c>
    </row>
    <row r="998" spans="2:24" x14ac:dyDescent="0.3">
      <c r="B998" t="s">
        <v>19</v>
      </c>
      <c r="C998" t="s">
        <v>25</v>
      </c>
      <c r="D998">
        <v>1</v>
      </c>
      <c r="E998" t="s">
        <v>21</v>
      </c>
      <c r="F998">
        <v>1</v>
      </c>
      <c r="G998" t="s">
        <v>26</v>
      </c>
      <c r="H998">
        <v>3</v>
      </c>
      <c r="I998">
        <v>2377</v>
      </c>
      <c r="J998">
        <v>18</v>
      </c>
      <c r="K998">
        <v>3</v>
      </c>
      <c r="L998">
        <v>1</v>
      </c>
      <c r="M998">
        <v>6</v>
      </c>
      <c r="N998">
        <v>2</v>
      </c>
      <c r="O998">
        <v>3</v>
      </c>
      <c r="P998">
        <v>2</v>
      </c>
      <c r="Q998">
        <v>2</v>
      </c>
      <c r="R998">
        <v>2</v>
      </c>
      <c r="S998" t="s">
        <v>34</v>
      </c>
      <c r="T998" t="s">
        <v>24</v>
      </c>
      <c r="U998" t="str">
        <f>IF(Table1[[#This Row],[YearsSince
LastPromotion]]&gt; 4, "Delayed", "Normal")</f>
        <v>Normal</v>
      </c>
      <c r="V998" t="str">
        <f>IF(Table1[[#This Row],[Years
InCurrentRole]]&gt;4, "Role Stagnent", "Normal")</f>
        <v>Normal</v>
      </c>
      <c r="W998" t="str">
        <f>IF(AND(Table1[[#This Row],[Years
InCurrentRole]]&gt; 4, Table1[[#This Row],[Performance
Rating]]&gt;=3), "High Risk", "Normal")</f>
        <v>Normal</v>
      </c>
      <c r="X998" t="str">
        <f>IF(Table1[[#This Row],[Performance
Rating]]&gt;=4, "High Performer", "Low Performer")</f>
        <v>Low Performer</v>
      </c>
    </row>
    <row r="999" spans="2:24" x14ac:dyDescent="0.3">
      <c r="B999" t="s">
        <v>19</v>
      </c>
      <c r="C999" t="s">
        <v>25</v>
      </c>
      <c r="D999">
        <v>1</v>
      </c>
      <c r="E999" t="s">
        <v>21</v>
      </c>
      <c r="F999">
        <v>1</v>
      </c>
      <c r="G999" t="s">
        <v>29</v>
      </c>
      <c r="H999">
        <v>3</v>
      </c>
      <c r="I999">
        <v>2105</v>
      </c>
      <c r="J999">
        <v>12</v>
      </c>
      <c r="K999">
        <v>3</v>
      </c>
      <c r="L999">
        <v>0</v>
      </c>
      <c r="M999">
        <v>7</v>
      </c>
      <c r="N999">
        <v>2</v>
      </c>
      <c r="O999">
        <v>3</v>
      </c>
      <c r="P999">
        <v>2</v>
      </c>
      <c r="Q999">
        <v>2</v>
      </c>
      <c r="R999">
        <v>2</v>
      </c>
      <c r="S999" t="s">
        <v>34</v>
      </c>
      <c r="T999" t="s">
        <v>24</v>
      </c>
      <c r="U999" t="str">
        <f>IF(Table1[[#This Row],[YearsSince
LastPromotion]]&gt; 4, "Delayed", "Normal")</f>
        <v>Normal</v>
      </c>
      <c r="V999" t="str">
        <f>IF(Table1[[#This Row],[Years
InCurrentRole]]&gt;4, "Role Stagnent", "Normal")</f>
        <v>Normal</v>
      </c>
      <c r="W999" t="str">
        <f>IF(AND(Table1[[#This Row],[Years
InCurrentRole]]&gt; 4, Table1[[#This Row],[Performance
Rating]]&gt;=3), "High Risk", "Normal")</f>
        <v>Normal</v>
      </c>
      <c r="X999" t="str">
        <f>IF(Table1[[#This Row],[Performance
Rating]]&gt;=4, "High Performer", "Low Performer")</f>
        <v>Low Performer</v>
      </c>
    </row>
    <row r="1000" spans="2:24" x14ac:dyDescent="0.3">
      <c r="B1000" t="s">
        <v>27</v>
      </c>
      <c r="C1000" t="s">
        <v>25</v>
      </c>
      <c r="D1000">
        <v>1</v>
      </c>
      <c r="E1000" t="s">
        <v>28</v>
      </c>
      <c r="F1000">
        <v>1</v>
      </c>
      <c r="G1000" t="s">
        <v>26</v>
      </c>
      <c r="H1000">
        <v>3</v>
      </c>
      <c r="I1000">
        <v>2759</v>
      </c>
      <c r="J1000">
        <v>12</v>
      </c>
      <c r="K1000">
        <v>3</v>
      </c>
      <c r="L1000">
        <v>0</v>
      </c>
      <c r="M1000">
        <v>7</v>
      </c>
      <c r="N1000">
        <v>2</v>
      </c>
      <c r="O1000">
        <v>3</v>
      </c>
      <c r="P1000">
        <v>2</v>
      </c>
      <c r="Q1000">
        <v>2</v>
      </c>
      <c r="R1000">
        <v>2</v>
      </c>
      <c r="S1000" t="s">
        <v>34</v>
      </c>
      <c r="T1000" t="s">
        <v>24</v>
      </c>
      <c r="U1000" t="str">
        <f>IF(Table1[[#This Row],[YearsSince
LastPromotion]]&gt; 4, "Delayed", "Normal")</f>
        <v>Normal</v>
      </c>
      <c r="V1000" t="str">
        <f>IF(Table1[[#This Row],[Years
InCurrentRole]]&gt;4, "Role Stagnent", "Normal")</f>
        <v>Normal</v>
      </c>
      <c r="W1000" t="str">
        <f>IF(AND(Table1[[#This Row],[Years
InCurrentRole]]&gt; 4, Table1[[#This Row],[Performance
Rating]]&gt;=3), "High Risk", "Normal")</f>
        <v>Normal</v>
      </c>
      <c r="X1000" t="str">
        <f>IF(Table1[[#This Row],[Performance
Rating]]&gt;=4, "High Performer", "Low Performer")</f>
        <v>Low Performer</v>
      </c>
    </row>
    <row r="1001" spans="2:24" x14ac:dyDescent="0.3">
      <c r="B1001" t="s">
        <v>19</v>
      </c>
      <c r="C1001" t="s">
        <v>25</v>
      </c>
      <c r="D1001">
        <v>1</v>
      </c>
      <c r="E1001" t="s">
        <v>28</v>
      </c>
      <c r="F1001">
        <v>2</v>
      </c>
      <c r="G1001" t="s">
        <v>26</v>
      </c>
      <c r="H1001">
        <v>4</v>
      </c>
      <c r="I1001">
        <v>3902</v>
      </c>
      <c r="J1001">
        <v>14</v>
      </c>
      <c r="K1001">
        <v>3</v>
      </c>
      <c r="L1001">
        <v>3</v>
      </c>
      <c r="M1001">
        <v>7</v>
      </c>
      <c r="N1001">
        <v>2</v>
      </c>
      <c r="O1001">
        <v>3</v>
      </c>
      <c r="P1001">
        <v>2</v>
      </c>
      <c r="Q1001">
        <v>2</v>
      </c>
      <c r="R1001">
        <v>2</v>
      </c>
      <c r="S1001" t="s">
        <v>34</v>
      </c>
      <c r="T1001" t="s">
        <v>24</v>
      </c>
      <c r="U1001" t="str">
        <f>IF(Table1[[#This Row],[YearsSince
LastPromotion]]&gt; 4, "Delayed", "Normal")</f>
        <v>Normal</v>
      </c>
      <c r="V1001" t="str">
        <f>IF(Table1[[#This Row],[Years
InCurrentRole]]&gt;4, "Role Stagnent", "Normal")</f>
        <v>Normal</v>
      </c>
      <c r="W1001" t="str">
        <f>IF(AND(Table1[[#This Row],[Years
InCurrentRole]]&gt; 4, Table1[[#This Row],[Performance
Rating]]&gt;=3), "High Risk", "Normal")</f>
        <v>Normal</v>
      </c>
      <c r="X1001" t="str">
        <f>IF(Table1[[#This Row],[Performance
Rating]]&gt;=4, "High Performer", "Low Performer")</f>
        <v>Low Performer</v>
      </c>
    </row>
    <row r="1002" spans="2:24" x14ac:dyDescent="0.3">
      <c r="B1002" t="s">
        <v>19</v>
      </c>
      <c r="C1002" t="s">
        <v>25</v>
      </c>
      <c r="D1002">
        <v>1</v>
      </c>
      <c r="E1002" t="s">
        <v>28</v>
      </c>
      <c r="F1002">
        <v>1</v>
      </c>
      <c r="G1002" t="s">
        <v>26</v>
      </c>
      <c r="H1002">
        <v>3</v>
      </c>
      <c r="I1002">
        <v>2809</v>
      </c>
      <c r="J1002">
        <v>14</v>
      </c>
      <c r="K1002">
        <v>3</v>
      </c>
      <c r="L1002">
        <v>0</v>
      </c>
      <c r="M1002">
        <v>8</v>
      </c>
      <c r="N1002">
        <v>2</v>
      </c>
      <c r="O1002">
        <v>3</v>
      </c>
      <c r="P1002">
        <v>2</v>
      </c>
      <c r="Q1002">
        <v>2</v>
      </c>
      <c r="R1002">
        <v>2</v>
      </c>
      <c r="S1002" t="s">
        <v>34</v>
      </c>
      <c r="T1002" t="s">
        <v>24</v>
      </c>
      <c r="U1002" t="str">
        <f>IF(Table1[[#This Row],[YearsSince
LastPromotion]]&gt; 4, "Delayed", "Normal")</f>
        <v>Normal</v>
      </c>
      <c r="V1002" t="str">
        <f>IF(Table1[[#This Row],[Years
InCurrentRole]]&gt;4, "Role Stagnent", "Normal")</f>
        <v>Normal</v>
      </c>
      <c r="W1002" t="str">
        <f>IF(AND(Table1[[#This Row],[Years
InCurrentRole]]&gt; 4, Table1[[#This Row],[Performance
Rating]]&gt;=3), "High Risk", "Normal")</f>
        <v>Normal</v>
      </c>
      <c r="X1002" t="str">
        <f>IF(Table1[[#This Row],[Performance
Rating]]&gt;=4, "High Performer", "Low Performer")</f>
        <v>Low Performer</v>
      </c>
    </row>
    <row r="1003" spans="2:24" x14ac:dyDescent="0.3">
      <c r="B1003" t="s">
        <v>19</v>
      </c>
      <c r="C1003" t="s">
        <v>25</v>
      </c>
      <c r="D1003">
        <v>1</v>
      </c>
      <c r="E1003" t="s">
        <v>28</v>
      </c>
      <c r="F1003">
        <v>2</v>
      </c>
      <c r="G1003" t="s">
        <v>31</v>
      </c>
      <c r="H1003">
        <v>4</v>
      </c>
      <c r="I1003">
        <v>4069</v>
      </c>
      <c r="J1003">
        <v>18</v>
      </c>
      <c r="K1003">
        <v>3</v>
      </c>
      <c r="L1003">
        <v>0</v>
      </c>
      <c r="M1003">
        <v>8</v>
      </c>
      <c r="N1003">
        <v>2</v>
      </c>
      <c r="O1003">
        <v>3</v>
      </c>
      <c r="P1003">
        <v>2</v>
      </c>
      <c r="Q1003">
        <v>2</v>
      </c>
      <c r="R1003">
        <v>2</v>
      </c>
      <c r="S1003" t="s">
        <v>34</v>
      </c>
      <c r="T1003" t="s">
        <v>24</v>
      </c>
      <c r="U1003" t="str">
        <f>IF(Table1[[#This Row],[YearsSince
LastPromotion]]&gt; 4, "Delayed", "Normal")</f>
        <v>Normal</v>
      </c>
      <c r="V1003" t="str">
        <f>IF(Table1[[#This Row],[Years
InCurrentRole]]&gt;4, "Role Stagnent", "Normal")</f>
        <v>Normal</v>
      </c>
      <c r="W1003" t="str">
        <f>IF(AND(Table1[[#This Row],[Years
InCurrentRole]]&gt; 4, Table1[[#This Row],[Performance
Rating]]&gt;=3), "High Risk", "Normal")</f>
        <v>Normal</v>
      </c>
      <c r="X1003" t="str">
        <f>IF(Table1[[#This Row],[Performance
Rating]]&gt;=4, "High Performer", "Low Performer")</f>
        <v>Low Performer</v>
      </c>
    </row>
    <row r="1004" spans="2:24" x14ac:dyDescent="0.3">
      <c r="B1004" t="s">
        <v>19</v>
      </c>
      <c r="C1004" t="s">
        <v>25</v>
      </c>
      <c r="D1004">
        <v>1</v>
      </c>
      <c r="E1004" t="s">
        <v>28</v>
      </c>
      <c r="F1004">
        <v>1</v>
      </c>
      <c r="G1004" t="s">
        <v>26</v>
      </c>
      <c r="H1004">
        <v>3</v>
      </c>
      <c r="I1004">
        <v>2821</v>
      </c>
      <c r="J1004">
        <v>16</v>
      </c>
      <c r="K1004">
        <v>3</v>
      </c>
      <c r="L1004">
        <v>1</v>
      </c>
      <c r="M1004">
        <v>8</v>
      </c>
      <c r="N1004">
        <v>2</v>
      </c>
      <c r="O1004">
        <v>3</v>
      </c>
      <c r="P1004">
        <v>2</v>
      </c>
      <c r="Q1004">
        <v>2</v>
      </c>
      <c r="R1004">
        <v>2</v>
      </c>
      <c r="S1004" t="s">
        <v>34</v>
      </c>
      <c r="T1004" t="s">
        <v>24</v>
      </c>
      <c r="U1004" t="str">
        <f>IF(Table1[[#This Row],[YearsSince
LastPromotion]]&gt; 4, "Delayed", "Normal")</f>
        <v>Normal</v>
      </c>
      <c r="V1004" t="str">
        <f>IF(Table1[[#This Row],[Years
InCurrentRole]]&gt;4, "Role Stagnent", "Normal")</f>
        <v>Normal</v>
      </c>
      <c r="W1004" t="str">
        <f>IF(AND(Table1[[#This Row],[Years
InCurrentRole]]&gt; 4, Table1[[#This Row],[Performance
Rating]]&gt;=3), "High Risk", "Normal")</f>
        <v>Normal</v>
      </c>
      <c r="X1004" t="str">
        <f>IF(Table1[[#This Row],[Performance
Rating]]&gt;=4, "High Performer", "Low Performer")</f>
        <v>Low Performer</v>
      </c>
    </row>
    <row r="1005" spans="2:24" x14ac:dyDescent="0.3">
      <c r="B1005" t="s">
        <v>19</v>
      </c>
      <c r="C1005" t="s">
        <v>36</v>
      </c>
      <c r="D1005">
        <v>1</v>
      </c>
      <c r="E1005" t="s">
        <v>21</v>
      </c>
      <c r="F1005">
        <v>1</v>
      </c>
      <c r="G1005" t="s">
        <v>36</v>
      </c>
      <c r="H1005">
        <v>4</v>
      </c>
      <c r="I1005">
        <v>3195</v>
      </c>
      <c r="J1005">
        <v>18</v>
      </c>
      <c r="K1005">
        <v>3</v>
      </c>
      <c r="L1005">
        <v>3</v>
      </c>
      <c r="M1005">
        <v>8</v>
      </c>
      <c r="N1005">
        <v>2</v>
      </c>
      <c r="O1005">
        <v>3</v>
      </c>
      <c r="P1005">
        <v>2</v>
      </c>
      <c r="Q1005">
        <v>2</v>
      </c>
      <c r="R1005">
        <v>2</v>
      </c>
      <c r="S1005" t="s">
        <v>34</v>
      </c>
      <c r="T1005" t="s">
        <v>24</v>
      </c>
      <c r="U1005" t="str">
        <f>IF(Table1[[#This Row],[YearsSince
LastPromotion]]&gt; 4, "Delayed", "Normal")</f>
        <v>Normal</v>
      </c>
      <c r="V1005" t="str">
        <f>IF(Table1[[#This Row],[Years
InCurrentRole]]&gt;4, "Role Stagnent", "Normal")</f>
        <v>Normal</v>
      </c>
      <c r="W1005" t="str">
        <f>IF(AND(Table1[[#This Row],[Years
InCurrentRole]]&gt; 4, Table1[[#This Row],[Performance
Rating]]&gt;=3), "High Risk", "Normal")</f>
        <v>Normal</v>
      </c>
      <c r="X1005" t="str">
        <f>IF(Table1[[#This Row],[Performance
Rating]]&gt;=4, "High Performer", "Low Performer")</f>
        <v>Low Performer</v>
      </c>
    </row>
    <row r="1006" spans="2:24" x14ac:dyDescent="0.3">
      <c r="B1006" t="s">
        <v>19</v>
      </c>
      <c r="C1006" t="s">
        <v>25</v>
      </c>
      <c r="D1006">
        <v>1</v>
      </c>
      <c r="E1006" t="s">
        <v>28</v>
      </c>
      <c r="F1006">
        <v>3</v>
      </c>
      <c r="G1006" t="s">
        <v>33</v>
      </c>
      <c r="H1006">
        <v>4</v>
      </c>
      <c r="I1006">
        <v>9362</v>
      </c>
      <c r="J1006">
        <v>11</v>
      </c>
      <c r="K1006">
        <v>3</v>
      </c>
      <c r="L1006">
        <v>0</v>
      </c>
      <c r="M1006">
        <v>10</v>
      </c>
      <c r="N1006">
        <v>2</v>
      </c>
      <c r="O1006">
        <v>3</v>
      </c>
      <c r="P1006">
        <v>2</v>
      </c>
      <c r="Q1006">
        <v>2</v>
      </c>
      <c r="R1006">
        <v>2</v>
      </c>
      <c r="S1006" t="s">
        <v>34</v>
      </c>
      <c r="T1006" t="s">
        <v>24</v>
      </c>
      <c r="U1006" t="str">
        <f>IF(Table1[[#This Row],[YearsSince
LastPromotion]]&gt; 4, "Delayed", "Normal")</f>
        <v>Normal</v>
      </c>
      <c r="V1006" t="str">
        <f>IF(Table1[[#This Row],[Years
InCurrentRole]]&gt;4, "Role Stagnent", "Normal")</f>
        <v>Normal</v>
      </c>
      <c r="W1006" t="str">
        <f>IF(AND(Table1[[#This Row],[Years
InCurrentRole]]&gt; 4, Table1[[#This Row],[Performance
Rating]]&gt;=3), "High Risk", "Normal")</f>
        <v>Normal</v>
      </c>
      <c r="X1006" t="str">
        <f>IF(Table1[[#This Row],[Performance
Rating]]&gt;=4, "High Performer", "Low Performer")</f>
        <v>Low Performer</v>
      </c>
    </row>
    <row r="1007" spans="2:24" x14ac:dyDescent="0.3">
      <c r="B1007" t="s">
        <v>19</v>
      </c>
      <c r="C1007" t="s">
        <v>25</v>
      </c>
      <c r="D1007">
        <v>1</v>
      </c>
      <c r="E1007" t="s">
        <v>21</v>
      </c>
      <c r="F1007">
        <v>3</v>
      </c>
      <c r="G1007" t="s">
        <v>22</v>
      </c>
      <c r="H1007">
        <v>3</v>
      </c>
      <c r="I1007">
        <v>13116</v>
      </c>
      <c r="J1007">
        <v>11</v>
      </c>
      <c r="K1007">
        <v>3</v>
      </c>
      <c r="L1007">
        <v>0</v>
      </c>
      <c r="M1007">
        <v>15</v>
      </c>
      <c r="N1007">
        <v>2</v>
      </c>
      <c r="O1007">
        <v>3</v>
      </c>
      <c r="P1007">
        <v>2</v>
      </c>
      <c r="Q1007">
        <v>2</v>
      </c>
      <c r="R1007">
        <v>2</v>
      </c>
      <c r="S1007" t="s">
        <v>34</v>
      </c>
      <c r="T1007" t="s">
        <v>24</v>
      </c>
      <c r="U1007" t="str">
        <f>IF(Table1[[#This Row],[YearsSince
LastPromotion]]&gt; 4, "Delayed", "Normal")</f>
        <v>Normal</v>
      </c>
      <c r="V1007" t="str">
        <f>IF(Table1[[#This Row],[Years
InCurrentRole]]&gt;4, "Role Stagnent", "Normal")</f>
        <v>Normal</v>
      </c>
      <c r="W1007" t="str">
        <f>IF(AND(Table1[[#This Row],[Years
InCurrentRole]]&gt; 4, Table1[[#This Row],[Performance
Rating]]&gt;=3), "High Risk", "Normal")</f>
        <v>Normal</v>
      </c>
      <c r="X1007" t="str">
        <f>IF(Table1[[#This Row],[Performance
Rating]]&gt;=4, "High Performer", "Low Performer")</f>
        <v>Low Performer</v>
      </c>
    </row>
    <row r="1008" spans="2:24" x14ac:dyDescent="0.3">
      <c r="B1008" t="s">
        <v>19</v>
      </c>
      <c r="C1008" t="s">
        <v>25</v>
      </c>
      <c r="D1008">
        <v>1</v>
      </c>
      <c r="E1008" t="s">
        <v>21</v>
      </c>
      <c r="F1008">
        <v>1</v>
      </c>
      <c r="G1008" t="s">
        <v>29</v>
      </c>
      <c r="H1008">
        <v>4</v>
      </c>
      <c r="I1008">
        <v>2288</v>
      </c>
      <c r="J1008">
        <v>12</v>
      </c>
      <c r="K1008">
        <v>3</v>
      </c>
      <c r="L1008">
        <v>0</v>
      </c>
      <c r="M1008">
        <v>2</v>
      </c>
      <c r="N1008">
        <v>3</v>
      </c>
      <c r="O1008">
        <v>3</v>
      </c>
      <c r="P1008">
        <v>2</v>
      </c>
      <c r="Q1008">
        <v>2</v>
      </c>
      <c r="R1008">
        <v>2</v>
      </c>
      <c r="S1008" t="s">
        <v>34</v>
      </c>
      <c r="T1008" t="s">
        <v>24</v>
      </c>
      <c r="U1008" t="str">
        <f>IF(Table1[[#This Row],[YearsSince
LastPromotion]]&gt; 4, "Delayed", "Normal")</f>
        <v>Normal</v>
      </c>
      <c r="V1008" t="str">
        <f>IF(Table1[[#This Row],[Years
InCurrentRole]]&gt;4, "Role Stagnent", "Normal")</f>
        <v>Normal</v>
      </c>
      <c r="W1008" t="str">
        <f>IF(AND(Table1[[#This Row],[Years
InCurrentRole]]&gt; 4, Table1[[#This Row],[Performance
Rating]]&gt;=3), "High Risk", "Normal")</f>
        <v>Normal</v>
      </c>
      <c r="X1008" t="str">
        <f>IF(Table1[[#This Row],[Performance
Rating]]&gt;=4, "High Performer", "Low Performer")</f>
        <v>Low Performer</v>
      </c>
    </row>
    <row r="1009" spans="2:24" x14ac:dyDescent="0.3">
      <c r="B1009" t="s">
        <v>19</v>
      </c>
      <c r="C1009" t="s">
        <v>20</v>
      </c>
      <c r="D1009">
        <v>1</v>
      </c>
      <c r="E1009" t="s">
        <v>21</v>
      </c>
      <c r="F1009">
        <v>1</v>
      </c>
      <c r="G1009" t="s">
        <v>30</v>
      </c>
      <c r="H1009">
        <v>4</v>
      </c>
      <c r="I1009">
        <v>2014</v>
      </c>
      <c r="J1009">
        <v>13</v>
      </c>
      <c r="K1009">
        <v>3</v>
      </c>
      <c r="L1009">
        <v>0</v>
      </c>
      <c r="M1009">
        <v>2</v>
      </c>
      <c r="N1009">
        <v>3</v>
      </c>
      <c r="O1009">
        <v>3</v>
      </c>
      <c r="P1009">
        <v>2</v>
      </c>
      <c r="Q1009">
        <v>2</v>
      </c>
      <c r="R1009">
        <v>2</v>
      </c>
      <c r="S1009" t="s">
        <v>34</v>
      </c>
      <c r="T1009" t="s">
        <v>24</v>
      </c>
      <c r="U1009" t="str">
        <f>IF(Table1[[#This Row],[YearsSince
LastPromotion]]&gt; 4, "Delayed", "Normal")</f>
        <v>Normal</v>
      </c>
      <c r="V1009" t="str">
        <f>IF(Table1[[#This Row],[Years
InCurrentRole]]&gt;4, "Role Stagnent", "Normal")</f>
        <v>Normal</v>
      </c>
      <c r="W1009" t="str">
        <f>IF(AND(Table1[[#This Row],[Years
InCurrentRole]]&gt; 4, Table1[[#This Row],[Performance
Rating]]&gt;=3), "High Risk", "Normal")</f>
        <v>Normal</v>
      </c>
      <c r="X1009" t="str">
        <f>IF(Table1[[#This Row],[Performance
Rating]]&gt;=4, "High Performer", "Low Performer")</f>
        <v>Low Performer</v>
      </c>
    </row>
    <row r="1010" spans="2:24" x14ac:dyDescent="0.3">
      <c r="B1010" t="s">
        <v>27</v>
      </c>
      <c r="C1010" t="s">
        <v>20</v>
      </c>
      <c r="D1010">
        <v>1</v>
      </c>
      <c r="E1010" t="s">
        <v>21</v>
      </c>
      <c r="F1010">
        <v>1</v>
      </c>
      <c r="G1010" t="s">
        <v>30</v>
      </c>
      <c r="H1010">
        <v>2</v>
      </c>
      <c r="I1010">
        <v>2760</v>
      </c>
      <c r="J1010">
        <v>13</v>
      </c>
      <c r="K1010">
        <v>3</v>
      </c>
      <c r="L1010">
        <v>0</v>
      </c>
      <c r="M1010">
        <v>2</v>
      </c>
      <c r="N1010">
        <v>3</v>
      </c>
      <c r="O1010">
        <v>3</v>
      </c>
      <c r="P1010">
        <v>2</v>
      </c>
      <c r="Q1010">
        <v>2</v>
      </c>
      <c r="R1010">
        <v>2</v>
      </c>
      <c r="S1010" t="s">
        <v>34</v>
      </c>
      <c r="T1010" t="s">
        <v>24</v>
      </c>
      <c r="U1010" t="str">
        <f>IF(Table1[[#This Row],[YearsSince
LastPromotion]]&gt; 4, "Delayed", "Normal")</f>
        <v>Normal</v>
      </c>
      <c r="V1010" t="str">
        <f>IF(Table1[[#This Row],[Years
InCurrentRole]]&gt;4, "Role Stagnent", "Normal")</f>
        <v>Normal</v>
      </c>
      <c r="W1010" t="str">
        <f>IF(AND(Table1[[#This Row],[Years
InCurrentRole]]&gt; 4, Table1[[#This Row],[Performance
Rating]]&gt;=3), "High Risk", "Normal")</f>
        <v>Normal</v>
      </c>
      <c r="X1010" t="str">
        <f>IF(Table1[[#This Row],[Performance
Rating]]&gt;=4, "High Performer", "Low Performer")</f>
        <v>Low Performer</v>
      </c>
    </row>
    <row r="1011" spans="2:24" x14ac:dyDescent="0.3">
      <c r="B1011" t="s">
        <v>19</v>
      </c>
      <c r="C1011" t="s">
        <v>20</v>
      </c>
      <c r="D1011">
        <v>1</v>
      </c>
      <c r="E1011" t="s">
        <v>21</v>
      </c>
      <c r="F1011">
        <v>1</v>
      </c>
      <c r="G1011" t="s">
        <v>30</v>
      </c>
      <c r="H1011">
        <v>3</v>
      </c>
      <c r="I1011">
        <v>2783</v>
      </c>
      <c r="J1011">
        <v>19</v>
      </c>
      <c r="K1011">
        <v>3</v>
      </c>
      <c r="L1011">
        <v>0</v>
      </c>
      <c r="M1011">
        <v>2</v>
      </c>
      <c r="N1011">
        <v>3</v>
      </c>
      <c r="O1011">
        <v>3</v>
      </c>
      <c r="P1011">
        <v>2</v>
      </c>
      <c r="Q1011">
        <v>2</v>
      </c>
      <c r="R1011">
        <v>2</v>
      </c>
      <c r="S1011" t="s">
        <v>34</v>
      </c>
      <c r="T1011" t="s">
        <v>24</v>
      </c>
      <c r="U1011" t="str">
        <f>IF(Table1[[#This Row],[YearsSince
LastPromotion]]&gt; 4, "Delayed", "Normal")</f>
        <v>Normal</v>
      </c>
      <c r="V1011" t="str">
        <f>IF(Table1[[#This Row],[Years
InCurrentRole]]&gt;4, "Role Stagnent", "Normal")</f>
        <v>Normal</v>
      </c>
      <c r="W1011" t="str">
        <f>IF(AND(Table1[[#This Row],[Years
InCurrentRole]]&gt; 4, Table1[[#This Row],[Performance
Rating]]&gt;=3), "High Risk", "Normal")</f>
        <v>Normal</v>
      </c>
      <c r="X1011" t="str">
        <f>IF(Table1[[#This Row],[Performance
Rating]]&gt;=4, "High Performer", "Low Performer")</f>
        <v>Low Performer</v>
      </c>
    </row>
    <row r="1012" spans="2:24" x14ac:dyDescent="0.3">
      <c r="B1012" t="s">
        <v>19</v>
      </c>
      <c r="C1012" t="s">
        <v>25</v>
      </c>
      <c r="D1012">
        <v>1</v>
      </c>
      <c r="E1012" t="s">
        <v>28</v>
      </c>
      <c r="F1012">
        <v>1</v>
      </c>
      <c r="G1012" t="s">
        <v>26</v>
      </c>
      <c r="H1012">
        <v>3</v>
      </c>
      <c r="I1012">
        <v>2372</v>
      </c>
      <c r="J1012">
        <v>12</v>
      </c>
      <c r="K1012">
        <v>3</v>
      </c>
      <c r="L1012">
        <v>2</v>
      </c>
      <c r="M1012">
        <v>2</v>
      </c>
      <c r="N1012">
        <v>3</v>
      </c>
      <c r="O1012">
        <v>3</v>
      </c>
      <c r="P1012">
        <v>2</v>
      </c>
      <c r="Q1012">
        <v>2</v>
      </c>
      <c r="R1012">
        <v>2</v>
      </c>
      <c r="S1012" t="s">
        <v>34</v>
      </c>
      <c r="T1012" t="s">
        <v>24</v>
      </c>
      <c r="U1012" t="str">
        <f>IF(Table1[[#This Row],[YearsSince
LastPromotion]]&gt; 4, "Delayed", "Normal")</f>
        <v>Normal</v>
      </c>
      <c r="V1012" t="str">
        <f>IF(Table1[[#This Row],[Years
InCurrentRole]]&gt;4, "Role Stagnent", "Normal")</f>
        <v>Normal</v>
      </c>
      <c r="W1012" t="str">
        <f>IF(AND(Table1[[#This Row],[Years
InCurrentRole]]&gt; 4, Table1[[#This Row],[Performance
Rating]]&gt;=3), "High Risk", "Normal")</f>
        <v>Normal</v>
      </c>
      <c r="X1012" t="str">
        <f>IF(Table1[[#This Row],[Performance
Rating]]&gt;=4, "High Performer", "Low Performer")</f>
        <v>Low Performer</v>
      </c>
    </row>
    <row r="1013" spans="2:24" x14ac:dyDescent="0.3">
      <c r="B1013" t="s">
        <v>19</v>
      </c>
      <c r="C1013" t="s">
        <v>25</v>
      </c>
      <c r="D1013">
        <v>1</v>
      </c>
      <c r="E1013" t="s">
        <v>28</v>
      </c>
      <c r="F1013">
        <v>1</v>
      </c>
      <c r="G1013" t="s">
        <v>26</v>
      </c>
      <c r="H1013">
        <v>3</v>
      </c>
      <c r="I1013">
        <v>2773</v>
      </c>
      <c r="J1013">
        <v>20</v>
      </c>
      <c r="K1013">
        <v>4</v>
      </c>
      <c r="L1013">
        <v>0</v>
      </c>
      <c r="M1013">
        <v>3</v>
      </c>
      <c r="N1013">
        <v>3</v>
      </c>
      <c r="O1013">
        <v>3</v>
      </c>
      <c r="P1013">
        <v>2</v>
      </c>
      <c r="Q1013">
        <v>2</v>
      </c>
      <c r="R1013">
        <v>2</v>
      </c>
      <c r="S1013" t="s">
        <v>34</v>
      </c>
      <c r="T1013" t="s">
        <v>24</v>
      </c>
      <c r="U1013" t="str">
        <f>IF(Table1[[#This Row],[YearsSince
LastPromotion]]&gt; 4, "Delayed", "Normal")</f>
        <v>Normal</v>
      </c>
      <c r="V1013" t="str">
        <f>IF(Table1[[#This Row],[Years
InCurrentRole]]&gt;4, "Role Stagnent", "Normal")</f>
        <v>Normal</v>
      </c>
      <c r="W1013" t="str">
        <f>IF(AND(Table1[[#This Row],[Years
InCurrentRole]]&gt; 4, Table1[[#This Row],[Performance
Rating]]&gt;=3), "High Risk", "Normal")</f>
        <v>Normal</v>
      </c>
      <c r="X1013" t="str">
        <f>IF(Table1[[#This Row],[Performance
Rating]]&gt;=4, "High Performer", "Low Performer")</f>
        <v>High Performer</v>
      </c>
    </row>
    <row r="1014" spans="2:24" x14ac:dyDescent="0.3">
      <c r="B1014" t="s">
        <v>19</v>
      </c>
      <c r="C1014" t="s">
        <v>20</v>
      </c>
      <c r="D1014">
        <v>1</v>
      </c>
      <c r="E1014" t="s">
        <v>28</v>
      </c>
      <c r="F1014">
        <v>1</v>
      </c>
      <c r="G1014" t="s">
        <v>30</v>
      </c>
      <c r="H1014">
        <v>4</v>
      </c>
      <c r="I1014">
        <v>2400</v>
      </c>
      <c r="J1014">
        <v>13</v>
      </c>
      <c r="K1014">
        <v>3</v>
      </c>
      <c r="L1014">
        <v>2</v>
      </c>
      <c r="M1014">
        <v>3</v>
      </c>
      <c r="N1014">
        <v>3</v>
      </c>
      <c r="O1014">
        <v>3</v>
      </c>
      <c r="P1014">
        <v>2</v>
      </c>
      <c r="Q1014">
        <v>2</v>
      </c>
      <c r="R1014">
        <v>2</v>
      </c>
      <c r="S1014" t="s">
        <v>34</v>
      </c>
      <c r="T1014" t="s">
        <v>24</v>
      </c>
      <c r="U1014" t="str">
        <f>IF(Table1[[#This Row],[YearsSince
LastPromotion]]&gt; 4, "Delayed", "Normal")</f>
        <v>Normal</v>
      </c>
      <c r="V1014" t="str">
        <f>IF(Table1[[#This Row],[Years
InCurrentRole]]&gt;4, "Role Stagnent", "Normal")</f>
        <v>Normal</v>
      </c>
      <c r="W1014" t="str">
        <f>IF(AND(Table1[[#This Row],[Years
InCurrentRole]]&gt; 4, Table1[[#This Row],[Performance
Rating]]&gt;=3), "High Risk", "Normal")</f>
        <v>Normal</v>
      </c>
      <c r="X1014" t="str">
        <f>IF(Table1[[#This Row],[Performance
Rating]]&gt;=4, "High Performer", "Low Performer")</f>
        <v>Low Performer</v>
      </c>
    </row>
    <row r="1015" spans="2:24" x14ac:dyDescent="0.3">
      <c r="B1015" t="s">
        <v>27</v>
      </c>
      <c r="C1015" t="s">
        <v>20</v>
      </c>
      <c r="D1015">
        <v>1</v>
      </c>
      <c r="E1015" t="s">
        <v>21</v>
      </c>
      <c r="F1015">
        <v>2</v>
      </c>
      <c r="G1015" t="s">
        <v>32</v>
      </c>
      <c r="H1015">
        <v>3</v>
      </c>
      <c r="I1015">
        <v>4577</v>
      </c>
      <c r="J1015">
        <v>14</v>
      </c>
      <c r="K1015">
        <v>3</v>
      </c>
      <c r="L1015">
        <v>0</v>
      </c>
      <c r="M1015">
        <v>4</v>
      </c>
      <c r="N1015">
        <v>3</v>
      </c>
      <c r="O1015">
        <v>3</v>
      </c>
      <c r="P1015">
        <v>2</v>
      </c>
      <c r="Q1015">
        <v>2</v>
      </c>
      <c r="R1015">
        <v>2</v>
      </c>
      <c r="S1015" t="s">
        <v>34</v>
      </c>
      <c r="T1015" t="s">
        <v>24</v>
      </c>
      <c r="U1015" t="str">
        <f>IF(Table1[[#This Row],[YearsSince
LastPromotion]]&gt; 4, "Delayed", "Normal")</f>
        <v>Normal</v>
      </c>
      <c r="V1015" t="str">
        <f>IF(Table1[[#This Row],[Years
InCurrentRole]]&gt;4, "Role Stagnent", "Normal")</f>
        <v>Normal</v>
      </c>
      <c r="W1015" t="str">
        <f>IF(AND(Table1[[#This Row],[Years
InCurrentRole]]&gt; 4, Table1[[#This Row],[Performance
Rating]]&gt;=3), "High Risk", "Normal")</f>
        <v>Normal</v>
      </c>
      <c r="X1015" t="str">
        <f>IF(Table1[[#This Row],[Performance
Rating]]&gt;=4, "High Performer", "Low Performer")</f>
        <v>Low Performer</v>
      </c>
    </row>
    <row r="1016" spans="2:24" x14ac:dyDescent="0.3">
      <c r="B1016" t="s">
        <v>19</v>
      </c>
      <c r="C1016" t="s">
        <v>25</v>
      </c>
      <c r="D1016">
        <v>1</v>
      </c>
      <c r="E1016" t="s">
        <v>21</v>
      </c>
      <c r="F1016">
        <v>1</v>
      </c>
      <c r="G1016" t="s">
        <v>29</v>
      </c>
      <c r="H1016">
        <v>1</v>
      </c>
      <c r="I1016">
        <v>4014</v>
      </c>
      <c r="J1016">
        <v>15</v>
      </c>
      <c r="K1016">
        <v>3</v>
      </c>
      <c r="L1016">
        <v>1</v>
      </c>
      <c r="M1016">
        <v>4</v>
      </c>
      <c r="N1016">
        <v>3</v>
      </c>
      <c r="O1016">
        <v>3</v>
      </c>
      <c r="P1016">
        <v>2</v>
      </c>
      <c r="Q1016">
        <v>2</v>
      </c>
      <c r="R1016">
        <v>2</v>
      </c>
      <c r="S1016" t="s">
        <v>34</v>
      </c>
      <c r="T1016" t="s">
        <v>24</v>
      </c>
      <c r="U1016" t="str">
        <f>IF(Table1[[#This Row],[YearsSince
LastPromotion]]&gt; 4, "Delayed", "Normal")</f>
        <v>Normal</v>
      </c>
      <c r="V1016" t="str">
        <f>IF(Table1[[#This Row],[Years
InCurrentRole]]&gt;4, "Role Stagnent", "Normal")</f>
        <v>Normal</v>
      </c>
      <c r="W1016" t="str">
        <f>IF(AND(Table1[[#This Row],[Years
InCurrentRole]]&gt; 4, Table1[[#This Row],[Performance
Rating]]&gt;=3), "High Risk", "Normal")</f>
        <v>Normal</v>
      </c>
      <c r="X1016" t="str">
        <f>IF(Table1[[#This Row],[Performance
Rating]]&gt;=4, "High Performer", "Low Performer")</f>
        <v>Low Performer</v>
      </c>
    </row>
    <row r="1017" spans="2:24" x14ac:dyDescent="0.3">
      <c r="B1017" t="s">
        <v>27</v>
      </c>
      <c r="C1017" t="s">
        <v>36</v>
      </c>
      <c r="D1017">
        <v>1</v>
      </c>
      <c r="E1017" t="s">
        <v>28</v>
      </c>
      <c r="F1017">
        <v>1</v>
      </c>
      <c r="G1017" t="s">
        <v>36</v>
      </c>
      <c r="H1017">
        <v>1</v>
      </c>
      <c r="I1017">
        <v>2335</v>
      </c>
      <c r="J1017">
        <v>15</v>
      </c>
      <c r="K1017">
        <v>3</v>
      </c>
      <c r="L1017">
        <v>3</v>
      </c>
      <c r="M1017">
        <v>4</v>
      </c>
      <c r="N1017">
        <v>3</v>
      </c>
      <c r="O1017">
        <v>3</v>
      </c>
      <c r="P1017">
        <v>2</v>
      </c>
      <c r="Q1017">
        <v>2</v>
      </c>
      <c r="R1017">
        <v>2</v>
      </c>
      <c r="S1017" t="s">
        <v>34</v>
      </c>
      <c r="T1017" t="s">
        <v>24</v>
      </c>
      <c r="U1017" t="str">
        <f>IF(Table1[[#This Row],[YearsSince
LastPromotion]]&gt; 4, "Delayed", "Normal")</f>
        <v>Normal</v>
      </c>
      <c r="V1017" t="str">
        <f>IF(Table1[[#This Row],[Years
InCurrentRole]]&gt;4, "Role Stagnent", "Normal")</f>
        <v>Normal</v>
      </c>
      <c r="W1017" t="str">
        <f>IF(AND(Table1[[#This Row],[Years
InCurrentRole]]&gt; 4, Table1[[#This Row],[Performance
Rating]]&gt;=3), "High Risk", "Normal")</f>
        <v>Normal</v>
      </c>
      <c r="X1017" t="str">
        <f>IF(Table1[[#This Row],[Performance
Rating]]&gt;=4, "High Performer", "Low Performer")</f>
        <v>Low Performer</v>
      </c>
    </row>
    <row r="1018" spans="2:24" x14ac:dyDescent="0.3">
      <c r="B1018" t="s">
        <v>19</v>
      </c>
      <c r="C1018" t="s">
        <v>25</v>
      </c>
      <c r="D1018">
        <v>1</v>
      </c>
      <c r="E1018" t="s">
        <v>28</v>
      </c>
      <c r="F1018">
        <v>1</v>
      </c>
      <c r="G1018" t="s">
        <v>29</v>
      </c>
      <c r="H1018">
        <v>3</v>
      </c>
      <c r="I1018">
        <v>2660</v>
      </c>
      <c r="J1018">
        <v>11</v>
      </c>
      <c r="K1018">
        <v>3</v>
      </c>
      <c r="L1018">
        <v>1</v>
      </c>
      <c r="M1018">
        <v>5</v>
      </c>
      <c r="N1018">
        <v>3</v>
      </c>
      <c r="O1018">
        <v>3</v>
      </c>
      <c r="P1018">
        <v>2</v>
      </c>
      <c r="Q1018">
        <v>2</v>
      </c>
      <c r="R1018">
        <v>2</v>
      </c>
      <c r="S1018" t="s">
        <v>34</v>
      </c>
      <c r="T1018" t="s">
        <v>24</v>
      </c>
      <c r="U1018" t="str">
        <f>IF(Table1[[#This Row],[YearsSince
LastPromotion]]&gt; 4, "Delayed", "Normal")</f>
        <v>Normal</v>
      </c>
      <c r="V1018" t="str">
        <f>IF(Table1[[#This Row],[Years
InCurrentRole]]&gt;4, "Role Stagnent", "Normal")</f>
        <v>Normal</v>
      </c>
      <c r="W1018" t="str">
        <f>IF(AND(Table1[[#This Row],[Years
InCurrentRole]]&gt; 4, Table1[[#This Row],[Performance
Rating]]&gt;=3), "High Risk", "Normal")</f>
        <v>Normal</v>
      </c>
      <c r="X1018" t="str">
        <f>IF(Table1[[#This Row],[Performance
Rating]]&gt;=4, "High Performer", "Low Performer")</f>
        <v>Low Performer</v>
      </c>
    </row>
    <row r="1019" spans="2:24" x14ac:dyDescent="0.3">
      <c r="B1019" t="s">
        <v>19</v>
      </c>
      <c r="C1019" t="s">
        <v>20</v>
      </c>
      <c r="D1019">
        <v>1</v>
      </c>
      <c r="E1019" t="s">
        <v>21</v>
      </c>
      <c r="F1019">
        <v>2</v>
      </c>
      <c r="G1019" t="s">
        <v>32</v>
      </c>
      <c r="H1019">
        <v>4</v>
      </c>
      <c r="I1019">
        <v>6029</v>
      </c>
      <c r="J1019">
        <v>12</v>
      </c>
      <c r="K1019">
        <v>3</v>
      </c>
      <c r="L1019">
        <v>0</v>
      </c>
      <c r="M1019">
        <v>6</v>
      </c>
      <c r="N1019">
        <v>3</v>
      </c>
      <c r="O1019">
        <v>3</v>
      </c>
      <c r="P1019">
        <v>2</v>
      </c>
      <c r="Q1019">
        <v>2</v>
      </c>
      <c r="R1019">
        <v>2</v>
      </c>
      <c r="S1019" t="s">
        <v>34</v>
      </c>
      <c r="T1019" t="s">
        <v>24</v>
      </c>
      <c r="U1019" t="str">
        <f>IF(Table1[[#This Row],[YearsSince
LastPromotion]]&gt; 4, "Delayed", "Normal")</f>
        <v>Normal</v>
      </c>
      <c r="V1019" t="str">
        <f>IF(Table1[[#This Row],[Years
InCurrentRole]]&gt;4, "Role Stagnent", "Normal")</f>
        <v>Normal</v>
      </c>
      <c r="W1019" t="str">
        <f>IF(AND(Table1[[#This Row],[Years
InCurrentRole]]&gt; 4, Table1[[#This Row],[Performance
Rating]]&gt;=3), "High Risk", "Normal")</f>
        <v>Normal</v>
      </c>
      <c r="X1019" t="str">
        <f>IF(Table1[[#This Row],[Performance
Rating]]&gt;=4, "High Performer", "Low Performer")</f>
        <v>Low Performer</v>
      </c>
    </row>
    <row r="1020" spans="2:24" x14ac:dyDescent="0.3">
      <c r="B1020" t="s">
        <v>19</v>
      </c>
      <c r="C1020" t="s">
        <v>20</v>
      </c>
      <c r="D1020">
        <v>1</v>
      </c>
      <c r="E1020" t="s">
        <v>28</v>
      </c>
      <c r="F1020">
        <v>2</v>
      </c>
      <c r="G1020" t="s">
        <v>32</v>
      </c>
      <c r="H1020">
        <v>2</v>
      </c>
      <c r="I1020">
        <v>7991</v>
      </c>
      <c r="J1020">
        <v>15</v>
      </c>
      <c r="K1020">
        <v>3</v>
      </c>
      <c r="L1020">
        <v>0</v>
      </c>
      <c r="M1020">
        <v>6</v>
      </c>
      <c r="N1020">
        <v>3</v>
      </c>
      <c r="O1020">
        <v>3</v>
      </c>
      <c r="P1020">
        <v>2</v>
      </c>
      <c r="Q1020">
        <v>2</v>
      </c>
      <c r="R1020">
        <v>2</v>
      </c>
      <c r="S1020" t="s">
        <v>34</v>
      </c>
      <c r="T1020" t="s">
        <v>24</v>
      </c>
      <c r="U1020" t="str">
        <f>IF(Table1[[#This Row],[YearsSince
LastPromotion]]&gt; 4, "Delayed", "Normal")</f>
        <v>Normal</v>
      </c>
      <c r="V1020" t="str">
        <f>IF(Table1[[#This Row],[Years
InCurrentRole]]&gt;4, "Role Stagnent", "Normal")</f>
        <v>Normal</v>
      </c>
      <c r="W1020" t="str">
        <f>IF(AND(Table1[[#This Row],[Years
InCurrentRole]]&gt; 4, Table1[[#This Row],[Performance
Rating]]&gt;=3), "High Risk", "Normal")</f>
        <v>Normal</v>
      </c>
      <c r="X1020" t="str">
        <f>IF(Table1[[#This Row],[Performance
Rating]]&gt;=4, "High Performer", "Low Performer")</f>
        <v>Low Performer</v>
      </c>
    </row>
    <row r="1021" spans="2:24" x14ac:dyDescent="0.3">
      <c r="B1021" t="s">
        <v>19</v>
      </c>
      <c r="C1021" t="s">
        <v>20</v>
      </c>
      <c r="D1021">
        <v>1</v>
      </c>
      <c r="E1021" t="s">
        <v>28</v>
      </c>
      <c r="F1021">
        <v>2</v>
      </c>
      <c r="G1021" t="s">
        <v>32</v>
      </c>
      <c r="H1021">
        <v>3</v>
      </c>
      <c r="I1021">
        <v>8639</v>
      </c>
      <c r="J1021">
        <v>18</v>
      </c>
      <c r="K1021">
        <v>3</v>
      </c>
      <c r="L1021">
        <v>0</v>
      </c>
      <c r="M1021">
        <v>6</v>
      </c>
      <c r="N1021">
        <v>3</v>
      </c>
      <c r="O1021">
        <v>3</v>
      </c>
      <c r="P1021">
        <v>2</v>
      </c>
      <c r="Q1021">
        <v>2</v>
      </c>
      <c r="R1021">
        <v>2</v>
      </c>
      <c r="S1021" t="s">
        <v>34</v>
      </c>
      <c r="T1021" t="s">
        <v>24</v>
      </c>
      <c r="U1021" t="str">
        <f>IF(Table1[[#This Row],[YearsSince
LastPromotion]]&gt; 4, "Delayed", "Normal")</f>
        <v>Normal</v>
      </c>
      <c r="V1021" t="str">
        <f>IF(Table1[[#This Row],[Years
InCurrentRole]]&gt;4, "Role Stagnent", "Normal")</f>
        <v>Normal</v>
      </c>
      <c r="W1021" t="str">
        <f>IF(AND(Table1[[#This Row],[Years
InCurrentRole]]&gt; 4, Table1[[#This Row],[Performance
Rating]]&gt;=3), "High Risk", "Normal")</f>
        <v>Normal</v>
      </c>
      <c r="X1021" t="str">
        <f>IF(Table1[[#This Row],[Performance
Rating]]&gt;=4, "High Performer", "Low Performer")</f>
        <v>Low Performer</v>
      </c>
    </row>
    <row r="1022" spans="2:24" x14ac:dyDescent="0.3">
      <c r="B1022" t="s">
        <v>19</v>
      </c>
      <c r="C1022" t="s">
        <v>25</v>
      </c>
      <c r="D1022">
        <v>1</v>
      </c>
      <c r="E1022" t="s">
        <v>28</v>
      </c>
      <c r="F1022">
        <v>1</v>
      </c>
      <c r="G1022" t="s">
        <v>29</v>
      </c>
      <c r="H1022">
        <v>2</v>
      </c>
      <c r="I1022">
        <v>3468</v>
      </c>
      <c r="J1022">
        <v>12</v>
      </c>
      <c r="K1022">
        <v>3</v>
      </c>
      <c r="L1022">
        <v>1</v>
      </c>
      <c r="M1022">
        <v>6</v>
      </c>
      <c r="N1022">
        <v>3</v>
      </c>
      <c r="O1022">
        <v>3</v>
      </c>
      <c r="P1022">
        <v>2</v>
      </c>
      <c r="Q1022">
        <v>2</v>
      </c>
      <c r="R1022">
        <v>2</v>
      </c>
      <c r="S1022" t="s">
        <v>34</v>
      </c>
      <c r="T1022" t="s">
        <v>24</v>
      </c>
      <c r="U1022" t="str">
        <f>IF(Table1[[#This Row],[YearsSince
LastPromotion]]&gt; 4, "Delayed", "Normal")</f>
        <v>Normal</v>
      </c>
      <c r="V1022" t="str">
        <f>IF(Table1[[#This Row],[Years
InCurrentRole]]&gt;4, "Role Stagnent", "Normal")</f>
        <v>Normal</v>
      </c>
      <c r="W1022" t="str">
        <f>IF(AND(Table1[[#This Row],[Years
InCurrentRole]]&gt; 4, Table1[[#This Row],[Performance
Rating]]&gt;=3), "High Risk", "Normal")</f>
        <v>Normal</v>
      </c>
      <c r="X1022" t="str">
        <f>IF(Table1[[#This Row],[Performance
Rating]]&gt;=4, "High Performer", "Low Performer")</f>
        <v>Low Performer</v>
      </c>
    </row>
    <row r="1023" spans="2:24" x14ac:dyDescent="0.3">
      <c r="B1023" t="s">
        <v>19</v>
      </c>
      <c r="C1023" t="s">
        <v>25</v>
      </c>
      <c r="D1023">
        <v>1</v>
      </c>
      <c r="E1023" t="s">
        <v>21</v>
      </c>
      <c r="F1023">
        <v>1</v>
      </c>
      <c r="G1023" t="s">
        <v>26</v>
      </c>
      <c r="H1023">
        <v>3</v>
      </c>
      <c r="I1023">
        <v>2543</v>
      </c>
      <c r="J1023">
        <v>13</v>
      </c>
      <c r="K1023">
        <v>3</v>
      </c>
      <c r="L1023">
        <v>1</v>
      </c>
      <c r="M1023">
        <v>6</v>
      </c>
      <c r="N1023">
        <v>3</v>
      </c>
      <c r="O1023">
        <v>3</v>
      </c>
      <c r="P1023">
        <v>2</v>
      </c>
      <c r="Q1023">
        <v>2</v>
      </c>
      <c r="R1023">
        <v>2</v>
      </c>
      <c r="S1023" t="s">
        <v>34</v>
      </c>
      <c r="T1023" t="s">
        <v>24</v>
      </c>
      <c r="U1023" t="str">
        <f>IF(Table1[[#This Row],[YearsSince
LastPromotion]]&gt; 4, "Delayed", "Normal")</f>
        <v>Normal</v>
      </c>
      <c r="V1023" t="str">
        <f>IF(Table1[[#This Row],[Years
InCurrentRole]]&gt;4, "Role Stagnent", "Normal")</f>
        <v>Normal</v>
      </c>
      <c r="W1023" t="str">
        <f>IF(AND(Table1[[#This Row],[Years
InCurrentRole]]&gt; 4, Table1[[#This Row],[Performance
Rating]]&gt;=3), "High Risk", "Normal")</f>
        <v>Normal</v>
      </c>
      <c r="X1023" t="str">
        <f>IF(Table1[[#This Row],[Performance
Rating]]&gt;=4, "High Performer", "Low Performer")</f>
        <v>Low Performer</v>
      </c>
    </row>
    <row r="1024" spans="2:24" x14ac:dyDescent="0.3">
      <c r="B1024" t="s">
        <v>19</v>
      </c>
      <c r="C1024" t="s">
        <v>25</v>
      </c>
      <c r="D1024">
        <v>1</v>
      </c>
      <c r="E1024" t="s">
        <v>28</v>
      </c>
      <c r="F1024">
        <v>3</v>
      </c>
      <c r="G1024" t="s">
        <v>35</v>
      </c>
      <c r="H1024">
        <v>3</v>
      </c>
      <c r="I1024">
        <v>13675</v>
      </c>
      <c r="J1024">
        <v>12</v>
      </c>
      <c r="K1024">
        <v>3</v>
      </c>
      <c r="L1024">
        <v>1</v>
      </c>
      <c r="M1024">
        <v>9</v>
      </c>
      <c r="N1024">
        <v>3</v>
      </c>
      <c r="O1024">
        <v>3</v>
      </c>
      <c r="P1024">
        <v>2</v>
      </c>
      <c r="Q1024">
        <v>2</v>
      </c>
      <c r="R1024">
        <v>2</v>
      </c>
      <c r="S1024" t="s">
        <v>34</v>
      </c>
      <c r="T1024" t="s">
        <v>24</v>
      </c>
      <c r="U1024" t="str">
        <f>IF(Table1[[#This Row],[YearsSince
LastPromotion]]&gt; 4, "Delayed", "Normal")</f>
        <v>Normal</v>
      </c>
      <c r="V1024" t="str">
        <f>IF(Table1[[#This Row],[Years
InCurrentRole]]&gt;4, "Role Stagnent", "Normal")</f>
        <v>Normal</v>
      </c>
      <c r="W1024" t="str">
        <f>IF(AND(Table1[[#This Row],[Years
InCurrentRole]]&gt; 4, Table1[[#This Row],[Performance
Rating]]&gt;=3), "High Risk", "Normal")</f>
        <v>Normal</v>
      </c>
      <c r="X1024" t="str">
        <f>IF(Table1[[#This Row],[Performance
Rating]]&gt;=4, "High Performer", "Low Performer")</f>
        <v>Low Performer</v>
      </c>
    </row>
    <row r="1025" spans="2:24" x14ac:dyDescent="0.3">
      <c r="B1025" t="s">
        <v>19</v>
      </c>
      <c r="C1025" t="s">
        <v>20</v>
      </c>
      <c r="D1025">
        <v>1</v>
      </c>
      <c r="E1025" t="s">
        <v>28</v>
      </c>
      <c r="F1025">
        <v>2</v>
      </c>
      <c r="G1025" t="s">
        <v>32</v>
      </c>
      <c r="H1025">
        <v>2</v>
      </c>
      <c r="I1025">
        <v>8120</v>
      </c>
      <c r="J1025">
        <v>12</v>
      </c>
      <c r="K1025">
        <v>3</v>
      </c>
      <c r="L1025">
        <v>0</v>
      </c>
      <c r="M1025">
        <v>12</v>
      </c>
      <c r="N1025">
        <v>3</v>
      </c>
      <c r="O1025">
        <v>3</v>
      </c>
      <c r="P1025">
        <v>2</v>
      </c>
      <c r="Q1025">
        <v>2</v>
      </c>
      <c r="R1025">
        <v>2</v>
      </c>
      <c r="S1025" t="s">
        <v>34</v>
      </c>
      <c r="T1025" t="s">
        <v>24</v>
      </c>
      <c r="U1025" t="str">
        <f>IF(Table1[[#This Row],[YearsSince
LastPromotion]]&gt; 4, "Delayed", "Normal")</f>
        <v>Normal</v>
      </c>
      <c r="V1025" t="str">
        <f>IF(Table1[[#This Row],[Years
InCurrentRole]]&gt;4, "Role Stagnent", "Normal")</f>
        <v>Normal</v>
      </c>
      <c r="W1025" t="str">
        <f>IF(AND(Table1[[#This Row],[Years
InCurrentRole]]&gt; 4, Table1[[#This Row],[Performance
Rating]]&gt;=3), "High Risk", "Normal")</f>
        <v>Normal</v>
      </c>
      <c r="X1025" t="str">
        <f>IF(Table1[[#This Row],[Performance
Rating]]&gt;=4, "High Performer", "Low Performer")</f>
        <v>Low Performer</v>
      </c>
    </row>
    <row r="1026" spans="2:24" x14ac:dyDescent="0.3">
      <c r="B1026" t="s">
        <v>19</v>
      </c>
      <c r="C1026" t="s">
        <v>20</v>
      </c>
      <c r="D1026">
        <v>1</v>
      </c>
      <c r="E1026" t="s">
        <v>28</v>
      </c>
      <c r="F1026">
        <v>2</v>
      </c>
      <c r="G1026" t="s">
        <v>32</v>
      </c>
      <c r="H1026">
        <v>1</v>
      </c>
      <c r="I1026">
        <v>5486</v>
      </c>
      <c r="J1026">
        <v>11</v>
      </c>
      <c r="K1026">
        <v>3</v>
      </c>
      <c r="L1026">
        <v>3</v>
      </c>
      <c r="M1026">
        <v>15</v>
      </c>
      <c r="N1026">
        <v>3</v>
      </c>
      <c r="O1026">
        <v>3</v>
      </c>
      <c r="P1026">
        <v>2</v>
      </c>
      <c r="Q1026">
        <v>2</v>
      </c>
      <c r="R1026">
        <v>2</v>
      </c>
      <c r="S1026" t="s">
        <v>34</v>
      </c>
      <c r="T1026" t="s">
        <v>24</v>
      </c>
      <c r="U1026" t="str">
        <f>IF(Table1[[#This Row],[YearsSince
LastPromotion]]&gt; 4, "Delayed", "Normal")</f>
        <v>Normal</v>
      </c>
      <c r="V1026" t="str">
        <f>IF(Table1[[#This Row],[Years
InCurrentRole]]&gt;4, "Role Stagnent", "Normal")</f>
        <v>Normal</v>
      </c>
      <c r="W1026" t="str">
        <f>IF(AND(Table1[[#This Row],[Years
InCurrentRole]]&gt; 4, Table1[[#This Row],[Performance
Rating]]&gt;=3), "High Risk", "Normal")</f>
        <v>Normal</v>
      </c>
      <c r="X1026" t="str">
        <f>IF(Table1[[#This Row],[Performance
Rating]]&gt;=4, "High Performer", "Low Performer")</f>
        <v>Low Performer</v>
      </c>
    </row>
    <row r="1027" spans="2:24" x14ac:dyDescent="0.3">
      <c r="B1027" t="s">
        <v>19</v>
      </c>
      <c r="C1027" t="s">
        <v>20</v>
      </c>
      <c r="D1027">
        <v>1</v>
      </c>
      <c r="E1027" t="s">
        <v>21</v>
      </c>
      <c r="F1027">
        <v>3</v>
      </c>
      <c r="G1027" t="s">
        <v>32</v>
      </c>
      <c r="H1027">
        <v>4</v>
      </c>
      <c r="I1027">
        <v>9208</v>
      </c>
      <c r="J1027">
        <v>11</v>
      </c>
      <c r="K1027">
        <v>3</v>
      </c>
      <c r="L1027">
        <v>0</v>
      </c>
      <c r="M1027">
        <v>16</v>
      </c>
      <c r="N1027">
        <v>3</v>
      </c>
      <c r="O1027">
        <v>3</v>
      </c>
      <c r="P1027">
        <v>2</v>
      </c>
      <c r="Q1027">
        <v>2</v>
      </c>
      <c r="R1027">
        <v>2</v>
      </c>
      <c r="S1027" t="s">
        <v>34</v>
      </c>
      <c r="T1027" t="s">
        <v>24</v>
      </c>
      <c r="U1027" t="str">
        <f>IF(Table1[[#This Row],[YearsSince
LastPromotion]]&gt; 4, "Delayed", "Normal")</f>
        <v>Normal</v>
      </c>
      <c r="V1027" t="str">
        <f>IF(Table1[[#This Row],[Years
InCurrentRole]]&gt;4, "Role Stagnent", "Normal")</f>
        <v>Normal</v>
      </c>
      <c r="W1027" t="str">
        <f>IF(AND(Table1[[#This Row],[Years
InCurrentRole]]&gt; 4, Table1[[#This Row],[Performance
Rating]]&gt;=3), "High Risk", "Normal")</f>
        <v>Normal</v>
      </c>
      <c r="X1027" t="str">
        <f>IF(Table1[[#This Row],[Performance
Rating]]&gt;=4, "High Performer", "Low Performer")</f>
        <v>Low Performer</v>
      </c>
    </row>
    <row r="1028" spans="2:24" x14ac:dyDescent="0.3">
      <c r="B1028" t="s">
        <v>27</v>
      </c>
      <c r="C1028" t="s">
        <v>20</v>
      </c>
      <c r="D1028">
        <v>1</v>
      </c>
      <c r="E1028" t="s">
        <v>28</v>
      </c>
      <c r="F1028">
        <v>2</v>
      </c>
      <c r="G1028" t="s">
        <v>32</v>
      </c>
      <c r="H1028">
        <v>1</v>
      </c>
      <c r="I1028">
        <v>6134</v>
      </c>
      <c r="J1028">
        <v>13</v>
      </c>
      <c r="K1028">
        <v>3</v>
      </c>
      <c r="L1028">
        <v>3</v>
      </c>
      <c r="M1028">
        <v>16</v>
      </c>
      <c r="N1028">
        <v>3</v>
      </c>
      <c r="O1028">
        <v>3</v>
      </c>
      <c r="P1028">
        <v>2</v>
      </c>
      <c r="Q1028">
        <v>2</v>
      </c>
      <c r="R1028">
        <v>2</v>
      </c>
      <c r="S1028" t="s">
        <v>34</v>
      </c>
      <c r="T1028" t="s">
        <v>24</v>
      </c>
      <c r="U1028" t="str">
        <f>IF(Table1[[#This Row],[YearsSince
LastPromotion]]&gt; 4, "Delayed", "Normal")</f>
        <v>Normal</v>
      </c>
      <c r="V1028" t="str">
        <f>IF(Table1[[#This Row],[Years
InCurrentRole]]&gt;4, "Role Stagnent", "Normal")</f>
        <v>Normal</v>
      </c>
      <c r="W1028" t="str">
        <f>IF(AND(Table1[[#This Row],[Years
InCurrentRole]]&gt; 4, Table1[[#This Row],[Performance
Rating]]&gt;=3), "High Risk", "Normal")</f>
        <v>Normal</v>
      </c>
      <c r="X1028" t="str">
        <f>IF(Table1[[#This Row],[Performance
Rating]]&gt;=4, "High Performer", "Low Performer")</f>
        <v>Low Performer</v>
      </c>
    </row>
    <row r="1029" spans="2:24" x14ac:dyDescent="0.3">
      <c r="B1029" t="s">
        <v>19</v>
      </c>
      <c r="C1029" t="s">
        <v>25</v>
      </c>
      <c r="D1029">
        <v>1</v>
      </c>
      <c r="E1029" t="s">
        <v>21</v>
      </c>
      <c r="F1029">
        <v>1</v>
      </c>
      <c r="G1029" t="s">
        <v>26</v>
      </c>
      <c r="H1029">
        <v>1</v>
      </c>
      <c r="I1029">
        <v>4257</v>
      </c>
      <c r="J1029">
        <v>18</v>
      </c>
      <c r="K1029">
        <v>3</v>
      </c>
      <c r="L1029">
        <v>1</v>
      </c>
      <c r="M1029">
        <v>19</v>
      </c>
      <c r="N1029">
        <v>3</v>
      </c>
      <c r="O1029">
        <v>3</v>
      </c>
      <c r="P1029">
        <v>2</v>
      </c>
      <c r="Q1029">
        <v>2</v>
      </c>
      <c r="R1029">
        <v>2</v>
      </c>
      <c r="S1029" t="s">
        <v>34</v>
      </c>
      <c r="T1029" t="s">
        <v>24</v>
      </c>
      <c r="U1029" t="str">
        <f>IF(Table1[[#This Row],[YearsSince
LastPromotion]]&gt; 4, "Delayed", "Normal")</f>
        <v>Normal</v>
      </c>
      <c r="V1029" t="str">
        <f>IF(Table1[[#This Row],[Years
InCurrentRole]]&gt;4, "Role Stagnent", "Normal")</f>
        <v>Normal</v>
      </c>
      <c r="W1029" t="str">
        <f>IF(AND(Table1[[#This Row],[Years
InCurrentRole]]&gt; 4, Table1[[#This Row],[Performance
Rating]]&gt;=3), "High Risk", "Normal")</f>
        <v>Normal</v>
      </c>
      <c r="X1029" t="str">
        <f>IF(Table1[[#This Row],[Performance
Rating]]&gt;=4, "High Performer", "Low Performer")</f>
        <v>Low Performer</v>
      </c>
    </row>
    <row r="1030" spans="2:24" x14ac:dyDescent="0.3">
      <c r="B1030" t="s">
        <v>19</v>
      </c>
      <c r="C1030" t="s">
        <v>25</v>
      </c>
      <c r="D1030">
        <v>1</v>
      </c>
      <c r="E1030" t="s">
        <v>28</v>
      </c>
      <c r="F1030">
        <v>4</v>
      </c>
      <c r="G1030" t="s">
        <v>35</v>
      </c>
      <c r="H1030">
        <v>3</v>
      </c>
      <c r="I1030">
        <v>15787</v>
      </c>
      <c r="J1030">
        <v>14</v>
      </c>
      <c r="K1030">
        <v>3</v>
      </c>
      <c r="L1030">
        <v>0</v>
      </c>
      <c r="M1030">
        <v>23</v>
      </c>
      <c r="N1030">
        <v>3</v>
      </c>
      <c r="O1030">
        <v>3</v>
      </c>
      <c r="P1030">
        <v>2</v>
      </c>
      <c r="Q1030">
        <v>2</v>
      </c>
      <c r="R1030">
        <v>2</v>
      </c>
      <c r="S1030" t="s">
        <v>34</v>
      </c>
      <c r="T1030" t="s">
        <v>24</v>
      </c>
      <c r="U1030" t="str">
        <f>IF(Table1[[#This Row],[YearsSince
LastPromotion]]&gt; 4, "Delayed", "Normal")</f>
        <v>Normal</v>
      </c>
      <c r="V1030" t="str">
        <f>IF(Table1[[#This Row],[Years
InCurrentRole]]&gt;4, "Role Stagnent", "Normal")</f>
        <v>Normal</v>
      </c>
      <c r="W1030" t="str">
        <f>IF(AND(Table1[[#This Row],[Years
InCurrentRole]]&gt; 4, Table1[[#This Row],[Performance
Rating]]&gt;=3), "High Risk", "Normal")</f>
        <v>Normal</v>
      </c>
      <c r="X1030" t="str">
        <f>IF(Table1[[#This Row],[Performance
Rating]]&gt;=4, "High Performer", "Low Performer")</f>
        <v>Low Performer</v>
      </c>
    </row>
    <row r="1031" spans="2:24" x14ac:dyDescent="0.3">
      <c r="B1031" t="s">
        <v>19</v>
      </c>
      <c r="C1031" t="s">
        <v>25</v>
      </c>
      <c r="D1031">
        <v>1</v>
      </c>
      <c r="E1031" t="s">
        <v>28</v>
      </c>
      <c r="F1031">
        <v>4</v>
      </c>
      <c r="G1031" t="s">
        <v>22</v>
      </c>
      <c r="H1031">
        <v>4</v>
      </c>
      <c r="I1031">
        <v>15202</v>
      </c>
      <c r="J1031">
        <v>25</v>
      </c>
      <c r="K1031">
        <v>4</v>
      </c>
      <c r="L1031">
        <v>1</v>
      </c>
      <c r="M1031">
        <v>23</v>
      </c>
      <c r="N1031">
        <v>3</v>
      </c>
      <c r="O1031">
        <v>3</v>
      </c>
      <c r="P1031">
        <v>2</v>
      </c>
      <c r="Q1031">
        <v>2</v>
      </c>
      <c r="R1031">
        <v>2</v>
      </c>
      <c r="S1031" t="s">
        <v>34</v>
      </c>
      <c r="T1031" t="s">
        <v>24</v>
      </c>
      <c r="U1031" t="str">
        <f>IF(Table1[[#This Row],[YearsSince
LastPromotion]]&gt; 4, "Delayed", "Normal")</f>
        <v>Normal</v>
      </c>
      <c r="V1031" t="str">
        <f>IF(Table1[[#This Row],[Years
InCurrentRole]]&gt;4, "Role Stagnent", "Normal")</f>
        <v>Normal</v>
      </c>
      <c r="W1031" t="str">
        <f>IF(AND(Table1[[#This Row],[Years
InCurrentRole]]&gt; 4, Table1[[#This Row],[Performance
Rating]]&gt;=3), "High Risk", "Normal")</f>
        <v>Normal</v>
      </c>
      <c r="X1031" t="str">
        <f>IF(Table1[[#This Row],[Performance
Rating]]&gt;=4, "High Performer", "Low Performer")</f>
        <v>High Performer</v>
      </c>
    </row>
    <row r="1032" spans="2:24" x14ac:dyDescent="0.3">
      <c r="B1032" t="s">
        <v>19</v>
      </c>
      <c r="C1032" t="s">
        <v>25</v>
      </c>
      <c r="D1032">
        <v>1</v>
      </c>
      <c r="E1032" t="s">
        <v>21</v>
      </c>
      <c r="F1032">
        <v>4</v>
      </c>
      <c r="G1032" t="s">
        <v>22</v>
      </c>
      <c r="H1032">
        <v>1</v>
      </c>
      <c r="I1032">
        <v>17856</v>
      </c>
      <c r="J1032">
        <v>22</v>
      </c>
      <c r="K1032">
        <v>4</v>
      </c>
      <c r="L1032">
        <v>1</v>
      </c>
      <c r="M1032">
        <v>32</v>
      </c>
      <c r="N1032">
        <v>3</v>
      </c>
      <c r="O1032">
        <v>3</v>
      </c>
      <c r="P1032">
        <v>2</v>
      </c>
      <c r="Q1032">
        <v>2</v>
      </c>
      <c r="R1032">
        <v>2</v>
      </c>
      <c r="S1032" t="s">
        <v>34</v>
      </c>
      <c r="T1032" t="s">
        <v>24</v>
      </c>
      <c r="U1032" t="str">
        <f>IF(Table1[[#This Row],[YearsSince
LastPromotion]]&gt; 4, "Delayed", "Normal")</f>
        <v>Normal</v>
      </c>
      <c r="V1032" t="str">
        <f>IF(Table1[[#This Row],[Years
InCurrentRole]]&gt;4, "Role Stagnent", "Normal")</f>
        <v>Normal</v>
      </c>
      <c r="W1032" t="str">
        <f>IF(AND(Table1[[#This Row],[Years
InCurrentRole]]&gt; 4, Table1[[#This Row],[Performance
Rating]]&gt;=3), "High Risk", "Normal")</f>
        <v>Normal</v>
      </c>
      <c r="X1032" t="str">
        <f>IF(Table1[[#This Row],[Performance
Rating]]&gt;=4, "High Performer", "Low Performer")</f>
        <v>High Performer</v>
      </c>
    </row>
    <row r="1033" spans="2:24" x14ac:dyDescent="0.3">
      <c r="B1033" t="s">
        <v>19</v>
      </c>
      <c r="C1033" t="s">
        <v>20</v>
      </c>
      <c r="D1033">
        <v>1</v>
      </c>
      <c r="E1033" t="s">
        <v>28</v>
      </c>
      <c r="F1033">
        <v>1</v>
      </c>
      <c r="G1033" t="s">
        <v>30</v>
      </c>
      <c r="H1033">
        <v>4</v>
      </c>
      <c r="I1033">
        <v>2791</v>
      </c>
      <c r="J1033">
        <v>12</v>
      </c>
      <c r="K1033">
        <v>3</v>
      </c>
      <c r="L1033">
        <v>1</v>
      </c>
      <c r="M1033">
        <v>3</v>
      </c>
      <c r="N1033">
        <v>4</v>
      </c>
      <c r="O1033">
        <v>3</v>
      </c>
      <c r="P1033">
        <v>2</v>
      </c>
      <c r="Q1033">
        <v>2</v>
      </c>
      <c r="R1033">
        <v>2</v>
      </c>
      <c r="S1033" t="s">
        <v>34</v>
      </c>
      <c r="T1033" t="s">
        <v>24</v>
      </c>
      <c r="U1033" t="str">
        <f>IF(Table1[[#This Row],[YearsSince
LastPromotion]]&gt; 4, "Delayed", "Normal")</f>
        <v>Normal</v>
      </c>
      <c r="V1033" t="str">
        <f>IF(Table1[[#This Row],[Years
InCurrentRole]]&gt;4, "Role Stagnent", "Normal")</f>
        <v>Normal</v>
      </c>
      <c r="W1033" t="str">
        <f>IF(AND(Table1[[#This Row],[Years
InCurrentRole]]&gt; 4, Table1[[#This Row],[Performance
Rating]]&gt;=3), "High Risk", "Normal")</f>
        <v>Normal</v>
      </c>
      <c r="X1033" t="str">
        <f>IF(Table1[[#This Row],[Performance
Rating]]&gt;=4, "High Performer", "Low Performer")</f>
        <v>Low Performer</v>
      </c>
    </row>
    <row r="1034" spans="2:24" x14ac:dyDescent="0.3">
      <c r="B1034" t="s">
        <v>19</v>
      </c>
      <c r="C1034" t="s">
        <v>25</v>
      </c>
      <c r="D1034">
        <v>1</v>
      </c>
      <c r="E1034" t="s">
        <v>28</v>
      </c>
      <c r="F1034">
        <v>1</v>
      </c>
      <c r="G1034" t="s">
        <v>29</v>
      </c>
      <c r="H1034">
        <v>3</v>
      </c>
      <c r="I1034">
        <v>2093</v>
      </c>
      <c r="J1034">
        <v>17</v>
      </c>
      <c r="K1034">
        <v>3</v>
      </c>
      <c r="L1034">
        <v>1</v>
      </c>
      <c r="M1034">
        <v>8</v>
      </c>
      <c r="N1034">
        <v>4</v>
      </c>
      <c r="O1034">
        <v>3</v>
      </c>
      <c r="P1034">
        <v>2</v>
      </c>
      <c r="Q1034">
        <v>2</v>
      </c>
      <c r="R1034">
        <v>2</v>
      </c>
      <c r="S1034" t="s">
        <v>34</v>
      </c>
      <c r="T1034" t="s">
        <v>24</v>
      </c>
      <c r="U1034" t="str">
        <f>IF(Table1[[#This Row],[YearsSince
LastPromotion]]&gt; 4, "Delayed", "Normal")</f>
        <v>Normal</v>
      </c>
      <c r="V1034" t="str">
        <f>IF(Table1[[#This Row],[Years
InCurrentRole]]&gt;4, "Role Stagnent", "Normal")</f>
        <v>Normal</v>
      </c>
      <c r="W1034" t="str">
        <f>IF(AND(Table1[[#This Row],[Years
InCurrentRole]]&gt; 4, Table1[[#This Row],[Performance
Rating]]&gt;=3), "High Risk", "Normal")</f>
        <v>Normal</v>
      </c>
      <c r="X1034" t="str">
        <f>IF(Table1[[#This Row],[Performance
Rating]]&gt;=4, "High Performer", "Low Performer")</f>
        <v>Low Performer</v>
      </c>
    </row>
    <row r="1035" spans="2:24" x14ac:dyDescent="0.3">
      <c r="B1035" t="s">
        <v>19</v>
      </c>
      <c r="C1035" t="s">
        <v>25</v>
      </c>
      <c r="D1035">
        <v>1</v>
      </c>
      <c r="E1035" t="s">
        <v>28</v>
      </c>
      <c r="F1035">
        <v>2</v>
      </c>
      <c r="G1035" t="s">
        <v>29</v>
      </c>
      <c r="H1035">
        <v>4</v>
      </c>
      <c r="I1035">
        <v>2450</v>
      </c>
      <c r="J1035">
        <v>17</v>
      </c>
      <c r="K1035">
        <v>3</v>
      </c>
      <c r="L1035">
        <v>0</v>
      </c>
      <c r="M1035">
        <v>19</v>
      </c>
      <c r="N1035">
        <v>4</v>
      </c>
      <c r="O1035">
        <v>3</v>
      </c>
      <c r="P1035">
        <v>2</v>
      </c>
      <c r="Q1035">
        <v>2</v>
      </c>
      <c r="R1035">
        <v>2</v>
      </c>
      <c r="S1035" t="s">
        <v>34</v>
      </c>
      <c r="T1035" t="s">
        <v>24</v>
      </c>
      <c r="U1035" t="str">
        <f>IF(Table1[[#This Row],[YearsSince
LastPromotion]]&gt; 4, "Delayed", "Normal")</f>
        <v>Normal</v>
      </c>
      <c r="V1035" t="str">
        <f>IF(Table1[[#This Row],[Years
InCurrentRole]]&gt;4, "Role Stagnent", "Normal")</f>
        <v>Normal</v>
      </c>
      <c r="W1035" t="str">
        <f>IF(AND(Table1[[#This Row],[Years
InCurrentRole]]&gt; 4, Table1[[#This Row],[Performance
Rating]]&gt;=3), "High Risk", "Normal")</f>
        <v>Normal</v>
      </c>
      <c r="X1035" t="str">
        <f>IF(Table1[[#This Row],[Performance
Rating]]&gt;=4, "High Performer", "Low Performer")</f>
        <v>Low Performer</v>
      </c>
    </row>
    <row r="1036" spans="2:24" x14ac:dyDescent="0.3">
      <c r="B1036" t="s">
        <v>19</v>
      </c>
      <c r="C1036" t="s">
        <v>25</v>
      </c>
      <c r="D1036">
        <v>1</v>
      </c>
      <c r="E1036" t="s">
        <v>28</v>
      </c>
      <c r="F1036">
        <v>1</v>
      </c>
      <c r="G1036" t="s">
        <v>26</v>
      </c>
      <c r="H1036">
        <v>2</v>
      </c>
      <c r="I1036">
        <v>2657</v>
      </c>
      <c r="J1036">
        <v>16</v>
      </c>
      <c r="K1036">
        <v>3</v>
      </c>
      <c r="L1036">
        <v>0</v>
      </c>
      <c r="M1036">
        <v>3</v>
      </c>
      <c r="N1036">
        <v>5</v>
      </c>
      <c r="O1036">
        <v>3</v>
      </c>
      <c r="P1036">
        <v>2</v>
      </c>
      <c r="Q1036">
        <v>2</v>
      </c>
      <c r="R1036">
        <v>2</v>
      </c>
      <c r="S1036" t="s">
        <v>34</v>
      </c>
      <c r="T1036" t="s">
        <v>24</v>
      </c>
      <c r="U1036" t="str">
        <f>IF(Table1[[#This Row],[YearsSince
LastPromotion]]&gt; 4, "Delayed", "Normal")</f>
        <v>Normal</v>
      </c>
      <c r="V1036" t="str">
        <f>IF(Table1[[#This Row],[Years
InCurrentRole]]&gt;4, "Role Stagnent", "Normal")</f>
        <v>Normal</v>
      </c>
      <c r="W1036" t="str">
        <f>IF(AND(Table1[[#This Row],[Years
InCurrentRole]]&gt; 4, Table1[[#This Row],[Performance
Rating]]&gt;=3), "High Risk", "Normal")</f>
        <v>Normal</v>
      </c>
      <c r="X1036" t="str">
        <f>IF(Table1[[#This Row],[Performance
Rating]]&gt;=4, "High Performer", "Low Performer")</f>
        <v>Low Performer</v>
      </c>
    </row>
    <row r="1037" spans="2:24" x14ac:dyDescent="0.3">
      <c r="B1037" t="s">
        <v>19</v>
      </c>
      <c r="C1037" t="s">
        <v>20</v>
      </c>
      <c r="D1037">
        <v>1</v>
      </c>
      <c r="E1037" t="s">
        <v>28</v>
      </c>
      <c r="F1037">
        <v>2</v>
      </c>
      <c r="G1037" t="s">
        <v>32</v>
      </c>
      <c r="H1037">
        <v>4</v>
      </c>
      <c r="I1037">
        <v>6804</v>
      </c>
      <c r="J1037">
        <v>18</v>
      </c>
      <c r="K1037">
        <v>3</v>
      </c>
      <c r="L1037">
        <v>1</v>
      </c>
      <c r="M1037">
        <v>7</v>
      </c>
      <c r="N1037">
        <v>5</v>
      </c>
      <c r="O1037">
        <v>3</v>
      </c>
      <c r="P1037">
        <v>2</v>
      </c>
      <c r="Q1037">
        <v>2</v>
      </c>
      <c r="R1037">
        <v>2</v>
      </c>
      <c r="S1037" t="s">
        <v>34</v>
      </c>
      <c r="T1037" t="s">
        <v>24</v>
      </c>
      <c r="U1037" t="str">
        <f>IF(Table1[[#This Row],[YearsSince
LastPromotion]]&gt; 4, "Delayed", "Normal")</f>
        <v>Normal</v>
      </c>
      <c r="V1037" t="str">
        <f>IF(Table1[[#This Row],[Years
InCurrentRole]]&gt;4, "Role Stagnent", "Normal")</f>
        <v>Normal</v>
      </c>
      <c r="W1037" t="str">
        <f>IF(AND(Table1[[#This Row],[Years
InCurrentRole]]&gt; 4, Table1[[#This Row],[Performance
Rating]]&gt;=3), "High Risk", "Normal")</f>
        <v>Normal</v>
      </c>
      <c r="X1037" t="str">
        <f>IF(Table1[[#This Row],[Performance
Rating]]&gt;=4, "High Performer", "Low Performer")</f>
        <v>Low Performer</v>
      </c>
    </row>
    <row r="1038" spans="2:24" x14ac:dyDescent="0.3">
      <c r="B1038" t="s">
        <v>19</v>
      </c>
      <c r="C1038" t="s">
        <v>25</v>
      </c>
      <c r="D1038">
        <v>1</v>
      </c>
      <c r="E1038" t="s">
        <v>28</v>
      </c>
      <c r="F1038">
        <v>1</v>
      </c>
      <c r="G1038" t="s">
        <v>26</v>
      </c>
      <c r="H1038">
        <v>4</v>
      </c>
      <c r="I1038">
        <v>2323</v>
      </c>
      <c r="J1038">
        <v>24</v>
      </c>
      <c r="K1038">
        <v>4</v>
      </c>
      <c r="L1038">
        <v>2</v>
      </c>
      <c r="M1038">
        <v>2</v>
      </c>
      <c r="N1038">
        <v>6</v>
      </c>
      <c r="O1038">
        <v>3</v>
      </c>
      <c r="P1038">
        <v>2</v>
      </c>
      <c r="Q1038">
        <v>2</v>
      </c>
      <c r="R1038">
        <v>2</v>
      </c>
      <c r="S1038" t="s">
        <v>34</v>
      </c>
      <c r="T1038" t="s">
        <v>24</v>
      </c>
      <c r="U1038" t="str">
        <f>IF(Table1[[#This Row],[YearsSince
LastPromotion]]&gt; 4, "Delayed", "Normal")</f>
        <v>Normal</v>
      </c>
      <c r="V1038" t="str">
        <f>IF(Table1[[#This Row],[Years
InCurrentRole]]&gt;4, "Role Stagnent", "Normal")</f>
        <v>Normal</v>
      </c>
      <c r="W1038" t="str">
        <f>IF(AND(Table1[[#This Row],[Years
InCurrentRole]]&gt; 4, Table1[[#This Row],[Performance
Rating]]&gt;=3), "High Risk", "Normal")</f>
        <v>Normal</v>
      </c>
      <c r="X1038" t="str">
        <f>IF(Table1[[#This Row],[Performance
Rating]]&gt;=4, "High Performer", "Low Performer")</f>
        <v>High Performer</v>
      </c>
    </row>
    <row r="1039" spans="2:24" x14ac:dyDescent="0.3">
      <c r="B1039" t="s">
        <v>27</v>
      </c>
      <c r="C1039" t="s">
        <v>20</v>
      </c>
      <c r="D1039">
        <v>1</v>
      </c>
      <c r="E1039" t="s">
        <v>28</v>
      </c>
      <c r="F1039">
        <v>2</v>
      </c>
      <c r="G1039" t="s">
        <v>32</v>
      </c>
      <c r="H1039">
        <v>1</v>
      </c>
      <c r="I1039">
        <v>4969</v>
      </c>
      <c r="J1039">
        <v>18</v>
      </c>
      <c r="K1039">
        <v>3</v>
      </c>
      <c r="L1039">
        <v>0</v>
      </c>
      <c r="M1039">
        <v>7</v>
      </c>
      <c r="N1039">
        <v>6</v>
      </c>
      <c r="O1039">
        <v>3</v>
      </c>
      <c r="P1039">
        <v>2</v>
      </c>
      <c r="Q1039">
        <v>2</v>
      </c>
      <c r="R1039">
        <v>2</v>
      </c>
      <c r="S1039" t="s">
        <v>34</v>
      </c>
      <c r="T1039" t="s">
        <v>24</v>
      </c>
      <c r="U1039" t="str">
        <f>IF(Table1[[#This Row],[YearsSince
LastPromotion]]&gt; 4, "Delayed", "Normal")</f>
        <v>Normal</v>
      </c>
      <c r="V1039" t="str">
        <f>IF(Table1[[#This Row],[Years
InCurrentRole]]&gt;4, "Role Stagnent", "Normal")</f>
        <v>Normal</v>
      </c>
      <c r="W1039" t="str">
        <f>IF(AND(Table1[[#This Row],[Years
InCurrentRole]]&gt; 4, Table1[[#This Row],[Performance
Rating]]&gt;=3), "High Risk", "Normal")</f>
        <v>Normal</v>
      </c>
      <c r="X1039" t="str">
        <f>IF(Table1[[#This Row],[Performance
Rating]]&gt;=4, "High Performer", "Low Performer")</f>
        <v>Low Performer</v>
      </c>
    </row>
    <row r="1040" spans="2:24" x14ac:dyDescent="0.3">
      <c r="B1040" t="s">
        <v>19</v>
      </c>
      <c r="C1040" t="s">
        <v>25</v>
      </c>
      <c r="D1040">
        <v>1</v>
      </c>
      <c r="E1040" t="s">
        <v>21</v>
      </c>
      <c r="F1040">
        <v>2</v>
      </c>
      <c r="G1040" t="s">
        <v>33</v>
      </c>
      <c r="H1040">
        <v>3</v>
      </c>
      <c r="I1040">
        <v>5003</v>
      </c>
      <c r="J1040">
        <v>14</v>
      </c>
      <c r="K1040">
        <v>3</v>
      </c>
      <c r="L1040">
        <v>0</v>
      </c>
      <c r="M1040">
        <v>8</v>
      </c>
      <c r="N1040">
        <v>6</v>
      </c>
      <c r="O1040">
        <v>3</v>
      </c>
      <c r="P1040">
        <v>2</v>
      </c>
      <c r="Q1040">
        <v>2</v>
      </c>
      <c r="R1040">
        <v>2</v>
      </c>
      <c r="S1040" t="s">
        <v>34</v>
      </c>
      <c r="T1040" t="s">
        <v>24</v>
      </c>
      <c r="U1040" t="str">
        <f>IF(Table1[[#This Row],[YearsSince
LastPromotion]]&gt; 4, "Delayed", "Normal")</f>
        <v>Normal</v>
      </c>
      <c r="V1040" t="str">
        <f>IF(Table1[[#This Row],[Years
InCurrentRole]]&gt;4, "Role Stagnent", "Normal")</f>
        <v>Normal</v>
      </c>
      <c r="W1040" t="str">
        <f>IF(AND(Table1[[#This Row],[Years
InCurrentRole]]&gt; 4, Table1[[#This Row],[Performance
Rating]]&gt;=3), "High Risk", "Normal")</f>
        <v>Normal</v>
      </c>
      <c r="X1040" t="str">
        <f>IF(Table1[[#This Row],[Performance
Rating]]&gt;=4, "High Performer", "Low Performer")</f>
        <v>Low Performer</v>
      </c>
    </row>
    <row r="1041" spans="2:24" x14ac:dyDescent="0.3">
      <c r="B1041" t="s">
        <v>19</v>
      </c>
      <c r="C1041" t="s">
        <v>25</v>
      </c>
      <c r="D1041">
        <v>1</v>
      </c>
      <c r="E1041" t="s">
        <v>28</v>
      </c>
      <c r="F1041">
        <v>1</v>
      </c>
      <c r="G1041" t="s">
        <v>29</v>
      </c>
      <c r="H1041">
        <v>4</v>
      </c>
      <c r="I1041">
        <v>2376</v>
      </c>
      <c r="J1041">
        <v>13</v>
      </c>
      <c r="K1041">
        <v>3</v>
      </c>
      <c r="L1041">
        <v>1</v>
      </c>
      <c r="M1041">
        <v>2</v>
      </c>
      <c r="N1041">
        <v>2</v>
      </c>
      <c r="O1041">
        <v>4</v>
      </c>
      <c r="P1041">
        <v>2</v>
      </c>
      <c r="Q1041">
        <v>2</v>
      </c>
      <c r="R1041">
        <v>2</v>
      </c>
      <c r="S1041" t="s">
        <v>34</v>
      </c>
      <c r="T1041" t="s">
        <v>24</v>
      </c>
      <c r="U1041" t="str">
        <f>IF(Table1[[#This Row],[YearsSince
LastPromotion]]&gt; 4, "Delayed", "Normal")</f>
        <v>Normal</v>
      </c>
      <c r="V1041" t="str">
        <f>IF(Table1[[#This Row],[Years
InCurrentRole]]&gt;4, "Role Stagnent", "Normal")</f>
        <v>Normal</v>
      </c>
      <c r="W1041" t="str">
        <f>IF(AND(Table1[[#This Row],[Years
InCurrentRole]]&gt; 4, Table1[[#This Row],[Performance
Rating]]&gt;=3), "High Risk", "Normal")</f>
        <v>Normal</v>
      </c>
      <c r="X1041" t="str">
        <f>IF(Table1[[#This Row],[Performance
Rating]]&gt;=4, "High Performer", "Low Performer")</f>
        <v>Low Performer</v>
      </c>
    </row>
    <row r="1042" spans="2:24" x14ac:dyDescent="0.3">
      <c r="B1042" t="s">
        <v>19</v>
      </c>
      <c r="C1042" t="s">
        <v>20</v>
      </c>
      <c r="D1042">
        <v>1</v>
      </c>
      <c r="E1042" t="s">
        <v>21</v>
      </c>
      <c r="F1042">
        <v>2</v>
      </c>
      <c r="G1042" t="s">
        <v>32</v>
      </c>
      <c r="H1042">
        <v>3</v>
      </c>
      <c r="I1042">
        <v>4736</v>
      </c>
      <c r="J1042">
        <v>12</v>
      </c>
      <c r="K1042">
        <v>3</v>
      </c>
      <c r="L1042">
        <v>1</v>
      </c>
      <c r="M1042">
        <v>4</v>
      </c>
      <c r="N1042">
        <v>2</v>
      </c>
      <c r="O1042">
        <v>4</v>
      </c>
      <c r="P1042">
        <v>2</v>
      </c>
      <c r="Q1042">
        <v>2</v>
      </c>
      <c r="R1042">
        <v>2</v>
      </c>
      <c r="S1042" t="s">
        <v>34</v>
      </c>
      <c r="T1042" t="s">
        <v>24</v>
      </c>
      <c r="U1042" t="str">
        <f>IF(Table1[[#This Row],[YearsSince
LastPromotion]]&gt; 4, "Delayed", "Normal")</f>
        <v>Normal</v>
      </c>
      <c r="V1042" t="str">
        <f>IF(Table1[[#This Row],[Years
InCurrentRole]]&gt;4, "Role Stagnent", "Normal")</f>
        <v>Normal</v>
      </c>
      <c r="W1042" t="str">
        <f>IF(AND(Table1[[#This Row],[Years
InCurrentRole]]&gt; 4, Table1[[#This Row],[Performance
Rating]]&gt;=3), "High Risk", "Normal")</f>
        <v>Normal</v>
      </c>
      <c r="X1042" t="str">
        <f>IF(Table1[[#This Row],[Performance
Rating]]&gt;=4, "High Performer", "Low Performer")</f>
        <v>Low Performer</v>
      </c>
    </row>
    <row r="1043" spans="2:24" x14ac:dyDescent="0.3">
      <c r="B1043" t="s">
        <v>27</v>
      </c>
      <c r="C1043" t="s">
        <v>25</v>
      </c>
      <c r="D1043">
        <v>1</v>
      </c>
      <c r="E1043" t="s">
        <v>28</v>
      </c>
      <c r="F1043">
        <v>1</v>
      </c>
      <c r="G1043" t="s">
        <v>26</v>
      </c>
      <c r="H1043">
        <v>4</v>
      </c>
      <c r="I1043">
        <v>4787</v>
      </c>
      <c r="J1043">
        <v>14</v>
      </c>
      <c r="K1043">
        <v>3</v>
      </c>
      <c r="L1043">
        <v>3</v>
      </c>
      <c r="M1043">
        <v>4</v>
      </c>
      <c r="N1043">
        <v>3</v>
      </c>
      <c r="O1043">
        <v>4</v>
      </c>
      <c r="P1043">
        <v>2</v>
      </c>
      <c r="Q1043">
        <v>2</v>
      </c>
      <c r="R1043">
        <v>2</v>
      </c>
      <c r="S1043" t="s">
        <v>34</v>
      </c>
      <c r="T1043" t="s">
        <v>24</v>
      </c>
      <c r="U1043" t="str">
        <f>IF(Table1[[#This Row],[YearsSince
LastPromotion]]&gt; 4, "Delayed", "Normal")</f>
        <v>Normal</v>
      </c>
      <c r="V1043" t="str">
        <f>IF(Table1[[#This Row],[Years
InCurrentRole]]&gt;4, "Role Stagnent", "Normal")</f>
        <v>Normal</v>
      </c>
      <c r="W1043" t="str">
        <f>IF(AND(Table1[[#This Row],[Years
InCurrentRole]]&gt; 4, Table1[[#This Row],[Performance
Rating]]&gt;=3), "High Risk", "Normal")</f>
        <v>Normal</v>
      </c>
      <c r="X1043" t="str">
        <f>IF(Table1[[#This Row],[Performance
Rating]]&gt;=4, "High Performer", "Low Performer")</f>
        <v>Low Performer</v>
      </c>
    </row>
    <row r="1044" spans="2:24" x14ac:dyDescent="0.3">
      <c r="B1044" t="s">
        <v>19</v>
      </c>
      <c r="C1044" t="s">
        <v>25</v>
      </c>
      <c r="D1044">
        <v>1</v>
      </c>
      <c r="E1044" t="s">
        <v>21</v>
      </c>
      <c r="F1044">
        <v>1</v>
      </c>
      <c r="G1044" t="s">
        <v>26</v>
      </c>
      <c r="H1044">
        <v>2</v>
      </c>
      <c r="I1044">
        <v>2070</v>
      </c>
      <c r="J1044">
        <v>11</v>
      </c>
      <c r="K1044">
        <v>3</v>
      </c>
      <c r="L1044">
        <v>0</v>
      </c>
      <c r="M1044">
        <v>2</v>
      </c>
      <c r="N1044">
        <v>6</v>
      </c>
      <c r="O1044">
        <v>4</v>
      </c>
      <c r="P1044">
        <v>2</v>
      </c>
      <c r="Q1044">
        <v>2</v>
      </c>
      <c r="R1044">
        <v>2</v>
      </c>
      <c r="S1044" t="s">
        <v>34</v>
      </c>
      <c r="T1044" t="s">
        <v>24</v>
      </c>
      <c r="U1044" t="str">
        <f>IF(Table1[[#This Row],[YearsSince
LastPromotion]]&gt; 4, "Delayed", "Normal")</f>
        <v>Normal</v>
      </c>
      <c r="V1044" t="str">
        <f>IF(Table1[[#This Row],[Years
InCurrentRole]]&gt;4, "Role Stagnent", "Normal")</f>
        <v>Normal</v>
      </c>
      <c r="W1044" t="str">
        <f>IF(AND(Table1[[#This Row],[Years
InCurrentRole]]&gt; 4, Table1[[#This Row],[Performance
Rating]]&gt;=3), "High Risk", "Normal")</f>
        <v>Normal</v>
      </c>
      <c r="X1044" t="str">
        <f>IF(Table1[[#This Row],[Performance
Rating]]&gt;=4, "High Performer", "Low Performer")</f>
        <v>Low Performer</v>
      </c>
    </row>
    <row r="1045" spans="2:24" x14ac:dyDescent="0.3">
      <c r="B1045" t="s">
        <v>19</v>
      </c>
      <c r="C1045" t="s">
        <v>20</v>
      </c>
      <c r="D1045">
        <v>1</v>
      </c>
      <c r="E1045" t="s">
        <v>28</v>
      </c>
      <c r="F1045">
        <v>1</v>
      </c>
      <c r="G1045" t="s">
        <v>30</v>
      </c>
      <c r="H1045">
        <v>4</v>
      </c>
      <c r="I1045">
        <v>2610</v>
      </c>
      <c r="J1045">
        <v>24</v>
      </c>
      <c r="K1045">
        <v>4</v>
      </c>
      <c r="L1045">
        <v>0</v>
      </c>
      <c r="M1045">
        <v>3</v>
      </c>
      <c r="N1045">
        <v>3</v>
      </c>
      <c r="O1045">
        <v>2</v>
      </c>
      <c r="P1045">
        <v>3</v>
      </c>
      <c r="Q1045">
        <v>2</v>
      </c>
      <c r="R1045">
        <v>2</v>
      </c>
      <c r="S1045" t="s">
        <v>23</v>
      </c>
      <c r="T1045" t="s">
        <v>24</v>
      </c>
      <c r="U1045" t="str">
        <f>IF(Table1[[#This Row],[YearsSince
LastPromotion]]&gt; 4, "Delayed", "Normal")</f>
        <v>Normal</v>
      </c>
      <c r="V1045" t="str">
        <f>IF(Table1[[#This Row],[Years
InCurrentRole]]&gt;4, "Role Stagnent", "Normal")</f>
        <v>Normal</v>
      </c>
      <c r="W1045" t="str">
        <f>IF(AND(Table1[[#This Row],[Years
InCurrentRole]]&gt; 4, Table1[[#This Row],[Performance
Rating]]&gt;=3), "High Risk", "Normal")</f>
        <v>Normal</v>
      </c>
      <c r="X1045" t="str">
        <f>IF(Table1[[#This Row],[Performance
Rating]]&gt;=4, "High Performer", "Low Performer")</f>
        <v>High Performer</v>
      </c>
    </row>
    <row r="1046" spans="2:24" x14ac:dyDescent="0.3">
      <c r="B1046" t="s">
        <v>27</v>
      </c>
      <c r="C1046" t="s">
        <v>25</v>
      </c>
      <c r="D1046">
        <v>1</v>
      </c>
      <c r="E1046" t="s">
        <v>28</v>
      </c>
      <c r="F1046">
        <v>1</v>
      </c>
      <c r="G1046" t="s">
        <v>26</v>
      </c>
      <c r="H1046">
        <v>4</v>
      </c>
      <c r="I1046">
        <v>3464</v>
      </c>
      <c r="J1046">
        <v>13</v>
      </c>
      <c r="K1046">
        <v>3</v>
      </c>
      <c r="L1046">
        <v>0</v>
      </c>
      <c r="M1046">
        <v>5</v>
      </c>
      <c r="N1046">
        <v>4</v>
      </c>
      <c r="O1046">
        <v>2</v>
      </c>
      <c r="P1046">
        <v>3</v>
      </c>
      <c r="Q1046">
        <v>2</v>
      </c>
      <c r="R1046">
        <v>2</v>
      </c>
      <c r="S1046" t="s">
        <v>23</v>
      </c>
      <c r="T1046" t="s">
        <v>24</v>
      </c>
      <c r="U1046" t="str">
        <f>IF(Table1[[#This Row],[YearsSince
LastPromotion]]&gt; 4, "Delayed", "Normal")</f>
        <v>Normal</v>
      </c>
      <c r="V1046" t="str">
        <f>IF(Table1[[#This Row],[Years
InCurrentRole]]&gt;4, "Role Stagnent", "Normal")</f>
        <v>Normal</v>
      </c>
      <c r="W1046" t="str">
        <f>IF(AND(Table1[[#This Row],[Years
InCurrentRole]]&gt; 4, Table1[[#This Row],[Performance
Rating]]&gt;=3), "High Risk", "Normal")</f>
        <v>Normal</v>
      </c>
      <c r="X1046" t="str">
        <f>IF(Table1[[#This Row],[Performance
Rating]]&gt;=4, "High Performer", "Low Performer")</f>
        <v>Low Performer</v>
      </c>
    </row>
    <row r="1047" spans="2:24" x14ac:dyDescent="0.3">
      <c r="B1047" t="s">
        <v>19</v>
      </c>
      <c r="C1047" t="s">
        <v>36</v>
      </c>
      <c r="D1047">
        <v>1</v>
      </c>
      <c r="E1047" t="s">
        <v>28</v>
      </c>
      <c r="F1047">
        <v>1</v>
      </c>
      <c r="G1047" t="s">
        <v>36</v>
      </c>
      <c r="H1047">
        <v>4</v>
      </c>
      <c r="I1047">
        <v>2706</v>
      </c>
      <c r="J1047">
        <v>15</v>
      </c>
      <c r="K1047">
        <v>3</v>
      </c>
      <c r="L1047">
        <v>1</v>
      </c>
      <c r="M1047">
        <v>3</v>
      </c>
      <c r="N1047">
        <v>2</v>
      </c>
      <c r="O1047">
        <v>3</v>
      </c>
      <c r="P1047">
        <v>3</v>
      </c>
      <c r="Q1047">
        <v>2</v>
      </c>
      <c r="R1047">
        <v>2</v>
      </c>
      <c r="S1047" t="s">
        <v>34</v>
      </c>
      <c r="T1047" t="s">
        <v>24</v>
      </c>
      <c r="U1047" t="str">
        <f>IF(Table1[[#This Row],[YearsSince
LastPromotion]]&gt; 4, "Delayed", "Normal")</f>
        <v>Normal</v>
      </c>
      <c r="V1047" t="str">
        <f>IF(Table1[[#This Row],[Years
InCurrentRole]]&gt;4, "Role Stagnent", "Normal")</f>
        <v>Normal</v>
      </c>
      <c r="W1047" t="str">
        <f>IF(AND(Table1[[#This Row],[Years
InCurrentRole]]&gt; 4, Table1[[#This Row],[Performance
Rating]]&gt;=3), "High Risk", "Normal")</f>
        <v>Normal</v>
      </c>
      <c r="X1047" t="str">
        <f>IF(Table1[[#This Row],[Performance
Rating]]&gt;=4, "High Performer", "Low Performer")</f>
        <v>Low Performer</v>
      </c>
    </row>
    <row r="1048" spans="2:24" x14ac:dyDescent="0.3">
      <c r="B1048" t="s">
        <v>19</v>
      </c>
      <c r="C1048" t="s">
        <v>25</v>
      </c>
      <c r="D1048">
        <v>1</v>
      </c>
      <c r="E1048" t="s">
        <v>28</v>
      </c>
      <c r="F1048">
        <v>1</v>
      </c>
      <c r="G1048" t="s">
        <v>29</v>
      </c>
      <c r="H1048">
        <v>4</v>
      </c>
      <c r="I1048">
        <v>3983</v>
      </c>
      <c r="J1048">
        <v>17</v>
      </c>
      <c r="K1048">
        <v>3</v>
      </c>
      <c r="L1048">
        <v>0</v>
      </c>
      <c r="M1048">
        <v>4</v>
      </c>
      <c r="N1048">
        <v>2</v>
      </c>
      <c r="O1048">
        <v>3</v>
      </c>
      <c r="P1048">
        <v>3</v>
      </c>
      <c r="Q1048">
        <v>2</v>
      </c>
      <c r="R1048">
        <v>2</v>
      </c>
      <c r="S1048" t="s">
        <v>34</v>
      </c>
      <c r="T1048" t="s">
        <v>24</v>
      </c>
      <c r="U1048" t="str">
        <f>IF(Table1[[#This Row],[YearsSince
LastPromotion]]&gt; 4, "Delayed", "Normal")</f>
        <v>Normal</v>
      </c>
      <c r="V1048" t="str">
        <f>IF(Table1[[#This Row],[Years
InCurrentRole]]&gt;4, "Role Stagnent", "Normal")</f>
        <v>Normal</v>
      </c>
      <c r="W1048" t="str">
        <f>IF(AND(Table1[[#This Row],[Years
InCurrentRole]]&gt; 4, Table1[[#This Row],[Performance
Rating]]&gt;=3), "High Risk", "Normal")</f>
        <v>Normal</v>
      </c>
      <c r="X1048" t="str">
        <f>IF(Table1[[#This Row],[Performance
Rating]]&gt;=4, "High Performer", "Low Performer")</f>
        <v>Low Performer</v>
      </c>
    </row>
    <row r="1049" spans="2:24" x14ac:dyDescent="0.3">
      <c r="B1049" t="s">
        <v>19</v>
      </c>
      <c r="C1049" t="s">
        <v>20</v>
      </c>
      <c r="D1049">
        <v>1</v>
      </c>
      <c r="E1049" t="s">
        <v>28</v>
      </c>
      <c r="F1049">
        <v>2</v>
      </c>
      <c r="G1049" t="s">
        <v>32</v>
      </c>
      <c r="H1049">
        <v>4</v>
      </c>
      <c r="I1049">
        <v>4465</v>
      </c>
      <c r="J1049">
        <v>18</v>
      </c>
      <c r="K1049">
        <v>3</v>
      </c>
      <c r="L1049">
        <v>0</v>
      </c>
      <c r="M1049">
        <v>4</v>
      </c>
      <c r="N1049">
        <v>2</v>
      </c>
      <c r="O1049">
        <v>3</v>
      </c>
      <c r="P1049">
        <v>3</v>
      </c>
      <c r="Q1049">
        <v>2</v>
      </c>
      <c r="R1049">
        <v>2</v>
      </c>
      <c r="S1049" t="s">
        <v>34</v>
      </c>
      <c r="T1049" t="s">
        <v>24</v>
      </c>
      <c r="U1049" t="str">
        <f>IF(Table1[[#This Row],[YearsSince
LastPromotion]]&gt; 4, "Delayed", "Normal")</f>
        <v>Normal</v>
      </c>
      <c r="V1049" t="str">
        <f>IF(Table1[[#This Row],[Years
InCurrentRole]]&gt;4, "Role Stagnent", "Normal")</f>
        <v>Normal</v>
      </c>
      <c r="W1049" t="str">
        <f>IF(AND(Table1[[#This Row],[Years
InCurrentRole]]&gt; 4, Table1[[#This Row],[Performance
Rating]]&gt;=3), "High Risk", "Normal")</f>
        <v>Normal</v>
      </c>
      <c r="X1049" t="str">
        <f>IF(Table1[[#This Row],[Performance
Rating]]&gt;=4, "High Performer", "Low Performer")</f>
        <v>Low Performer</v>
      </c>
    </row>
    <row r="1050" spans="2:24" x14ac:dyDescent="0.3">
      <c r="B1050" t="s">
        <v>19</v>
      </c>
      <c r="C1050" t="s">
        <v>25</v>
      </c>
      <c r="D1050">
        <v>1</v>
      </c>
      <c r="E1050" t="s">
        <v>21</v>
      </c>
      <c r="F1050">
        <v>2</v>
      </c>
      <c r="G1050" t="s">
        <v>33</v>
      </c>
      <c r="H1050">
        <v>4</v>
      </c>
      <c r="I1050">
        <v>4227</v>
      </c>
      <c r="J1050">
        <v>18</v>
      </c>
      <c r="K1050">
        <v>3</v>
      </c>
      <c r="L1050">
        <v>1</v>
      </c>
      <c r="M1050">
        <v>4</v>
      </c>
      <c r="N1050">
        <v>2</v>
      </c>
      <c r="O1050">
        <v>3</v>
      </c>
      <c r="P1050">
        <v>3</v>
      </c>
      <c r="Q1050">
        <v>2</v>
      </c>
      <c r="R1050">
        <v>2</v>
      </c>
      <c r="S1050" t="s">
        <v>34</v>
      </c>
      <c r="T1050" t="s">
        <v>24</v>
      </c>
      <c r="U1050" t="str">
        <f>IF(Table1[[#This Row],[YearsSince
LastPromotion]]&gt; 4, "Delayed", "Normal")</f>
        <v>Normal</v>
      </c>
      <c r="V1050" t="str">
        <f>IF(Table1[[#This Row],[Years
InCurrentRole]]&gt;4, "Role Stagnent", "Normal")</f>
        <v>Normal</v>
      </c>
      <c r="W1050" t="str">
        <f>IF(AND(Table1[[#This Row],[Years
InCurrentRole]]&gt; 4, Table1[[#This Row],[Performance
Rating]]&gt;=3), "High Risk", "Normal")</f>
        <v>Normal</v>
      </c>
      <c r="X1050" t="str">
        <f>IF(Table1[[#This Row],[Performance
Rating]]&gt;=4, "High Performer", "Low Performer")</f>
        <v>Low Performer</v>
      </c>
    </row>
    <row r="1051" spans="2:24" x14ac:dyDescent="0.3">
      <c r="B1051" t="s">
        <v>27</v>
      </c>
      <c r="C1051" t="s">
        <v>20</v>
      </c>
      <c r="D1051">
        <v>1</v>
      </c>
      <c r="E1051" t="s">
        <v>28</v>
      </c>
      <c r="F1051">
        <v>1</v>
      </c>
      <c r="G1051" t="s">
        <v>30</v>
      </c>
      <c r="H1051">
        <v>1</v>
      </c>
      <c r="I1051">
        <v>4400</v>
      </c>
      <c r="J1051">
        <v>12</v>
      </c>
      <c r="K1051">
        <v>3</v>
      </c>
      <c r="L1051">
        <v>0</v>
      </c>
      <c r="M1051">
        <v>6</v>
      </c>
      <c r="N1051">
        <v>2</v>
      </c>
      <c r="O1051">
        <v>3</v>
      </c>
      <c r="P1051">
        <v>3</v>
      </c>
      <c r="Q1051">
        <v>2</v>
      </c>
      <c r="R1051">
        <v>2</v>
      </c>
      <c r="S1051" t="s">
        <v>34</v>
      </c>
      <c r="T1051" t="s">
        <v>24</v>
      </c>
      <c r="U1051" t="str">
        <f>IF(Table1[[#This Row],[YearsSince
LastPromotion]]&gt; 4, "Delayed", "Normal")</f>
        <v>Normal</v>
      </c>
      <c r="V1051" t="str">
        <f>IF(Table1[[#This Row],[Years
InCurrentRole]]&gt;4, "Role Stagnent", "Normal")</f>
        <v>Normal</v>
      </c>
      <c r="W1051" t="str">
        <f>IF(AND(Table1[[#This Row],[Years
InCurrentRole]]&gt; 4, Table1[[#This Row],[Performance
Rating]]&gt;=3), "High Risk", "Normal")</f>
        <v>Normal</v>
      </c>
      <c r="X1051" t="str">
        <f>IF(Table1[[#This Row],[Performance
Rating]]&gt;=4, "High Performer", "Low Performer")</f>
        <v>Low Performer</v>
      </c>
    </row>
    <row r="1052" spans="2:24" x14ac:dyDescent="0.3">
      <c r="B1052" t="s">
        <v>19</v>
      </c>
      <c r="C1052" t="s">
        <v>25</v>
      </c>
      <c r="D1052">
        <v>1</v>
      </c>
      <c r="E1052" t="s">
        <v>21</v>
      </c>
      <c r="F1052">
        <v>2</v>
      </c>
      <c r="G1052" t="s">
        <v>26</v>
      </c>
      <c r="H1052">
        <v>3</v>
      </c>
      <c r="I1052">
        <v>4317</v>
      </c>
      <c r="J1052">
        <v>20</v>
      </c>
      <c r="K1052">
        <v>4</v>
      </c>
      <c r="L1052">
        <v>0</v>
      </c>
      <c r="M1052">
        <v>19</v>
      </c>
      <c r="N1052">
        <v>2</v>
      </c>
      <c r="O1052">
        <v>3</v>
      </c>
      <c r="P1052">
        <v>3</v>
      </c>
      <c r="Q1052">
        <v>2</v>
      </c>
      <c r="R1052">
        <v>2</v>
      </c>
      <c r="S1052" t="s">
        <v>34</v>
      </c>
      <c r="T1052" t="s">
        <v>24</v>
      </c>
      <c r="U1052" t="str">
        <f>IF(Table1[[#This Row],[YearsSince
LastPromotion]]&gt; 4, "Delayed", "Normal")</f>
        <v>Normal</v>
      </c>
      <c r="V1052" t="str">
        <f>IF(Table1[[#This Row],[Years
InCurrentRole]]&gt;4, "Role Stagnent", "Normal")</f>
        <v>Normal</v>
      </c>
      <c r="W1052" t="str">
        <f>IF(AND(Table1[[#This Row],[Years
InCurrentRole]]&gt; 4, Table1[[#This Row],[Performance
Rating]]&gt;=3), "High Risk", "Normal")</f>
        <v>Normal</v>
      </c>
      <c r="X1052" t="str">
        <f>IF(Table1[[#This Row],[Performance
Rating]]&gt;=4, "High Performer", "Low Performer")</f>
        <v>High Performer</v>
      </c>
    </row>
    <row r="1053" spans="2:24" x14ac:dyDescent="0.3">
      <c r="B1053" t="s">
        <v>19</v>
      </c>
      <c r="C1053" t="s">
        <v>25</v>
      </c>
      <c r="D1053">
        <v>1</v>
      </c>
      <c r="E1053" t="s">
        <v>28</v>
      </c>
      <c r="F1053">
        <v>1</v>
      </c>
      <c r="G1053" t="s">
        <v>26</v>
      </c>
      <c r="H1053">
        <v>3</v>
      </c>
      <c r="I1053">
        <v>3506</v>
      </c>
      <c r="J1053">
        <v>14</v>
      </c>
      <c r="K1053">
        <v>3</v>
      </c>
      <c r="L1053">
        <v>0</v>
      </c>
      <c r="M1053">
        <v>4</v>
      </c>
      <c r="N1053">
        <v>3</v>
      </c>
      <c r="O1053">
        <v>3</v>
      </c>
      <c r="P1053">
        <v>3</v>
      </c>
      <c r="Q1053">
        <v>2</v>
      </c>
      <c r="R1053">
        <v>2</v>
      </c>
      <c r="S1053" t="s">
        <v>34</v>
      </c>
      <c r="T1053" t="s">
        <v>24</v>
      </c>
      <c r="U1053" t="str">
        <f>IF(Table1[[#This Row],[YearsSince
LastPromotion]]&gt; 4, "Delayed", "Normal")</f>
        <v>Normal</v>
      </c>
      <c r="V1053" t="str">
        <f>IF(Table1[[#This Row],[Years
InCurrentRole]]&gt;4, "Role Stagnent", "Normal")</f>
        <v>Normal</v>
      </c>
      <c r="W1053" t="str">
        <f>IF(AND(Table1[[#This Row],[Years
InCurrentRole]]&gt; 4, Table1[[#This Row],[Performance
Rating]]&gt;=3), "High Risk", "Normal")</f>
        <v>Normal</v>
      </c>
      <c r="X1053" t="str">
        <f>IF(Table1[[#This Row],[Performance
Rating]]&gt;=4, "High Performer", "Low Performer")</f>
        <v>Low Performer</v>
      </c>
    </row>
    <row r="1054" spans="2:24" x14ac:dyDescent="0.3">
      <c r="B1054" t="s">
        <v>19</v>
      </c>
      <c r="C1054" t="s">
        <v>25</v>
      </c>
      <c r="D1054">
        <v>1</v>
      </c>
      <c r="E1054" t="s">
        <v>21</v>
      </c>
      <c r="F1054">
        <v>1</v>
      </c>
      <c r="G1054" t="s">
        <v>26</v>
      </c>
      <c r="H1054">
        <v>1</v>
      </c>
      <c r="I1054">
        <v>3204</v>
      </c>
      <c r="J1054">
        <v>14</v>
      </c>
      <c r="K1054">
        <v>3</v>
      </c>
      <c r="L1054">
        <v>1</v>
      </c>
      <c r="M1054">
        <v>8</v>
      </c>
      <c r="N1054">
        <v>3</v>
      </c>
      <c r="O1054">
        <v>3</v>
      </c>
      <c r="P1054">
        <v>3</v>
      </c>
      <c r="Q1054">
        <v>2</v>
      </c>
      <c r="R1054">
        <v>2</v>
      </c>
      <c r="S1054" t="s">
        <v>34</v>
      </c>
      <c r="T1054" t="s">
        <v>24</v>
      </c>
      <c r="U1054" t="str">
        <f>IF(Table1[[#This Row],[YearsSince
LastPromotion]]&gt; 4, "Delayed", "Normal")</f>
        <v>Normal</v>
      </c>
      <c r="V1054" t="str">
        <f>IF(Table1[[#This Row],[Years
InCurrentRole]]&gt;4, "Role Stagnent", "Normal")</f>
        <v>Normal</v>
      </c>
      <c r="W1054" t="str">
        <f>IF(AND(Table1[[#This Row],[Years
InCurrentRole]]&gt; 4, Table1[[#This Row],[Performance
Rating]]&gt;=3), "High Risk", "Normal")</f>
        <v>Normal</v>
      </c>
      <c r="X1054" t="str">
        <f>IF(Table1[[#This Row],[Performance
Rating]]&gt;=4, "High Performer", "Low Performer")</f>
        <v>Low Performer</v>
      </c>
    </row>
    <row r="1055" spans="2:24" x14ac:dyDescent="0.3">
      <c r="B1055" t="s">
        <v>19</v>
      </c>
      <c r="C1055" t="s">
        <v>20</v>
      </c>
      <c r="D1055">
        <v>1</v>
      </c>
      <c r="E1055" t="s">
        <v>21</v>
      </c>
      <c r="F1055">
        <v>3</v>
      </c>
      <c r="G1055" t="s">
        <v>32</v>
      </c>
      <c r="H1055">
        <v>1</v>
      </c>
      <c r="I1055">
        <v>9637</v>
      </c>
      <c r="J1055">
        <v>14</v>
      </c>
      <c r="K1055">
        <v>3</v>
      </c>
      <c r="L1055">
        <v>2</v>
      </c>
      <c r="M1055">
        <v>9</v>
      </c>
      <c r="N1055">
        <v>3</v>
      </c>
      <c r="O1055">
        <v>3</v>
      </c>
      <c r="P1055">
        <v>3</v>
      </c>
      <c r="Q1055">
        <v>2</v>
      </c>
      <c r="R1055">
        <v>2</v>
      </c>
      <c r="S1055" t="s">
        <v>34</v>
      </c>
      <c r="T1055" t="s">
        <v>24</v>
      </c>
      <c r="U1055" t="str">
        <f>IF(Table1[[#This Row],[YearsSince
LastPromotion]]&gt; 4, "Delayed", "Normal")</f>
        <v>Normal</v>
      </c>
      <c r="V1055" t="str">
        <f>IF(Table1[[#This Row],[Years
InCurrentRole]]&gt;4, "Role Stagnent", "Normal")</f>
        <v>Normal</v>
      </c>
      <c r="W1055" t="str">
        <f>IF(AND(Table1[[#This Row],[Years
InCurrentRole]]&gt; 4, Table1[[#This Row],[Performance
Rating]]&gt;=3), "High Risk", "Normal")</f>
        <v>Normal</v>
      </c>
      <c r="X1055" t="str">
        <f>IF(Table1[[#This Row],[Performance
Rating]]&gt;=4, "High Performer", "Low Performer")</f>
        <v>Low Performer</v>
      </c>
    </row>
    <row r="1056" spans="2:24" x14ac:dyDescent="0.3">
      <c r="B1056" t="s">
        <v>27</v>
      </c>
      <c r="C1056" t="s">
        <v>20</v>
      </c>
      <c r="D1056">
        <v>1</v>
      </c>
      <c r="E1056" t="s">
        <v>28</v>
      </c>
      <c r="F1056">
        <v>3</v>
      </c>
      <c r="G1056" t="s">
        <v>32</v>
      </c>
      <c r="H1056">
        <v>1</v>
      </c>
      <c r="I1056">
        <v>10854</v>
      </c>
      <c r="J1056">
        <v>13</v>
      </c>
      <c r="K1056">
        <v>3</v>
      </c>
      <c r="L1056">
        <v>1</v>
      </c>
      <c r="M1056">
        <v>20</v>
      </c>
      <c r="N1056">
        <v>3</v>
      </c>
      <c r="O1056">
        <v>3</v>
      </c>
      <c r="P1056">
        <v>3</v>
      </c>
      <c r="Q1056">
        <v>2</v>
      </c>
      <c r="R1056">
        <v>2</v>
      </c>
      <c r="S1056" t="s">
        <v>34</v>
      </c>
      <c r="T1056" t="s">
        <v>24</v>
      </c>
      <c r="U1056" t="str">
        <f>IF(Table1[[#This Row],[YearsSince
LastPromotion]]&gt; 4, "Delayed", "Normal")</f>
        <v>Normal</v>
      </c>
      <c r="V1056" t="str">
        <f>IF(Table1[[#This Row],[Years
InCurrentRole]]&gt;4, "Role Stagnent", "Normal")</f>
        <v>Normal</v>
      </c>
      <c r="W1056" t="str">
        <f>IF(AND(Table1[[#This Row],[Years
InCurrentRole]]&gt; 4, Table1[[#This Row],[Performance
Rating]]&gt;=3), "High Risk", "Normal")</f>
        <v>Normal</v>
      </c>
      <c r="X1056" t="str">
        <f>IF(Table1[[#This Row],[Performance
Rating]]&gt;=4, "High Performer", "Low Performer")</f>
        <v>Low Performer</v>
      </c>
    </row>
    <row r="1057" spans="2:24" x14ac:dyDescent="0.3">
      <c r="B1057" t="s">
        <v>19</v>
      </c>
      <c r="C1057" t="s">
        <v>36</v>
      </c>
      <c r="D1057">
        <v>1</v>
      </c>
      <c r="E1057" t="s">
        <v>21</v>
      </c>
      <c r="F1057">
        <v>5</v>
      </c>
      <c r="G1057" t="s">
        <v>22</v>
      </c>
      <c r="H1057">
        <v>4</v>
      </c>
      <c r="I1057">
        <v>18844</v>
      </c>
      <c r="J1057">
        <v>21</v>
      </c>
      <c r="K1057">
        <v>4</v>
      </c>
      <c r="L1057">
        <v>1</v>
      </c>
      <c r="M1057">
        <v>30</v>
      </c>
      <c r="N1057">
        <v>3</v>
      </c>
      <c r="O1057">
        <v>3</v>
      </c>
      <c r="P1057">
        <v>3</v>
      </c>
      <c r="Q1057">
        <v>2</v>
      </c>
      <c r="R1057">
        <v>2</v>
      </c>
      <c r="S1057" t="s">
        <v>34</v>
      </c>
      <c r="T1057" t="s">
        <v>24</v>
      </c>
      <c r="U1057" t="str">
        <f>IF(Table1[[#This Row],[YearsSince
LastPromotion]]&gt; 4, "Delayed", "Normal")</f>
        <v>Normal</v>
      </c>
      <c r="V1057" t="str">
        <f>IF(Table1[[#This Row],[Years
InCurrentRole]]&gt;4, "Role Stagnent", "Normal")</f>
        <v>Normal</v>
      </c>
      <c r="W1057" t="str">
        <f>IF(AND(Table1[[#This Row],[Years
InCurrentRole]]&gt; 4, Table1[[#This Row],[Performance
Rating]]&gt;=3), "High Risk", "Normal")</f>
        <v>Normal</v>
      </c>
      <c r="X1057" t="str">
        <f>IF(Table1[[#This Row],[Performance
Rating]]&gt;=4, "High Performer", "Low Performer")</f>
        <v>High Performer</v>
      </c>
    </row>
    <row r="1058" spans="2:24" x14ac:dyDescent="0.3">
      <c r="B1058" t="s">
        <v>27</v>
      </c>
      <c r="C1058" t="s">
        <v>20</v>
      </c>
      <c r="D1058">
        <v>1</v>
      </c>
      <c r="E1058" t="s">
        <v>21</v>
      </c>
      <c r="F1058">
        <v>1</v>
      </c>
      <c r="G1058" t="s">
        <v>30</v>
      </c>
      <c r="H1058">
        <v>2</v>
      </c>
      <c r="I1058">
        <v>2302</v>
      </c>
      <c r="J1058">
        <v>11</v>
      </c>
      <c r="K1058">
        <v>3</v>
      </c>
      <c r="L1058">
        <v>0</v>
      </c>
      <c r="M1058">
        <v>3</v>
      </c>
      <c r="N1058">
        <v>2</v>
      </c>
      <c r="O1058">
        <v>4</v>
      </c>
      <c r="P1058">
        <v>3</v>
      </c>
      <c r="Q1058">
        <v>2</v>
      </c>
      <c r="R1058">
        <v>2</v>
      </c>
      <c r="S1058" t="s">
        <v>34</v>
      </c>
      <c r="T1058" t="s">
        <v>24</v>
      </c>
      <c r="U1058" t="str">
        <f>IF(Table1[[#This Row],[YearsSince
LastPromotion]]&gt; 4, "Delayed", "Normal")</f>
        <v>Normal</v>
      </c>
      <c r="V1058" t="str">
        <f>IF(Table1[[#This Row],[Years
InCurrentRole]]&gt;4, "Role Stagnent", "Normal")</f>
        <v>Normal</v>
      </c>
      <c r="W1058" t="str">
        <f>IF(AND(Table1[[#This Row],[Years
InCurrentRole]]&gt; 4, Table1[[#This Row],[Performance
Rating]]&gt;=3), "High Risk", "Normal")</f>
        <v>Normal</v>
      </c>
      <c r="X1058" t="str">
        <f>IF(Table1[[#This Row],[Performance
Rating]]&gt;=4, "High Performer", "Low Performer")</f>
        <v>Low Performer</v>
      </c>
    </row>
    <row r="1059" spans="2:24" x14ac:dyDescent="0.3">
      <c r="B1059" t="s">
        <v>19</v>
      </c>
      <c r="C1059" t="s">
        <v>25</v>
      </c>
      <c r="D1059">
        <v>1</v>
      </c>
      <c r="E1059" t="s">
        <v>28</v>
      </c>
      <c r="F1059">
        <v>1</v>
      </c>
      <c r="G1059" t="s">
        <v>26</v>
      </c>
      <c r="H1059">
        <v>2</v>
      </c>
      <c r="I1059">
        <v>2328</v>
      </c>
      <c r="J1059">
        <v>16</v>
      </c>
      <c r="K1059">
        <v>3</v>
      </c>
      <c r="L1059">
        <v>1</v>
      </c>
      <c r="M1059">
        <v>4</v>
      </c>
      <c r="N1059">
        <v>2</v>
      </c>
      <c r="O1059">
        <v>2</v>
      </c>
      <c r="P1059">
        <v>4</v>
      </c>
      <c r="Q1059">
        <v>2</v>
      </c>
      <c r="R1059">
        <v>2</v>
      </c>
      <c r="S1059" t="s">
        <v>23</v>
      </c>
      <c r="T1059" t="s">
        <v>38</v>
      </c>
      <c r="U1059" t="str">
        <f>IF(Table1[[#This Row],[YearsSince
LastPromotion]]&gt; 4, "Delayed", "Normal")</f>
        <v>Normal</v>
      </c>
      <c r="V1059" t="str">
        <f>IF(Table1[[#This Row],[Years
InCurrentRole]]&gt;4, "Role Stagnent", "Normal")</f>
        <v>Normal</v>
      </c>
      <c r="W1059" t="str">
        <f>IF(AND(Table1[[#This Row],[Years
InCurrentRole]]&gt; 4, Table1[[#This Row],[Performance
Rating]]&gt;=3), "High Risk", "Normal")</f>
        <v>Normal</v>
      </c>
      <c r="X1059" t="str">
        <f>IF(Table1[[#This Row],[Performance
Rating]]&gt;=4, "High Performer", "Low Performer")</f>
        <v>Low Performer</v>
      </c>
    </row>
    <row r="1060" spans="2:24" x14ac:dyDescent="0.3">
      <c r="B1060" t="s">
        <v>19</v>
      </c>
      <c r="C1060" t="s">
        <v>25</v>
      </c>
      <c r="D1060">
        <v>1</v>
      </c>
      <c r="E1060" t="s">
        <v>21</v>
      </c>
      <c r="F1060">
        <v>1</v>
      </c>
      <c r="G1060" t="s">
        <v>26</v>
      </c>
      <c r="H1060">
        <v>4</v>
      </c>
      <c r="I1060">
        <v>2342</v>
      </c>
      <c r="J1060">
        <v>20</v>
      </c>
      <c r="K1060">
        <v>4</v>
      </c>
      <c r="L1060">
        <v>0</v>
      </c>
      <c r="M1060">
        <v>5</v>
      </c>
      <c r="N1060">
        <v>2</v>
      </c>
      <c r="O1060">
        <v>2</v>
      </c>
      <c r="P1060">
        <v>4</v>
      </c>
      <c r="Q1060">
        <v>2</v>
      </c>
      <c r="R1060">
        <v>2</v>
      </c>
      <c r="S1060" t="s">
        <v>23</v>
      </c>
      <c r="T1060" t="s">
        <v>38</v>
      </c>
      <c r="U1060" t="str">
        <f>IF(Table1[[#This Row],[YearsSince
LastPromotion]]&gt; 4, "Delayed", "Normal")</f>
        <v>Normal</v>
      </c>
      <c r="V1060" t="str">
        <f>IF(Table1[[#This Row],[Years
InCurrentRole]]&gt;4, "Role Stagnent", "Normal")</f>
        <v>Normal</v>
      </c>
      <c r="W1060" t="str">
        <f>IF(AND(Table1[[#This Row],[Years
InCurrentRole]]&gt; 4, Table1[[#This Row],[Performance
Rating]]&gt;=3), "High Risk", "Normal")</f>
        <v>Normal</v>
      </c>
      <c r="X1060" t="str">
        <f>IF(Table1[[#This Row],[Performance
Rating]]&gt;=4, "High Performer", "Low Performer")</f>
        <v>High Performer</v>
      </c>
    </row>
    <row r="1061" spans="2:24" x14ac:dyDescent="0.3">
      <c r="B1061" t="s">
        <v>19</v>
      </c>
      <c r="C1061" t="s">
        <v>25</v>
      </c>
      <c r="D1061">
        <v>1</v>
      </c>
      <c r="E1061" t="s">
        <v>28</v>
      </c>
      <c r="F1061">
        <v>1</v>
      </c>
      <c r="G1061" t="s">
        <v>29</v>
      </c>
      <c r="H1061">
        <v>3</v>
      </c>
      <c r="I1061">
        <v>2207</v>
      </c>
      <c r="J1061">
        <v>16</v>
      </c>
      <c r="K1061">
        <v>3</v>
      </c>
      <c r="L1061">
        <v>1</v>
      </c>
      <c r="M1061">
        <v>4</v>
      </c>
      <c r="N1061">
        <v>5</v>
      </c>
      <c r="O1061">
        <v>2</v>
      </c>
      <c r="P1061">
        <v>4</v>
      </c>
      <c r="Q1061">
        <v>2</v>
      </c>
      <c r="R1061">
        <v>2</v>
      </c>
      <c r="S1061" t="s">
        <v>23</v>
      </c>
      <c r="T1061" t="s">
        <v>38</v>
      </c>
      <c r="U1061" t="str">
        <f>IF(Table1[[#This Row],[YearsSince
LastPromotion]]&gt; 4, "Delayed", "Normal")</f>
        <v>Normal</v>
      </c>
      <c r="V1061" t="str">
        <f>IF(Table1[[#This Row],[Years
InCurrentRole]]&gt;4, "Role Stagnent", "Normal")</f>
        <v>Normal</v>
      </c>
      <c r="W1061" t="str">
        <f>IF(AND(Table1[[#This Row],[Years
InCurrentRole]]&gt; 4, Table1[[#This Row],[Performance
Rating]]&gt;=3), "High Risk", "Normal")</f>
        <v>Normal</v>
      </c>
      <c r="X1061" t="str">
        <f>IF(Table1[[#This Row],[Performance
Rating]]&gt;=4, "High Performer", "Low Performer")</f>
        <v>Low Performer</v>
      </c>
    </row>
    <row r="1062" spans="2:24" x14ac:dyDescent="0.3">
      <c r="B1062" t="s">
        <v>19</v>
      </c>
      <c r="C1062" t="s">
        <v>25</v>
      </c>
      <c r="D1062">
        <v>1</v>
      </c>
      <c r="E1062" t="s">
        <v>28</v>
      </c>
      <c r="F1062">
        <v>1</v>
      </c>
      <c r="G1062" t="s">
        <v>26</v>
      </c>
      <c r="H1062">
        <v>3</v>
      </c>
      <c r="I1062">
        <v>2539</v>
      </c>
      <c r="J1062">
        <v>13</v>
      </c>
      <c r="K1062">
        <v>3</v>
      </c>
      <c r="L1062">
        <v>1</v>
      </c>
      <c r="M1062">
        <v>4</v>
      </c>
      <c r="N1062">
        <v>0</v>
      </c>
      <c r="O1062">
        <v>3</v>
      </c>
      <c r="P1062">
        <v>4</v>
      </c>
      <c r="Q1062">
        <v>2</v>
      </c>
      <c r="R1062">
        <v>2</v>
      </c>
      <c r="S1062" t="s">
        <v>34</v>
      </c>
      <c r="T1062" t="s">
        <v>38</v>
      </c>
      <c r="U1062" t="str">
        <f>IF(Table1[[#This Row],[YearsSince
LastPromotion]]&gt; 4, "Delayed", "Normal")</f>
        <v>Normal</v>
      </c>
      <c r="V1062" t="str">
        <f>IF(Table1[[#This Row],[Years
InCurrentRole]]&gt;4, "Role Stagnent", "Normal")</f>
        <v>Normal</v>
      </c>
      <c r="W1062" t="str">
        <f>IF(AND(Table1[[#This Row],[Years
InCurrentRole]]&gt; 4, Table1[[#This Row],[Performance
Rating]]&gt;=3), "High Risk", "Normal")</f>
        <v>Normal</v>
      </c>
      <c r="X1062" t="str">
        <f>IF(Table1[[#This Row],[Performance
Rating]]&gt;=4, "High Performer", "Low Performer")</f>
        <v>Low Performer</v>
      </c>
    </row>
    <row r="1063" spans="2:24" x14ac:dyDescent="0.3">
      <c r="B1063" t="s">
        <v>19</v>
      </c>
      <c r="C1063" t="s">
        <v>25</v>
      </c>
      <c r="D1063">
        <v>1</v>
      </c>
      <c r="E1063" t="s">
        <v>28</v>
      </c>
      <c r="F1063">
        <v>1</v>
      </c>
      <c r="G1063" t="s">
        <v>26</v>
      </c>
      <c r="H1063">
        <v>1</v>
      </c>
      <c r="I1063">
        <v>3065</v>
      </c>
      <c r="J1063">
        <v>13</v>
      </c>
      <c r="K1063">
        <v>3</v>
      </c>
      <c r="L1063">
        <v>1</v>
      </c>
      <c r="M1063">
        <v>4</v>
      </c>
      <c r="N1063">
        <v>3</v>
      </c>
      <c r="O1063">
        <v>4</v>
      </c>
      <c r="P1063">
        <v>4</v>
      </c>
      <c r="Q1063">
        <v>2</v>
      </c>
      <c r="R1063">
        <v>2</v>
      </c>
      <c r="S1063" t="s">
        <v>34</v>
      </c>
      <c r="T1063" t="s">
        <v>38</v>
      </c>
      <c r="U1063" t="str">
        <f>IF(Table1[[#This Row],[YearsSince
LastPromotion]]&gt; 4, "Delayed", "Normal")</f>
        <v>Normal</v>
      </c>
      <c r="V1063" t="str">
        <f>IF(Table1[[#This Row],[Years
InCurrentRole]]&gt;4, "Role Stagnent", "Normal")</f>
        <v>Normal</v>
      </c>
      <c r="W1063" t="str">
        <f>IF(AND(Table1[[#This Row],[Years
InCurrentRole]]&gt; 4, Table1[[#This Row],[Performance
Rating]]&gt;=3), "High Risk", "Normal")</f>
        <v>Normal</v>
      </c>
      <c r="X1063" t="str">
        <f>IF(Table1[[#This Row],[Performance
Rating]]&gt;=4, "High Performer", "Low Performer")</f>
        <v>Low Performer</v>
      </c>
    </row>
    <row r="1064" spans="2:24" x14ac:dyDescent="0.3">
      <c r="B1064" t="s">
        <v>19</v>
      </c>
      <c r="C1064" t="s">
        <v>25</v>
      </c>
      <c r="D1064">
        <v>1</v>
      </c>
      <c r="E1064" t="s">
        <v>28</v>
      </c>
      <c r="F1064">
        <v>2</v>
      </c>
      <c r="G1064" t="s">
        <v>31</v>
      </c>
      <c r="H1064">
        <v>2</v>
      </c>
      <c r="I1064">
        <v>5933</v>
      </c>
      <c r="J1064">
        <v>12</v>
      </c>
      <c r="K1064">
        <v>3</v>
      </c>
      <c r="L1064">
        <v>0</v>
      </c>
      <c r="M1064">
        <v>10</v>
      </c>
      <c r="N1064">
        <v>2</v>
      </c>
      <c r="O1064">
        <v>2</v>
      </c>
      <c r="P1064">
        <v>5</v>
      </c>
      <c r="Q1064">
        <v>2</v>
      </c>
      <c r="R1064">
        <v>2</v>
      </c>
      <c r="S1064" t="s">
        <v>23</v>
      </c>
      <c r="T1064" t="s">
        <v>37</v>
      </c>
      <c r="U1064" t="str">
        <f>IF(Table1[[#This Row],[YearsSince
LastPromotion]]&gt; 4, "Delayed", "Normal")</f>
        <v>Normal</v>
      </c>
      <c r="V1064" t="str">
        <f>IF(Table1[[#This Row],[Years
InCurrentRole]]&gt;4, "Role Stagnent", "Normal")</f>
        <v>Normal</v>
      </c>
      <c r="W1064" t="str">
        <f>IF(AND(Table1[[#This Row],[Years
InCurrentRole]]&gt; 4, Table1[[#This Row],[Performance
Rating]]&gt;=3), "High Risk", "Normal")</f>
        <v>Normal</v>
      </c>
      <c r="X1064" t="str">
        <f>IF(Table1[[#This Row],[Performance
Rating]]&gt;=4, "High Performer", "Low Performer")</f>
        <v>Low Performer</v>
      </c>
    </row>
    <row r="1065" spans="2:24" x14ac:dyDescent="0.3">
      <c r="B1065" t="s">
        <v>19</v>
      </c>
      <c r="C1065" t="s">
        <v>25</v>
      </c>
      <c r="D1065">
        <v>1</v>
      </c>
      <c r="E1065" t="s">
        <v>21</v>
      </c>
      <c r="F1065">
        <v>2</v>
      </c>
      <c r="G1065" t="s">
        <v>31</v>
      </c>
      <c r="H1065">
        <v>4</v>
      </c>
      <c r="I1065">
        <v>5562</v>
      </c>
      <c r="J1065">
        <v>13</v>
      </c>
      <c r="K1065">
        <v>3</v>
      </c>
      <c r="L1065">
        <v>1</v>
      </c>
      <c r="M1065">
        <v>12</v>
      </c>
      <c r="N1065">
        <v>2</v>
      </c>
      <c r="O1065">
        <v>2</v>
      </c>
      <c r="P1065">
        <v>5</v>
      </c>
      <c r="Q1065">
        <v>2</v>
      </c>
      <c r="R1065">
        <v>2</v>
      </c>
      <c r="S1065" t="s">
        <v>23</v>
      </c>
      <c r="T1065" t="s">
        <v>37</v>
      </c>
      <c r="U1065" t="str">
        <f>IF(Table1[[#This Row],[YearsSince
LastPromotion]]&gt; 4, "Delayed", "Normal")</f>
        <v>Normal</v>
      </c>
      <c r="V1065" t="str">
        <f>IF(Table1[[#This Row],[Years
InCurrentRole]]&gt;4, "Role Stagnent", "Normal")</f>
        <v>Normal</v>
      </c>
      <c r="W1065" t="str">
        <f>IF(AND(Table1[[#This Row],[Years
InCurrentRole]]&gt; 4, Table1[[#This Row],[Performance
Rating]]&gt;=3), "High Risk", "Normal")</f>
        <v>Normal</v>
      </c>
      <c r="X1065" t="str">
        <f>IF(Table1[[#This Row],[Performance
Rating]]&gt;=4, "High Performer", "Low Performer")</f>
        <v>Low Performer</v>
      </c>
    </row>
    <row r="1066" spans="2:24" x14ac:dyDescent="0.3">
      <c r="B1066" t="s">
        <v>19</v>
      </c>
      <c r="C1066" t="s">
        <v>25</v>
      </c>
      <c r="D1066">
        <v>1</v>
      </c>
      <c r="E1066" t="s">
        <v>21</v>
      </c>
      <c r="F1066">
        <v>2</v>
      </c>
      <c r="G1066" t="s">
        <v>31</v>
      </c>
      <c r="H1066">
        <v>4</v>
      </c>
      <c r="I1066">
        <v>4089</v>
      </c>
      <c r="J1066">
        <v>13</v>
      </c>
      <c r="K1066">
        <v>3</v>
      </c>
      <c r="L1066">
        <v>2</v>
      </c>
      <c r="M1066">
        <v>10</v>
      </c>
      <c r="N1066">
        <v>4</v>
      </c>
      <c r="O1066">
        <v>3</v>
      </c>
      <c r="P1066">
        <v>10</v>
      </c>
      <c r="Q1066">
        <v>2</v>
      </c>
      <c r="R1066">
        <v>2</v>
      </c>
      <c r="S1066" t="s">
        <v>34</v>
      </c>
      <c r="T1066" t="s">
        <v>37</v>
      </c>
      <c r="U1066" t="str">
        <f>IF(Table1[[#This Row],[YearsSince
LastPromotion]]&gt; 4, "Delayed", "Normal")</f>
        <v>Normal</v>
      </c>
      <c r="V1066" t="str">
        <f>IF(Table1[[#This Row],[Years
InCurrentRole]]&gt;4, "Role Stagnent", "Normal")</f>
        <v>Normal</v>
      </c>
      <c r="W1066" t="str">
        <f>IF(AND(Table1[[#This Row],[Years
InCurrentRole]]&gt; 4, Table1[[#This Row],[Performance
Rating]]&gt;=3), "High Risk", "Normal")</f>
        <v>Normal</v>
      </c>
      <c r="X1066" t="str">
        <f>IF(Table1[[#This Row],[Performance
Rating]]&gt;=4, "High Performer", "Low Performer")</f>
        <v>Low Performer</v>
      </c>
    </row>
    <row r="1067" spans="2:24" x14ac:dyDescent="0.3">
      <c r="B1067" t="s">
        <v>19</v>
      </c>
      <c r="C1067" t="s">
        <v>25</v>
      </c>
      <c r="D1067">
        <v>1</v>
      </c>
      <c r="E1067" t="s">
        <v>21</v>
      </c>
      <c r="F1067">
        <v>2</v>
      </c>
      <c r="G1067" t="s">
        <v>26</v>
      </c>
      <c r="H1067">
        <v>3</v>
      </c>
      <c r="I1067">
        <v>2897</v>
      </c>
      <c r="J1067">
        <v>11</v>
      </c>
      <c r="K1067">
        <v>3</v>
      </c>
      <c r="L1067">
        <v>2</v>
      </c>
      <c r="M1067">
        <v>9</v>
      </c>
      <c r="N1067">
        <v>6</v>
      </c>
      <c r="O1067">
        <v>2</v>
      </c>
      <c r="P1067">
        <v>4</v>
      </c>
      <c r="Q1067">
        <v>3</v>
      </c>
      <c r="R1067">
        <v>2</v>
      </c>
      <c r="S1067" t="s">
        <v>23</v>
      </c>
      <c r="T1067" t="s">
        <v>38</v>
      </c>
      <c r="U1067" t="str">
        <f>IF(Table1[[#This Row],[YearsSince
LastPromotion]]&gt; 4, "Delayed", "Normal")</f>
        <v>Normal</v>
      </c>
      <c r="V1067" t="str">
        <f>IF(Table1[[#This Row],[Years
InCurrentRole]]&gt;4, "Role Stagnent", "Normal")</f>
        <v>Normal</v>
      </c>
      <c r="W1067" t="str">
        <f>IF(AND(Table1[[#This Row],[Years
InCurrentRole]]&gt; 4, Table1[[#This Row],[Performance
Rating]]&gt;=3), "High Risk", "Normal")</f>
        <v>Normal</v>
      </c>
      <c r="X1067" t="str">
        <f>IF(Table1[[#This Row],[Performance
Rating]]&gt;=4, "High Performer", "Low Performer")</f>
        <v>Low Performer</v>
      </c>
    </row>
    <row r="1068" spans="2:24" x14ac:dyDescent="0.3">
      <c r="B1068" t="s">
        <v>19</v>
      </c>
      <c r="C1068" t="s">
        <v>25</v>
      </c>
      <c r="D1068">
        <v>1</v>
      </c>
      <c r="E1068" t="s">
        <v>28</v>
      </c>
      <c r="F1068">
        <v>3</v>
      </c>
      <c r="G1068" t="s">
        <v>35</v>
      </c>
      <c r="H1068">
        <v>3</v>
      </c>
      <c r="I1068">
        <v>13464</v>
      </c>
      <c r="J1068">
        <v>21</v>
      </c>
      <c r="K1068">
        <v>4</v>
      </c>
      <c r="L1068">
        <v>0</v>
      </c>
      <c r="M1068">
        <v>9</v>
      </c>
      <c r="N1068">
        <v>3</v>
      </c>
      <c r="O1068">
        <v>3</v>
      </c>
      <c r="P1068">
        <v>4</v>
      </c>
      <c r="Q1068">
        <v>3</v>
      </c>
      <c r="R1068">
        <v>2</v>
      </c>
      <c r="S1068" t="s">
        <v>34</v>
      </c>
      <c r="T1068" t="s">
        <v>38</v>
      </c>
      <c r="U1068" t="str">
        <f>IF(Table1[[#This Row],[YearsSince
LastPromotion]]&gt; 4, "Delayed", "Normal")</f>
        <v>Normal</v>
      </c>
      <c r="V1068" t="str">
        <f>IF(Table1[[#This Row],[Years
InCurrentRole]]&gt;4, "Role Stagnent", "Normal")</f>
        <v>Normal</v>
      </c>
      <c r="W1068" t="str">
        <f>IF(AND(Table1[[#This Row],[Years
InCurrentRole]]&gt; 4, Table1[[#This Row],[Performance
Rating]]&gt;=3), "High Risk", "Normal")</f>
        <v>Normal</v>
      </c>
      <c r="X1068" t="str">
        <f>IF(Table1[[#This Row],[Performance
Rating]]&gt;=4, "High Performer", "Low Performer")</f>
        <v>High Performer</v>
      </c>
    </row>
    <row r="1069" spans="2:24" x14ac:dyDescent="0.3">
      <c r="B1069" t="s">
        <v>27</v>
      </c>
      <c r="C1069" t="s">
        <v>25</v>
      </c>
      <c r="D1069">
        <v>1</v>
      </c>
      <c r="E1069" t="s">
        <v>28</v>
      </c>
      <c r="F1069">
        <v>1</v>
      </c>
      <c r="G1069" t="s">
        <v>26</v>
      </c>
      <c r="H1069">
        <v>2</v>
      </c>
      <c r="I1069">
        <v>2342</v>
      </c>
      <c r="J1069">
        <v>12</v>
      </c>
      <c r="K1069">
        <v>3</v>
      </c>
      <c r="L1069">
        <v>3</v>
      </c>
      <c r="M1069">
        <v>6</v>
      </c>
      <c r="N1069">
        <v>2</v>
      </c>
      <c r="O1069">
        <v>2</v>
      </c>
      <c r="P1069">
        <v>5</v>
      </c>
      <c r="Q1069">
        <v>3</v>
      </c>
      <c r="R1069">
        <v>2</v>
      </c>
      <c r="S1069" t="s">
        <v>23</v>
      </c>
      <c r="T1069" t="s">
        <v>37</v>
      </c>
      <c r="U1069" t="str">
        <f>IF(Table1[[#This Row],[YearsSince
LastPromotion]]&gt; 4, "Delayed", "Normal")</f>
        <v>Normal</v>
      </c>
      <c r="V1069" t="str">
        <f>IF(Table1[[#This Row],[Years
InCurrentRole]]&gt;4, "Role Stagnent", "Normal")</f>
        <v>Normal</v>
      </c>
      <c r="W1069" t="str">
        <f>IF(AND(Table1[[#This Row],[Years
InCurrentRole]]&gt; 4, Table1[[#This Row],[Performance
Rating]]&gt;=3), "High Risk", "Normal")</f>
        <v>Normal</v>
      </c>
      <c r="X1069" t="str">
        <f>IF(Table1[[#This Row],[Performance
Rating]]&gt;=4, "High Performer", "Low Performer")</f>
        <v>Low Performer</v>
      </c>
    </row>
    <row r="1070" spans="2:24" x14ac:dyDescent="0.3">
      <c r="B1070" t="s">
        <v>19</v>
      </c>
      <c r="C1070" t="s">
        <v>25</v>
      </c>
      <c r="D1070">
        <v>1</v>
      </c>
      <c r="E1070" t="s">
        <v>28</v>
      </c>
      <c r="F1070">
        <v>1</v>
      </c>
      <c r="G1070" t="s">
        <v>26</v>
      </c>
      <c r="H1070">
        <v>3</v>
      </c>
      <c r="I1070">
        <v>3815</v>
      </c>
      <c r="J1070">
        <v>17</v>
      </c>
      <c r="K1070">
        <v>3</v>
      </c>
      <c r="L1070">
        <v>1</v>
      </c>
      <c r="M1070">
        <v>5</v>
      </c>
      <c r="N1070">
        <v>4</v>
      </c>
      <c r="O1070">
        <v>4</v>
      </c>
      <c r="P1070">
        <v>5</v>
      </c>
      <c r="Q1070">
        <v>3</v>
      </c>
      <c r="R1070">
        <v>2</v>
      </c>
      <c r="S1070" t="s">
        <v>34</v>
      </c>
      <c r="T1070" t="s">
        <v>37</v>
      </c>
      <c r="U1070" t="str">
        <f>IF(Table1[[#This Row],[YearsSince
LastPromotion]]&gt; 4, "Delayed", "Normal")</f>
        <v>Normal</v>
      </c>
      <c r="V1070" t="str">
        <f>IF(Table1[[#This Row],[Years
InCurrentRole]]&gt;4, "Role Stagnent", "Normal")</f>
        <v>Normal</v>
      </c>
      <c r="W1070" t="str">
        <f>IF(AND(Table1[[#This Row],[Years
InCurrentRole]]&gt; 4, Table1[[#This Row],[Performance
Rating]]&gt;=3), "High Risk", "Normal")</f>
        <v>Normal</v>
      </c>
      <c r="X1070" t="str">
        <f>IF(Table1[[#This Row],[Performance
Rating]]&gt;=4, "High Performer", "Low Performer")</f>
        <v>Low Performer</v>
      </c>
    </row>
    <row r="1071" spans="2:24" x14ac:dyDescent="0.3">
      <c r="B1071" t="s">
        <v>19</v>
      </c>
      <c r="C1071" t="s">
        <v>25</v>
      </c>
      <c r="D1071">
        <v>1</v>
      </c>
      <c r="E1071" t="s">
        <v>28</v>
      </c>
      <c r="F1071">
        <v>4</v>
      </c>
      <c r="G1071" t="s">
        <v>22</v>
      </c>
      <c r="H1071">
        <v>4</v>
      </c>
      <c r="I1071">
        <v>16885</v>
      </c>
      <c r="J1071">
        <v>22</v>
      </c>
      <c r="K1071">
        <v>4</v>
      </c>
      <c r="L1071">
        <v>0</v>
      </c>
      <c r="M1071">
        <v>27</v>
      </c>
      <c r="N1071">
        <v>3</v>
      </c>
      <c r="O1071">
        <v>2</v>
      </c>
      <c r="P1071">
        <v>5</v>
      </c>
      <c r="Q1071">
        <v>4</v>
      </c>
      <c r="R1071">
        <v>2</v>
      </c>
      <c r="S1071" t="s">
        <v>23</v>
      </c>
      <c r="T1071" t="s">
        <v>37</v>
      </c>
      <c r="U1071" t="str">
        <f>IF(Table1[[#This Row],[YearsSince
LastPromotion]]&gt; 4, "Delayed", "Normal")</f>
        <v>Normal</v>
      </c>
      <c r="V1071" t="str">
        <f>IF(Table1[[#This Row],[Years
InCurrentRole]]&gt;4, "Role Stagnent", "Normal")</f>
        <v>Normal</v>
      </c>
      <c r="W1071" t="str">
        <f>IF(AND(Table1[[#This Row],[Years
InCurrentRole]]&gt; 4, Table1[[#This Row],[Performance
Rating]]&gt;=3), "High Risk", "Normal")</f>
        <v>Normal</v>
      </c>
      <c r="X1071" t="str">
        <f>IF(Table1[[#This Row],[Performance
Rating]]&gt;=4, "High Performer", "Low Performer")</f>
        <v>High Performer</v>
      </c>
    </row>
    <row r="1072" spans="2:24" x14ac:dyDescent="0.3">
      <c r="B1072" t="s">
        <v>19</v>
      </c>
      <c r="C1072" t="s">
        <v>25</v>
      </c>
      <c r="D1072">
        <v>1</v>
      </c>
      <c r="E1072" t="s">
        <v>28</v>
      </c>
      <c r="F1072">
        <v>1</v>
      </c>
      <c r="G1072" t="s">
        <v>26</v>
      </c>
      <c r="H1072">
        <v>4</v>
      </c>
      <c r="I1072">
        <v>2089</v>
      </c>
      <c r="J1072">
        <v>14</v>
      </c>
      <c r="K1072">
        <v>3</v>
      </c>
      <c r="L1072">
        <v>3</v>
      </c>
      <c r="M1072">
        <v>7</v>
      </c>
      <c r="N1072">
        <v>3</v>
      </c>
      <c r="O1072">
        <v>4</v>
      </c>
      <c r="P1072">
        <v>5</v>
      </c>
      <c r="Q1072">
        <v>4</v>
      </c>
      <c r="R1072">
        <v>2</v>
      </c>
      <c r="S1072" t="s">
        <v>34</v>
      </c>
      <c r="T1072" t="s">
        <v>37</v>
      </c>
      <c r="U1072" t="str">
        <f>IF(Table1[[#This Row],[YearsSince
LastPromotion]]&gt; 4, "Delayed", "Normal")</f>
        <v>Normal</v>
      </c>
      <c r="V1072" t="str">
        <f>IF(Table1[[#This Row],[Years
InCurrentRole]]&gt;4, "Role Stagnent", "Normal")</f>
        <v>Normal</v>
      </c>
      <c r="W1072" t="str">
        <f>IF(AND(Table1[[#This Row],[Years
InCurrentRole]]&gt; 4, Table1[[#This Row],[Performance
Rating]]&gt;=3), "High Risk", "Normal")</f>
        <v>Normal</v>
      </c>
      <c r="X1072" t="str">
        <f>IF(Table1[[#This Row],[Performance
Rating]]&gt;=4, "High Performer", "Low Performer")</f>
        <v>Low Performer</v>
      </c>
    </row>
    <row r="1073" spans="2:24" x14ac:dyDescent="0.3">
      <c r="B1073" t="s">
        <v>19</v>
      </c>
      <c r="C1073" t="s">
        <v>25</v>
      </c>
      <c r="D1073">
        <v>1</v>
      </c>
      <c r="E1073" t="s">
        <v>28</v>
      </c>
      <c r="F1073">
        <v>1</v>
      </c>
      <c r="G1073" t="s">
        <v>26</v>
      </c>
      <c r="H1073">
        <v>4</v>
      </c>
      <c r="I1073">
        <v>2875</v>
      </c>
      <c r="J1073">
        <v>20</v>
      </c>
      <c r="K1073">
        <v>4</v>
      </c>
      <c r="L1073">
        <v>0</v>
      </c>
      <c r="M1073">
        <v>8</v>
      </c>
      <c r="N1073">
        <v>2</v>
      </c>
      <c r="O1073">
        <v>2</v>
      </c>
      <c r="P1073">
        <v>8</v>
      </c>
      <c r="Q1073">
        <v>5</v>
      </c>
      <c r="R1073">
        <v>2</v>
      </c>
      <c r="S1073" t="s">
        <v>23</v>
      </c>
      <c r="T1073" t="s">
        <v>37</v>
      </c>
      <c r="U1073" t="str">
        <f>IF(Table1[[#This Row],[YearsSince
LastPromotion]]&gt; 4, "Delayed", "Normal")</f>
        <v>Normal</v>
      </c>
      <c r="V1073" t="str">
        <f>IF(Table1[[#This Row],[Years
InCurrentRole]]&gt;4, "Role Stagnent", "Normal")</f>
        <v>Role Stagnent</v>
      </c>
      <c r="W1073" t="str">
        <f>IF(AND(Table1[[#This Row],[Years
InCurrentRole]]&gt; 4, Table1[[#This Row],[Performance
Rating]]&gt;=3), "High Risk", "Normal")</f>
        <v>High Risk</v>
      </c>
      <c r="X1073" t="str">
        <f>IF(Table1[[#This Row],[Performance
Rating]]&gt;=4, "High Performer", "Low Performer")</f>
        <v>High Performer</v>
      </c>
    </row>
    <row r="1074" spans="2:24" x14ac:dyDescent="0.3">
      <c r="B1074" t="s">
        <v>19</v>
      </c>
      <c r="C1074" t="s">
        <v>25</v>
      </c>
      <c r="D1074">
        <v>1</v>
      </c>
      <c r="E1074" t="s">
        <v>21</v>
      </c>
      <c r="F1074">
        <v>3</v>
      </c>
      <c r="G1074" t="s">
        <v>35</v>
      </c>
      <c r="H1074">
        <v>2</v>
      </c>
      <c r="I1074">
        <v>11994</v>
      </c>
      <c r="J1074">
        <v>11</v>
      </c>
      <c r="K1074">
        <v>3</v>
      </c>
      <c r="L1074">
        <v>0</v>
      </c>
      <c r="M1074">
        <v>13</v>
      </c>
      <c r="N1074">
        <v>4</v>
      </c>
      <c r="O1074">
        <v>3</v>
      </c>
      <c r="P1074">
        <v>12</v>
      </c>
      <c r="Q1074">
        <v>6</v>
      </c>
      <c r="R1074">
        <v>2</v>
      </c>
      <c r="S1074" t="s">
        <v>34</v>
      </c>
      <c r="T1074" t="s">
        <v>37</v>
      </c>
      <c r="U1074" t="str">
        <f>IF(Table1[[#This Row],[YearsSince
LastPromotion]]&gt; 4, "Delayed", "Normal")</f>
        <v>Normal</v>
      </c>
      <c r="V1074" t="str">
        <f>IF(Table1[[#This Row],[Years
InCurrentRole]]&gt;4, "Role Stagnent", "Normal")</f>
        <v>Role Stagnent</v>
      </c>
      <c r="W1074" t="str">
        <f>IF(AND(Table1[[#This Row],[Years
InCurrentRole]]&gt; 4, Table1[[#This Row],[Performance
Rating]]&gt;=3), "High Risk", "Normal")</f>
        <v>High Risk</v>
      </c>
      <c r="X1074" t="str">
        <f>IF(Table1[[#This Row],[Performance
Rating]]&gt;=4, "High Performer", "Low Performer")</f>
        <v>Low Performer</v>
      </c>
    </row>
    <row r="1075" spans="2:24" x14ac:dyDescent="0.3">
      <c r="B1075" t="s">
        <v>19</v>
      </c>
      <c r="C1075" t="s">
        <v>25</v>
      </c>
      <c r="D1075">
        <v>1</v>
      </c>
      <c r="E1075" t="s">
        <v>21</v>
      </c>
      <c r="F1075">
        <v>3</v>
      </c>
      <c r="G1075" t="s">
        <v>33</v>
      </c>
      <c r="H1075">
        <v>1</v>
      </c>
      <c r="I1075">
        <v>10880</v>
      </c>
      <c r="J1075">
        <v>13</v>
      </c>
      <c r="K1075">
        <v>3</v>
      </c>
      <c r="L1075">
        <v>0</v>
      </c>
      <c r="M1075">
        <v>21</v>
      </c>
      <c r="N1075">
        <v>2</v>
      </c>
      <c r="O1075">
        <v>3</v>
      </c>
      <c r="P1075">
        <v>21</v>
      </c>
      <c r="Q1075">
        <v>6</v>
      </c>
      <c r="R1075">
        <v>2</v>
      </c>
      <c r="S1075" t="s">
        <v>34</v>
      </c>
      <c r="T1075" t="s">
        <v>37</v>
      </c>
      <c r="U1075" t="str">
        <f>IF(Table1[[#This Row],[YearsSince
LastPromotion]]&gt; 4, "Delayed", "Normal")</f>
        <v>Normal</v>
      </c>
      <c r="V1075" t="str">
        <f>IF(Table1[[#This Row],[Years
InCurrentRole]]&gt;4, "Role Stagnent", "Normal")</f>
        <v>Role Stagnent</v>
      </c>
      <c r="W1075" t="str">
        <f>IF(AND(Table1[[#This Row],[Years
InCurrentRole]]&gt; 4, Table1[[#This Row],[Performance
Rating]]&gt;=3), "High Risk", "Normal")</f>
        <v>High Risk</v>
      </c>
      <c r="X1075" t="str">
        <f>IF(Table1[[#This Row],[Performance
Rating]]&gt;=4, "High Performer", "Low Performer")</f>
        <v>Low Performer</v>
      </c>
    </row>
    <row r="1076" spans="2:24" x14ac:dyDescent="0.3">
      <c r="B1076" t="s">
        <v>19</v>
      </c>
      <c r="C1076" t="s">
        <v>20</v>
      </c>
      <c r="D1076">
        <v>1</v>
      </c>
      <c r="E1076" t="s">
        <v>28</v>
      </c>
      <c r="F1076">
        <v>5</v>
      </c>
      <c r="G1076" t="s">
        <v>22</v>
      </c>
      <c r="H1076">
        <v>4</v>
      </c>
      <c r="I1076">
        <v>19586</v>
      </c>
      <c r="J1076">
        <v>21</v>
      </c>
      <c r="K1076">
        <v>4</v>
      </c>
      <c r="L1076">
        <v>1</v>
      </c>
      <c r="M1076">
        <v>36</v>
      </c>
      <c r="N1076">
        <v>3</v>
      </c>
      <c r="O1076">
        <v>3</v>
      </c>
      <c r="P1076">
        <v>36</v>
      </c>
      <c r="Q1076">
        <v>6</v>
      </c>
      <c r="R1076">
        <v>2</v>
      </c>
      <c r="S1076" t="s">
        <v>34</v>
      </c>
      <c r="T1076" t="s">
        <v>37</v>
      </c>
      <c r="U1076" t="str">
        <f>IF(Table1[[#This Row],[YearsSince
LastPromotion]]&gt; 4, "Delayed", "Normal")</f>
        <v>Normal</v>
      </c>
      <c r="V1076" t="str">
        <f>IF(Table1[[#This Row],[Years
InCurrentRole]]&gt;4, "Role Stagnent", "Normal")</f>
        <v>Role Stagnent</v>
      </c>
      <c r="W1076" t="str">
        <f>IF(AND(Table1[[#This Row],[Years
InCurrentRole]]&gt; 4, Table1[[#This Row],[Performance
Rating]]&gt;=3), "High Risk", "Normal")</f>
        <v>High Risk</v>
      </c>
      <c r="X1076" t="str">
        <f>IF(Table1[[#This Row],[Performance
Rating]]&gt;=4, "High Performer", "Low Performer")</f>
        <v>High Performer</v>
      </c>
    </row>
    <row r="1077" spans="2:24" x14ac:dyDescent="0.3">
      <c r="B1077" t="s">
        <v>19</v>
      </c>
      <c r="C1077" t="s">
        <v>20</v>
      </c>
      <c r="D1077">
        <v>1</v>
      </c>
      <c r="E1077" t="s">
        <v>28</v>
      </c>
      <c r="F1077">
        <v>3</v>
      </c>
      <c r="G1077" t="s">
        <v>32</v>
      </c>
      <c r="H1077">
        <v>3</v>
      </c>
      <c r="I1077">
        <v>8740</v>
      </c>
      <c r="J1077">
        <v>14</v>
      </c>
      <c r="K1077">
        <v>3</v>
      </c>
      <c r="L1077">
        <v>2</v>
      </c>
      <c r="M1077">
        <v>9</v>
      </c>
      <c r="N1077">
        <v>2</v>
      </c>
      <c r="O1077">
        <v>3</v>
      </c>
      <c r="P1077">
        <v>8</v>
      </c>
      <c r="Q1077">
        <v>7</v>
      </c>
      <c r="R1077">
        <v>2</v>
      </c>
      <c r="S1077" t="s">
        <v>34</v>
      </c>
      <c r="T1077" t="s">
        <v>37</v>
      </c>
      <c r="U1077" t="str">
        <f>IF(Table1[[#This Row],[YearsSince
LastPromotion]]&gt; 4, "Delayed", "Normal")</f>
        <v>Normal</v>
      </c>
      <c r="V1077" t="str">
        <f>IF(Table1[[#This Row],[Years
InCurrentRole]]&gt;4, "Role Stagnent", "Normal")</f>
        <v>Role Stagnent</v>
      </c>
      <c r="W1077" t="str">
        <f>IF(AND(Table1[[#This Row],[Years
InCurrentRole]]&gt; 4, Table1[[#This Row],[Performance
Rating]]&gt;=3), "High Risk", "Normal")</f>
        <v>High Risk</v>
      </c>
      <c r="X1077" t="str">
        <f>IF(Table1[[#This Row],[Performance
Rating]]&gt;=4, "High Performer", "Low Performer")</f>
        <v>Low Performer</v>
      </c>
    </row>
    <row r="1078" spans="2:24" x14ac:dyDescent="0.3">
      <c r="B1078" t="s">
        <v>19</v>
      </c>
      <c r="C1078" t="s">
        <v>25</v>
      </c>
      <c r="D1078">
        <v>1</v>
      </c>
      <c r="E1078" t="s">
        <v>28</v>
      </c>
      <c r="F1078">
        <v>2</v>
      </c>
      <c r="G1078" t="s">
        <v>31</v>
      </c>
      <c r="H1078">
        <v>3</v>
      </c>
      <c r="I1078">
        <v>5968</v>
      </c>
      <c r="J1078">
        <v>20</v>
      </c>
      <c r="K1078">
        <v>4</v>
      </c>
      <c r="L1078">
        <v>3</v>
      </c>
      <c r="M1078">
        <v>9</v>
      </c>
      <c r="N1078">
        <v>2</v>
      </c>
      <c r="O1078">
        <v>3</v>
      </c>
      <c r="P1078">
        <v>9</v>
      </c>
      <c r="Q1078">
        <v>7</v>
      </c>
      <c r="R1078">
        <v>2</v>
      </c>
      <c r="S1078" t="s">
        <v>34</v>
      </c>
      <c r="T1078" t="s">
        <v>37</v>
      </c>
      <c r="U1078" t="str">
        <f>IF(Table1[[#This Row],[YearsSince
LastPromotion]]&gt; 4, "Delayed", "Normal")</f>
        <v>Normal</v>
      </c>
      <c r="V1078" t="str">
        <f>IF(Table1[[#This Row],[Years
InCurrentRole]]&gt;4, "Role Stagnent", "Normal")</f>
        <v>Role Stagnent</v>
      </c>
      <c r="W1078" t="str">
        <f>IF(AND(Table1[[#This Row],[Years
InCurrentRole]]&gt; 4, Table1[[#This Row],[Performance
Rating]]&gt;=3), "High Risk", "Normal")</f>
        <v>High Risk</v>
      </c>
      <c r="X1078" t="str">
        <f>IF(Table1[[#This Row],[Performance
Rating]]&gt;=4, "High Performer", "Low Performer")</f>
        <v>High Performer</v>
      </c>
    </row>
    <row r="1079" spans="2:24" x14ac:dyDescent="0.3">
      <c r="B1079" t="s">
        <v>19</v>
      </c>
      <c r="C1079" t="s">
        <v>20</v>
      </c>
      <c r="D1079">
        <v>1</v>
      </c>
      <c r="E1079" t="s">
        <v>21</v>
      </c>
      <c r="F1079">
        <v>3</v>
      </c>
      <c r="G1079" t="s">
        <v>32</v>
      </c>
      <c r="H1079">
        <v>4</v>
      </c>
      <c r="I1079">
        <v>9738</v>
      </c>
      <c r="J1079">
        <v>14</v>
      </c>
      <c r="K1079">
        <v>3</v>
      </c>
      <c r="L1079">
        <v>1</v>
      </c>
      <c r="M1079">
        <v>10</v>
      </c>
      <c r="N1079">
        <v>6</v>
      </c>
      <c r="O1079">
        <v>3</v>
      </c>
      <c r="P1079">
        <v>9</v>
      </c>
      <c r="Q1079">
        <v>7</v>
      </c>
      <c r="R1079">
        <v>2</v>
      </c>
      <c r="S1079" t="s">
        <v>34</v>
      </c>
      <c r="T1079" t="s">
        <v>37</v>
      </c>
      <c r="U1079" t="str">
        <f>IF(Table1[[#This Row],[YearsSince
LastPromotion]]&gt; 4, "Delayed", "Normal")</f>
        <v>Normal</v>
      </c>
      <c r="V1079" t="str">
        <f>IF(Table1[[#This Row],[Years
InCurrentRole]]&gt;4, "Role Stagnent", "Normal")</f>
        <v>Role Stagnent</v>
      </c>
      <c r="W1079" t="str">
        <f>IF(AND(Table1[[#This Row],[Years
InCurrentRole]]&gt; 4, Table1[[#This Row],[Performance
Rating]]&gt;=3), "High Risk", "Normal")</f>
        <v>High Risk</v>
      </c>
      <c r="X1079" t="str">
        <f>IF(Table1[[#This Row],[Performance
Rating]]&gt;=4, "High Performer", "Low Performer")</f>
        <v>Low Performer</v>
      </c>
    </row>
    <row r="1080" spans="2:24" x14ac:dyDescent="0.3">
      <c r="B1080" t="s">
        <v>19</v>
      </c>
      <c r="C1080" t="s">
        <v>25</v>
      </c>
      <c r="D1080">
        <v>1</v>
      </c>
      <c r="E1080" t="s">
        <v>28</v>
      </c>
      <c r="F1080">
        <v>1</v>
      </c>
      <c r="G1080" t="s">
        <v>26</v>
      </c>
      <c r="H1080">
        <v>4</v>
      </c>
      <c r="I1080">
        <v>2720</v>
      </c>
      <c r="J1080">
        <v>18</v>
      </c>
      <c r="K1080">
        <v>3</v>
      </c>
      <c r="L1080">
        <v>1</v>
      </c>
      <c r="M1080">
        <v>10</v>
      </c>
      <c r="N1080">
        <v>5</v>
      </c>
      <c r="O1080">
        <v>3</v>
      </c>
      <c r="P1080">
        <v>10</v>
      </c>
      <c r="Q1080">
        <v>7</v>
      </c>
      <c r="R1080">
        <v>2</v>
      </c>
      <c r="S1080" t="s">
        <v>34</v>
      </c>
      <c r="T1080" t="s">
        <v>37</v>
      </c>
      <c r="U1080" t="str">
        <f>IF(Table1[[#This Row],[YearsSince
LastPromotion]]&gt; 4, "Delayed", "Normal")</f>
        <v>Normal</v>
      </c>
      <c r="V1080" t="str">
        <f>IF(Table1[[#This Row],[Years
InCurrentRole]]&gt;4, "Role Stagnent", "Normal")</f>
        <v>Role Stagnent</v>
      </c>
      <c r="W1080" t="str">
        <f>IF(AND(Table1[[#This Row],[Years
InCurrentRole]]&gt; 4, Table1[[#This Row],[Performance
Rating]]&gt;=3), "High Risk", "Normal")</f>
        <v>High Risk</v>
      </c>
      <c r="X1080" t="str">
        <f>IF(Table1[[#This Row],[Performance
Rating]]&gt;=4, "High Performer", "Low Performer")</f>
        <v>Low Performer</v>
      </c>
    </row>
    <row r="1081" spans="2:24" x14ac:dyDescent="0.3">
      <c r="B1081" t="s">
        <v>19</v>
      </c>
      <c r="C1081" t="s">
        <v>25</v>
      </c>
      <c r="D1081">
        <v>1</v>
      </c>
      <c r="E1081" t="s">
        <v>21</v>
      </c>
      <c r="F1081">
        <v>3</v>
      </c>
      <c r="G1081" t="s">
        <v>35</v>
      </c>
      <c r="H1081">
        <v>3</v>
      </c>
      <c r="I1081">
        <v>13499</v>
      </c>
      <c r="J1081">
        <v>17</v>
      </c>
      <c r="K1081">
        <v>3</v>
      </c>
      <c r="L1081">
        <v>0</v>
      </c>
      <c r="M1081">
        <v>20</v>
      </c>
      <c r="N1081">
        <v>3</v>
      </c>
      <c r="O1081">
        <v>2</v>
      </c>
      <c r="P1081">
        <v>18</v>
      </c>
      <c r="Q1081">
        <v>7</v>
      </c>
      <c r="R1081">
        <v>2</v>
      </c>
      <c r="S1081" t="s">
        <v>23</v>
      </c>
      <c r="T1081" t="s">
        <v>37</v>
      </c>
      <c r="U1081" t="str">
        <f>IF(Table1[[#This Row],[YearsSince
LastPromotion]]&gt; 4, "Delayed", "Normal")</f>
        <v>Normal</v>
      </c>
      <c r="V1081" t="str">
        <f>IF(Table1[[#This Row],[Years
InCurrentRole]]&gt;4, "Role Stagnent", "Normal")</f>
        <v>Role Stagnent</v>
      </c>
      <c r="W1081" t="str">
        <f>IF(AND(Table1[[#This Row],[Years
InCurrentRole]]&gt; 4, Table1[[#This Row],[Performance
Rating]]&gt;=3), "High Risk", "Normal")</f>
        <v>High Risk</v>
      </c>
      <c r="X1081" t="str">
        <f>IF(Table1[[#This Row],[Performance
Rating]]&gt;=4, "High Performer", "Low Performer")</f>
        <v>Low Performer</v>
      </c>
    </row>
    <row r="1082" spans="2:24" x14ac:dyDescent="0.3">
      <c r="B1082" t="s">
        <v>19</v>
      </c>
      <c r="C1082" t="s">
        <v>25</v>
      </c>
      <c r="D1082">
        <v>1</v>
      </c>
      <c r="E1082" t="s">
        <v>21</v>
      </c>
      <c r="F1082">
        <v>2</v>
      </c>
      <c r="G1082" t="s">
        <v>26</v>
      </c>
      <c r="H1082">
        <v>2</v>
      </c>
      <c r="I1082">
        <v>5605</v>
      </c>
      <c r="J1082">
        <v>11</v>
      </c>
      <c r="K1082">
        <v>3</v>
      </c>
      <c r="L1082">
        <v>1</v>
      </c>
      <c r="M1082">
        <v>20</v>
      </c>
      <c r="N1082">
        <v>2</v>
      </c>
      <c r="O1082">
        <v>3</v>
      </c>
      <c r="P1082">
        <v>20</v>
      </c>
      <c r="Q1082">
        <v>7</v>
      </c>
      <c r="R1082">
        <v>2</v>
      </c>
      <c r="S1082" t="s">
        <v>34</v>
      </c>
      <c r="T1082" t="s">
        <v>37</v>
      </c>
      <c r="U1082" t="str">
        <f>IF(Table1[[#This Row],[YearsSince
LastPromotion]]&gt; 4, "Delayed", "Normal")</f>
        <v>Normal</v>
      </c>
      <c r="V1082" t="str">
        <f>IF(Table1[[#This Row],[Years
InCurrentRole]]&gt;4, "Role Stagnent", "Normal")</f>
        <v>Role Stagnent</v>
      </c>
      <c r="W1082" t="str">
        <f>IF(AND(Table1[[#This Row],[Years
InCurrentRole]]&gt; 4, Table1[[#This Row],[Performance
Rating]]&gt;=3), "High Risk", "Normal")</f>
        <v>High Risk</v>
      </c>
      <c r="X1082" t="str">
        <f>IF(Table1[[#This Row],[Performance
Rating]]&gt;=4, "High Performer", "Low Performer")</f>
        <v>Low Performer</v>
      </c>
    </row>
    <row r="1083" spans="2:24" x14ac:dyDescent="0.3">
      <c r="B1083" t="s">
        <v>19</v>
      </c>
      <c r="C1083" t="s">
        <v>36</v>
      </c>
      <c r="D1083">
        <v>1</v>
      </c>
      <c r="E1083" t="s">
        <v>28</v>
      </c>
      <c r="F1083">
        <v>5</v>
      </c>
      <c r="G1083" t="s">
        <v>22</v>
      </c>
      <c r="H1083">
        <v>3</v>
      </c>
      <c r="I1083">
        <v>19189</v>
      </c>
      <c r="J1083">
        <v>12</v>
      </c>
      <c r="K1083">
        <v>3</v>
      </c>
      <c r="L1083">
        <v>1</v>
      </c>
      <c r="M1083">
        <v>22</v>
      </c>
      <c r="N1083">
        <v>3</v>
      </c>
      <c r="O1083">
        <v>3</v>
      </c>
      <c r="P1083">
        <v>22</v>
      </c>
      <c r="Q1083">
        <v>7</v>
      </c>
      <c r="R1083">
        <v>2</v>
      </c>
      <c r="S1083" t="s">
        <v>34</v>
      </c>
      <c r="T1083" t="s">
        <v>37</v>
      </c>
      <c r="U1083" t="str">
        <f>IF(Table1[[#This Row],[YearsSince
LastPromotion]]&gt; 4, "Delayed", "Normal")</f>
        <v>Normal</v>
      </c>
      <c r="V1083" t="str">
        <f>IF(Table1[[#This Row],[Years
InCurrentRole]]&gt;4, "Role Stagnent", "Normal")</f>
        <v>Role Stagnent</v>
      </c>
      <c r="W1083" t="str">
        <f>IF(AND(Table1[[#This Row],[Years
InCurrentRole]]&gt; 4, Table1[[#This Row],[Performance
Rating]]&gt;=3), "High Risk", "Normal")</f>
        <v>High Risk</v>
      </c>
      <c r="X1083" t="str">
        <f>IF(Table1[[#This Row],[Performance
Rating]]&gt;=4, "High Performer", "Low Performer")</f>
        <v>Low Performer</v>
      </c>
    </row>
    <row r="1084" spans="2:24" x14ac:dyDescent="0.3">
      <c r="B1084" t="s">
        <v>19</v>
      </c>
      <c r="C1084" t="s">
        <v>20</v>
      </c>
      <c r="D1084">
        <v>1</v>
      </c>
      <c r="E1084" t="s">
        <v>28</v>
      </c>
      <c r="F1084">
        <v>4</v>
      </c>
      <c r="G1084" t="s">
        <v>32</v>
      </c>
      <c r="H1084">
        <v>2</v>
      </c>
      <c r="I1084">
        <v>13120</v>
      </c>
      <c r="J1084">
        <v>17</v>
      </c>
      <c r="K1084">
        <v>3</v>
      </c>
      <c r="L1084">
        <v>1</v>
      </c>
      <c r="M1084">
        <v>22</v>
      </c>
      <c r="N1084">
        <v>3</v>
      </c>
      <c r="O1084">
        <v>3</v>
      </c>
      <c r="P1084">
        <v>9</v>
      </c>
      <c r="Q1084">
        <v>8</v>
      </c>
      <c r="R1084">
        <v>2</v>
      </c>
      <c r="S1084" t="s">
        <v>34</v>
      </c>
      <c r="T1084" t="s">
        <v>37</v>
      </c>
      <c r="U1084" t="str">
        <f>IF(Table1[[#This Row],[YearsSince
LastPromotion]]&gt; 4, "Delayed", "Normal")</f>
        <v>Normal</v>
      </c>
      <c r="V1084" t="str">
        <f>IF(Table1[[#This Row],[Years
InCurrentRole]]&gt;4, "Role Stagnent", "Normal")</f>
        <v>Role Stagnent</v>
      </c>
      <c r="W1084" t="str">
        <f>IF(AND(Table1[[#This Row],[Years
InCurrentRole]]&gt; 4, Table1[[#This Row],[Performance
Rating]]&gt;=3), "High Risk", "Normal")</f>
        <v>High Risk</v>
      </c>
      <c r="X1084" t="str">
        <f>IF(Table1[[#This Row],[Performance
Rating]]&gt;=4, "High Performer", "Low Performer")</f>
        <v>Low Performer</v>
      </c>
    </row>
    <row r="1085" spans="2:24" x14ac:dyDescent="0.3">
      <c r="B1085" t="s">
        <v>19</v>
      </c>
      <c r="C1085" t="s">
        <v>20</v>
      </c>
      <c r="D1085">
        <v>1</v>
      </c>
      <c r="E1085" t="s">
        <v>21</v>
      </c>
      <c r="F1085">
        <v>2</v>
      </c>
      <c r="G1085" t="s">
        <v>32</v>
      </c>
      <c r="H1085">
        <v>2</v>
      </c>
      <c r="I1085">
        <v>5209</v>
      </c>
      <c r="J1085">
        <v>12</v>
      </c>
      <c r="K1085">
        <v>3</v>
      </c>
      <c r="L1085">
        <v>3</v>
      </c>
      <c r="M1085">
        <v>11</v>
      </c>
      <c r="N1085">
        <v>4</v>
      </c>
      <c r="O1085">
        <v>2</v>
      </c>
      <c r="P1085">
        <v>11</v>
      </c>
      <c r="Q1085">
        <v>8</v>
      </c>
      <c r="R1085">
        <v>2</v>
      </c>
      <c r="S1085" t="s">
        <v>23</v>
      </c>
      <c r="T1085" t="s">
        <v>37</v>
      </c>
      <c r="U1085" t="str">
        <f>IF(Table1[[#This Row],[YearsSince
LastPromotion]]&gt; 4, "Delayed", "Normal")</f>
        <v>Normal</v>
      </c>
      <c r="V1085" t="str">
        <f>IF(Table1[[#This Row],[Years
InCurrentRole]]&gt;4, "Role Stagnent", "Normal")</f>
        <v>Role Stagnent</v>
      </c>
      <c r="W1085" t="str">
        <f>IF(AND(Table1[[#This Row],[Years
InCurrentRole]]&gt; 4, Table1[[#This Row],[Performance
Rating]]&gt;=3), "High Risk", "Normal")</f>
        <v>High Risk</v>
      </c>
      <c r="X1085" t="str">
        <f>IF(Table1[[#This Row],[Performance
Rating]]&gt;=4, "High Performer", "Low Performer")</f>
        <v>Low Performer</v>
      </c>
    </row>
    <row r="1086" spans="2:24" x14ac:dyDescent="0.3">
      <c r="B1086" t="s">
        <v>19</v>
      </c>
      <c r="C1086" t="s">
        <v>20</v>
      </c>
      <c r="D1086">
        <v>1</v>
      </c>
      <c r="E1086" t="s">
        <v>28</v>
      </c>
      <c r="F1086">
        <v>3</v>
      </c>
      <c r="G1086" t="s">
        <v>32</v>
      </c>
      <c r="H1086">
        <v>4</v>
      </c>
      <c r="I1086">
        <v>9888</v>
      </c>
      <c r="J1086">
        <v>21</v>
      </c>
      <c r="K1086">
        <v>4</v>
      </c>
      <c r="L1086">
        <v>0</v>
      </c>
      <c r="M1086">
        <v>14</v>
      </c>
      <c r="N1086">
        <v>3</v>
      </c>
      <c r="O1086">
        <v>2</v>
      </c>
      <c r="P1086">
        <v>14</v>
      </c>
      <c r="Q1086">
        <v>8</v>
      </c>
      <c r="R1086">
        <v>2</v>
      </c>
      <c r="S1086" t="s">
        <v>23</v>
      </c>
      <c r="T1086" t="s">
        <v>37</v>
      </c>
      <c r="U1086" t="str">
        <f>IF(Table1[[#This Row],[YearsSince
LastPromotion]]&gt; 4, "Delayed", "Normal")</f>
        <v>Normal</v>
      </c>
      <c r="V1086" t="str">
        <f>IF(Table1[[#This Row],[Years
InCurrentRole]]&gt;4, "Role Stagnent", "Normal")</f>
        <v>Role Stagnent</v>
      </c>
      <c r="W1086" t="str">
        <f>IF(AND(Table1[[#This Row],[Years
InCurrentRole]]&gt; 4, Table1[[#This Row],[Performance
Rating]]&gt;=3), "High Risk", "Normal")</f>
        <v>High Risk</v>
      </c>
      <c r="X1086" t="str">
        <f>IF(Table1[[#This Row],[Performance
Rating]]&gt;=4, "High Performer", "Low Performer")</f>
        <v>High Performer</v>
      </c>
    </row>
    <row r="1087" spans="2:24" x14ac:dyDescent="0.3">
      <c r="B1087" t="s">
        <v>19</v>
      </c>
      <c r="C1087" t="s">
        <v>25</v>
      </c>
      <c r="D1087">
        <v>1</v>
      </c>
      <c r="E1087" t="s">
        <v>28</v>
      </c>
      <c r="F1087">
        <v>4</v>
      </c>
      <c r="G1087" t="s">
        <v>22</v>
      </c>
      <c r="H1087">
        <v>3</v>
      </c>
      <c r="I1087">
        <v>17861</v>
      </c>
      <c r="J1087">
        <v>13</v>
      </c>
      <c r="K1087">
        <v>3</v>
      </c>
      <c r="L1087">
        <v>0</v>
      </c>
      <c r="M1087">
        <v>21</v>
      </c>
      <c r="N1087">
        <v>3</v>
      </c>
      <c r="O1087">
        <v>2</v>
      </c>
      <c r="P1087">
        <v>20</v>
      </c>
      <c r="Q1087">
        <v>8</v>
      </c>
      <c r="R1087">
        <v>2</v>
      </c>
      <c r="S1087" t="s">
        <v>23</v>
      </c>
      <c r="T1087" t="s">
        <v>37</v>
      </c>
      <c r="U1087" t="str">
        <f>IF(Table1[[#This Row],[YearsSince
LastPromotion]]&gt; 4, "Delayed", "Normal")</f>
        <v>Normal</v>
      </c>
      <c r="V1087" t="str">
        <f>IF(Table1[[#This Row],[Years
InCurrentRole]]&gt;4, "Role Stagnent", "Normal")</f>
        <v>Role Stagnent</v>
      </c>
      <c r="W1087" t="str">
        <f>IF(AND(Table1[[#This Row],[Years
InCurrentRole]]&gt; 4, Table1[[#This Row],[Performance
Rating]]&gt;=3), "High Risk", "Normal")</f>
        <v>High Risk</v>
      </c>
      <c r="X1087" t="str">
        <f>IF(Table1[[#This Row],[Performance
Rating]]&gt;=4, "High Performer", "Low Performer")</f>
        <v>Low Performer</v>
      </c>
    </row>
    <row r="1088" spans="2:24" x14ac:dyDescent="0.3">
      <c r="B1088" t="s">
        <v>19</v>
      </c>
      <c r="C1088" t="s">
        <v>25</v>
      </c>
      <c r="D1088">
        <v>1</v>
      </c>
      <c r="E1088" t="s">
        <v>28</v>
      </c>
      <c r="F1088">
        <v>2</v>
      </c>
      <c r="G1088" t="s">
        <v>26</v>
      </c>
      <c r="H1088">
        <v>3</v>
      </c>
      <c r="I1088">
        <v>4900</v>
      </c>
      <c r="J1088">
        <v>24</v>
      </c>
      <c r="K1088">
        <v>4</v>
      </c>
      <c r="L1088">
        <v>1</v>
      </c>
      <c r="M1088">
        <v>13</v>
      </c>
      <c r="N1088">
        <v>2</v>
      </c>
      <c r="O1088">
        <v>2</v>
      </c>
      <c r="P1088">
        <v>12</v>
      </c>
      <c r="Q1088">
        <v>9</v>
      </c>
      <c r="R1088">
        <v>2</v>
      </c>
      <c r="S1088" t="s">
        <v>23</v>
      </c>
      <c r="T1088" t="s">
        <v>37</v>
      </c>
      <c r="U1088" t="str">
        <f>IF(Table1[[#This Row],[YearsSince
LastPromotion]]&gt; 4, "Delayed", "Normal")</f>
        <v>Normal</v>
      </c>
      <c r="V1088" t="str">
        <f>IF(Table1[[#This Row],[Years
InCurrentRole]]&gt;4, "Role Stagnent", "Normal")</f>
        <v>Role Stagnent</v>
      </c>
      <c r="W1088" t="str">
        <f>IF(AND(Table1[[#This Row],[Years
InCurrentRole]]&gt; 4, Table1[[#This Row],[Performance
Rating]]&gt;=3), "High Risk", "Normal")</f>
        <v>High Risk</v>
      </c>
      <c r="X1088" t="str">
        <f>IF(Table1[[#This Row],[Performance
Rating]]&gt;=4, "High Performer", "Low Performer")</f>
        <v>High Performer</v>
      </c>
    </row>
    <row r="1089" spans="2:24" x14ac:dyDescent="0.3">
      <c r="B1089" t="s">
        <v>19</v>
      </c>
      <c r="C1089" t="s">
        <v>25</v>
      </c>
      <c r="D1089">
        <v>1</v>
      </c>
      <c r="E1089" t="s">
        <v>28</v>
      </c>
      <c r="F1089">
        <v>3</v>
      </c>
      <c r="G1089" t="s">
        <v>35</v>
      </c>
      <c r="H1089">
        <v>4</v>
      </c>
      <c r="I1089">
        <v>11510</v>
      </c>
      <c r="J1089">
        <v>14</v>
      </c>
      <c r="K1089">
        <v>3</v>
      </c>
      <c r="L1089">
        <v>1</v>
      </c>
      <c r="M1089">
        <v>12</v>
      </c>
      <c r="N1089">
        <v>3</v>
      </c>
      <c r="O1089">
        <v>3</v>
      </c>
      <c r="P1089">
        <v>11</v>
      </c>
      <c r="Q1089">
        <v>10</v>
      </c>
      <c r="R1089">
        <v>2</v>
      </c>
      <c r="S1089" t="s">
        <v>34</v>
      </c>
      <c r="T1089" t="s">
        <v>37</v>
      </c>
      <c r="U1089" t="str">
        <f>IF(Table1[[#This Row],[YearsSince
LastPromotion]]&gt; 4, "Delayed", "Normal")</f>
        <v>Normal</v>
      </c>
      <c r="V1089" t="str">
        <f>IF(Table1[[#This Row],[Years
InCurrentRole]]&gt;4, "Role Stagnent", "Normal")</f>
        <v>Role Stagnent</v>
      </c>
      <c r="W1089" t="str">
        <f>IF(AND(Table1[[#This Row],[Years
InCurrentRole]]&gt; 4, Table1[[#This Row],[Performance
Rating]]&gt;=3), "High Risk", "Normal")</f>
        <v>High Risk</v>
      </c>
      <c r="X1089" t="str">
        <f>IF(Table1[[#This Row],[Performance
Rating]]&gt;=4, "High Performer", "Low Performer")</f>
        <v>Low Performer</v>
      </c>
    </row>
    <row r="1090" spans="2:24" x14ac:dyDescent="0.3">
      <c r="B1090" t="s">
        <v>19</v>
      </c>
      <c r="C1090" t="s">
        <v>25</v>
      </c>
      <c r="D1090">
        <v>1</v>
      </c>
      <c r="E1090" t="s">
        <v>28</v>
      </c>
      <c r="F1090">
        <v>2</v>
      </c>
      <c r="G1090" t="s">
        <v>33</v>
      </c>
      <c r="H1090">
        <v>3</v>
      </c>
      <c r="I1090">
        <v>5067</v>
      </c>
      <c r="J1090">
        <v>19</v>
      </c>
      <c r="K1090">
        <v>3</v>
      </c>
      <c r="L1090">
        <v>0</v>
      </c>
      <c r="M1090">
        <v>20</v>
      </c>
      <c r="N1090">
        <v>3</v>
      </c>
      <c r="O1090">
        <v>4</v>
      </c>
      <c r="P1090">
        <v>19</v>
      </c>
      <c r="Q1090">
        <v>10</v>
      </c>
      <c r="R1090">
        <v>2</v>
      </c>
      <c r="S1090" t="s">
        <v>34</v>
      </c>
      <c r="T1090" t="s">
        <v>37</v>
      </c>
      <c r="U1090" t="str">
        <f>IF(Table1[[#This Row],[YearsSince
LastPromotion]]&gt; 4, "Delayed", "Normal")</f>
        <v>Normal</v>
      </c>
      <c r="V1090" t="str">
        <f>IF(Table1[[#This Row],[Years
InCurrentRole]]&gt;4, "Role Stagnent", "Normal")</f>
        <v>Role Stagnent</v>
      </c>
      <c r="W1090" t="str">
        <f>IF(AND(Table1[[#This Row],[Years
InCurrentRole]]&gt; 4, Table1[[#This Row],[Performance
Rating]]&gt;=3), "High Risk", "Normal")</f>
        <v>High Risk</v>
      </c>
      <c r="X1090" t="str">
        <f>IF(Table1[[#This Row],[Performance
Rating]]&gt;=4, "High Performer", "Low Performer")</f>
        <v>Low Performer</v>
      </c>
    </row>
    <row r="1091" spans="2:24" x14ac:dyDescent="0.3">
      <c r="B1091" t="s">
        <v>19</v>
      </c>
      <c r="C1091" t="s">
        <v>20</v>
      </c>
      <c r="D1091">
        <v>1</v>
      </c>
      <c r="E1091" t="s">
        <v>28</v>
      </c>
      <c r="F1091">
        <v>3</v>
      </c>
      <c r="G1091" t="s">
        <v>32</v>
      </c>
      <c r="H1091">
        <v>4</v>
      </c>
      <c r="I1091">
        <v>10855</v>
      </c>
      <c r="J1091">
        <v>11</v>
      </c>
      <c r="K1091">
        <v>3</v>
      </c>
      <c r="L1091">
        <v>1</v>
      </c>
      <c r="M1091">
        <v>15</v>
      </c>
      <c r="N1091">
        <v>2</v>
      </c>
      <c r="O1091">
        <v>2</v>
      </c>
      <c r="P1091">
        <v>12</v>
      </c>
      <c r="Q1091">
        <v>11</v>
      </c>
      <c r="R1091">
        <v>2</v>
      </c>
      <c r="S1091" t="s">
        <v>23</v>
      </c>
      <c r="T1091" t="s">
        <v>37</v>
      </c>
      <c r="U1091" t="str">
        <f>IF(Table1[[#This Row],[YearsSince
LastPromotion]]&gt; 4, "Delayed", "Normal")</f>
        <v>Normal</v>
      </c>
      <c r="V1091" t="str">
        <f>IF(Table1[[#This Row],[Years
InCurrentRole]]&gt;4, "Role Stagnent", "Normal")</f>
        <v>Role Stagnent</v>
      </c>
      <c r="W1091" t="str">
        <f>IF(AND(Table1[[#This Row],[Years
InCurrentRole]]&gt; 4, Table1[[#This Row],[Performance
Rating]]&gt;=3), "High Risk", "Normal")</f>
        <v>High Risk</v>
      </c>
      <c r="X1091" t="str">
        <f>IF(Table1[[#This Row],[Performance
Rating]]&gt;=4, "High Performer", "Low Performer")</f>
        <v>Low Performer</v>
      </c>
    </row>
    <row r="1092" spans="2:24" x14ac:dyDescent="0.3">
      <c r="B1092" t="s">
        <v>19</v>
      </c>
      <c r="C1092" t="s">
        <v>25</v>
      </c>
      <c r="D1092">
        <v>1</v>
      </c>
      <c r="E1092" t="s">
        <v>28</v>
      </c>
      <c r="F1092">
        <v>2</v>
      </c>
      <c r="G1092" t="s">
        <v>26</v>
      </c>
      <c r="H1092">
        <v>4</v>
      </c>
      <c r="I1092">
        <v>4735</v>
      </c>
      <c r="J1092">
        <v>15</v>
      </c>
      <c r="K1092">
        <v>3</v>
      </c>
      <c r="L1092">
        <v>2</v>
      </c>
      <c r="M1092">
        <v>19</v>
      </c>
      <c r="N1092">
        <v>4</v>
      </c>
      <c r="O1092">
        <v>4</v>
      </c>
      <c r="P1092">
        <v>13</v>
      </c>
      <c r="Q1092">
        <v>11</v>
      </c>
      <c r="R1092">
        <v>2</v>
      </c>
      <c r="S1092" t="s">
        <v>34</v>
      </c>
      <c r="T1092" t="s">
        <v>37</v>
      </c>
      <c r="U1092" t="str">
        <f>IF(Table1[[#This Row],[YearsSince
LastPromotion]]&gt; 4, "Delayed", "Normal")</f>
        <v>Normal</v>
      </c>
      <c r="V1092" t="str">
        <f>IF(Table1[[#This Row],[Years
InCurrentRole]]&gt;4, "Role Stagnent", "Normal")</f>
        <v>Role Stagnent</v>
      </c>
      <c r="W1092" t="str">
        <f>IF(AND(Table1[[#This Row],[Years
InCurrentRole]]&gt; 4, Table1[[#This Row],[Performance
Rating]]&gt;=3), "High Risk", "Normal")</f>
        <v>High Risk</v>
      </c>
      <c r="X1092" t="str">
        <f>IF(Table1[[#This Row],[Performance
Rating]]&gt;=4, "High Performer", "Low Performer")</f>
        <v>Low Performer</v>
      </c>
    </row>
    <row r="1093" spans="2:24" x14ac:dyDescent="0.3">
      <c r="B1093" t="s">
        <v>19</v>
      </c>
      <c r="C1093" t="s">
        <v>25</v>
      </c>
      <c r="D1093">
        <v>1</v>
      </c>
      <c r="E1093" t="s">
        <v>21</v>
      </c>
      <c r="F1093">
        <v>2</v>
      </c>
      <c r="G1093" t="s">
        <v>31</v>
      </c>
      <c r="H1093">
        <v>3</v>
      </c>
      <c r="I1093">
        <v>4148</v>
      </c>
      <c r="J1093">
        <v>12</v>
      </c>
      <c r="K1093">
        <v>3</v>
      </c>
      <c r="L1093">
        <v>1</v>
      </c>
      <c r="M1093">
        <v>15</v>
      </c>
      <c r="N1093">
        <v>5</v>
      </c>
      <c r="O1093">
        <v>3</v>
      </c>
      <c r="P1093">
        <v>14</v>
      </c>
      <c r="Q1093">
        <v>11</v>
      </c>
      <c r="R1093">
        <v>2</v>
      </c>
      <c r="S1093" t="s">
        <v>34</v>
      </c>
      <c r="T1093" t="s">
        <v>37</v>
      </c>
      <c r="U1093" t="str">
        <f>IF(Table1[[#This Row],[YearsSince
LastPromotion]]&gt; 4, "Delayed", "Normal")</f>
        <v>Normal</v>
      </c>
      <c r="V1093" t="str">
        <f>IF(Table1[[#This Row],[Years
InCurrentRole]]&gt;4, "Role Stagnent", "Normal")</f>
        <v>Role Stagnent</v>
      </c>
      <c r="W1093" t="str">
        <f>IF(AND(Table1[[#This Row],[Years
InCurrentRole]]&gt; 4, Table1[[#This Row],[Performance
Rating]]&gt;=3), "High Risk", "Normal")</f>
        <v>High Risk</v>
      </c>
      <c r="X1093" t="str">
        <f>IF(Table1[[#This Row],[Performance
Rating]]&gt;=4, "High Performer", "Low Performer")</f>
        <v>Low Performer</v>
      </c>
    </row>
    <row r="1094" spans="2:24" x14ac:dyDescent="0.3">
      <c r="B1094" t="s">
        <v>19</v>
      </c>
      <c r="C1094" t="s">
        <v>25</v>
      </c>
      <c r="D1094">
        <v>1</v>
      </c>
      <c r="E1094" t="s">
        <v>28</v>
      </c>
      <c r="F1094">
        <v>1</v>
      </c>
      <c r="G1094" t="s">
        <v>29</v>
      </c>
      <c r="H1094">
        <v>2</v>
      </c>
      <c r="I1094">
        <v>2028</v>
      </c>
      <c r="J1094">
        <v>18</v>
      </c>
      <c r="K1094">
        <v>3</v>
      </c>
      <c r="L1094">
        <v>3</v>
      </c>
      <c r="M1094">
        <v>14</v>
      </c>
      <c r="N1094">
        <v>6</v>
      </c>
      <c r="O1094">
        <v>3</v>
      </c>
      <c r="P1094">
        <v>14</v>
      </c>
      <c r="Q1094">
        <v>11</v>
      </c>
      <c r="R1094">
        <v>2</v>
      </c>
      <c r="S1094" t="s">
        <v>34</v>
      </c>
      <c r="T1094" t="s">
        <v>37</v>
      </c>
      <c r="U1094" t="str">
        <f>IF(Table1[[#This Row],[YearsSince
LastPromotion]]&gt; 4, "Delayed", "Normal")</f>
        <v>Normal</v>
      </c>
      <c r="V1094" t="str">
        <f>IF(Table1[[#This Row],[Years
InCurrentRole]]&gt;4, "Role Stagnent", "Normal")</f>
        <v>Role Stagnent</v>
      </c>
      <c r="W1094" t="str">
        <f>IF(AND(Table1[[#This Row],[Years
InCurrentRole]]&gt; 4, Table1[[#This Row],[Performance
Rating]]&gt;=3), "High Risk", "Normal")</f>
        <v>High Risk</v>
      </c>
      <c r="X1094" t="str">
        <f>IF(Table1[[#This Row],[Performance
Rating]]&gt;=4, "High Performer", "Low Performer")</f>
        <v>Low Performer</v>
      </c>
    </row>
    <row r="1095" spans="2:24" x14ac:dyDescent="0.3">
      <c r="B1095" t="s">
        <v>19</v>
      </c>
      <c r="C1095" t="s">
        <v>25</v>
      </c>
      <c r="D1095">
        <v>1</v>
      </c>
      <c r="E1095" t="s">
        <v>21</v>
      </c>
      <c r="F1095">
        <v>4</v>
      </c>
      <c r="G1095" t="s">
        <v>31</v>
      </c>
      <c r="H1095">
        <v>3</v>
      </c>
      <c r="I1095">
        <v>13966</v>
      </c>
      <c r="J1095">
        <v>19</v>
      </c>
      <c r="K1095">
        <v>3</v>
      </c>
      <c r="L1095">
        <v>1</v>
      </c>
      <c r="M1095">
        <v>30</v>
      </c>
      <c r="N1095">
        <v>3</v>
      </c>
      <c r="O1095">
        <v>3</v>
      </c>
      <c r="P1095">
        <v>15</v>
      </c>
      <c r="Q1095">
        <v>11</v>
      </c>
      <c r="R1095">
        <v>2</v>
      </c>
      <c r="S1095" t="s">
        <v>34</v>
      </c>
      <c r="T1095" t="s">
        <v>37</v>
      </c>
      <c r="U1095" t="str">
        <f>IF(Table1[[#This Row],[YearsSince
LastPromotion]]&gt; 4, "Delayed", "Normal")</f>
        <v>Normal</v>
      </c>
      <c r="V1095" t="str">
        <f>IF(Table1[[#This Row],[Years
InCurrentRole]]&gt;4, "Role Stagnent", "Normal")</f>
        <v>Role Stagnent</v>
      </c>
      <c r="W1095" t="str">
        <f>IF(AND(Table1[[#This Row],[Years
InCurrentRole]]&gt; 4, Table1[[#This Row],[Performance
Rating]]&gt;=3), "High Risk", "Normal")</f>
        <v>High Risk</v>
      </c>
      <c r="X1095" t="str">
        <f>IF(Table1[[#This Row],[Performance
Rating]]&gt;=4, "High Performer", "Low Performer")</f>
        <v>Low Performer</v>
      </c>
    </row>
    <row r="1096" spans="2:24" x14ac:dyDescent="0.3">
      <c r="B1096" t="s">
        <v>19</v>
      </c>
      <c r="C1096" t="s">
        <v>20</v>
      </c>
      <c r="D1096">
        <v>1</v>
      </c>
      <c r="E1096" t="s">
        <v>28</v>
      </c>
      <c r="F1096">
        <v>2</v>
      </c>
      <c r="G1096" t="s">
        <v>32</v>
      </c>
      <c r="H1096">
        <v>1</v>
      </c>
      <c r="I1096">
        <v>4312</v>
      </c>
      <c r="J1096">
        <v>14</v>
      </c>
      <c r="K1096">
        <v>3</v>
      </c>
      <c r="L1096">
        <v>0</v>
      </c>
      <c r="M1096">
        <v>16</v>
      </c>
      <c r="N1096">
        <v>2</v>
      </c>
      <c r="O1096">
        <v>3</v>
      </c>
      <c r="P1096">
        <v>15</v>
      </c>
      <c r="Q1096">
        <v>13</v>
      </c>
      <c r="R1096">
        <v>2</v>
      </c>
      <c r="S1096" t="s">
        <v>34</v>
      </c>
      <c r="T1096" t="s">
        <v>37</v>
      </c>
      <c r="U1096" t="str">
        <f>IF(Table1[[#This Row],[YearsSince
LastPromotion]]&gt; 4, "Delayed", "Normal")</f>
        <v>Normal</v>
      </c>
      <c r="V1096" t="str">
        <f>IF(Table1[[#This Row],[Years
InCurrentRole]]&gt;4, "Role Stagnent", "Normal")</f>
        <v>Role Stagnent</v>
      </c>
      <c r="W1096" t="str">
        <f>IF(AND(Table1[[#This Row],[Years
InCurrentRole]]&gt; 4, Table1[[#This Row],[Performance
Rating]]&gt;=3), "High Risk", "Normal")</f>
        <v>High Risk</v>
      </c>
      <c r="X1096" t="str">
        <f>IF(Table1[[#This Row],[Performance
Rating]]&gt;=4, "High Performer", "Low Performer")</f>
        <v>Low Performer</v>
      </c>
    </row>
    <row r="1097" spans="2:24" x14ac:dyDescent="0.3">
      <c r="B1097" t="s">
        <v>19</v>
      </c>
      <c r="C1097" t="s">
        <v>25</v>
      </c>
      <c r="D1097">
        <v>1</v>
      </c>
      <c r="E1097" t="s">
        <v>21</v>
      </c>
      <c r="F1097">
        <v>2</v>
      </c>
      <c r="G1097" t="s">
        <v>26</v>
      </c>
      <c r="H1097">
        <v>3</v>
      </c>
      <c r="I1097">
        <v>4809</v>
      </c>
      <c r="J1097">
        <v>14</v>
      </c>
      <c r="K1097">
        <v>3</v>
      </c>
      <c r="L1097">
        <v>0</v>
      </c>
      <c r="M1097">
        <v>16</v>
      </c>
      <c r="N1097">
        <v>3</v>
      </c>
      <c r="O1097">
        <v>3</v>
      </c>
      <c r="P1097">
        <v>16</v>
      </c>
      <c r="Q1097">
        <v>13</v>
      </c>
      <c r="R1097">
        <v>2</v>
      </c>
      <c r="S1097" t="s">
        <v>34</v>
      </c>
      <c r="T1097" t="s">
        <v>37</v>
      </c>
      <c r="U1097" t="str">
        <f>IF(Table1[[#This Row],[YearsSince
LastPromotion]]&gt; 4, "Delayed", "Normal")</f>
        <v>Normal</v>
      </c>
      <c r="V1097" t="str">
        <f>IF(Table1[[#This Row],[Years
InCurrentRole]]&gt;4, "Role Stagnent", "Normal")</f>
        <v>Role Stagnent</v>
      </c>
      <c r="W1097" t="str">
        <f>IF(AND(Table1[[#This Row],[Years
InCurrentRole]]&gt; 4, Table1[[#This Row],[Performance
Rating]]&gt;=3), "High Risk", "Normal")</f>
        <v>High Risk</v>
      </c>
      <c r="X1097" t="str">
        <f>IF(Table1[[#This Row],[Performance
Rating]]&gt;=4, "High Performer", "Low Performer")</f>
        <v>Low Performer</v>
      </c>
    </row>
    <row r="1098" spans="2:24" x14ac:dyDescent="0.3">
      <c r="B1098" t="s">
        <v>19</v>
      </c>
      <c r="C1098" t="s">
        <v>25</v>
      </c>
      <c r="D1098">
        <v>1</v>
      </c>
      <c r="E1098" t="s">
        <v>28</v>
      </c>
      <c r="F1098">
        <v>1</v>
      </c>
      <c r="G1098" t="s">
        <v>29</v>
      </c>
      <c r="H1098">
        <v>1</v>
      </c>
      <c r="I1098">
        <v>4721</v>
      </c>
      <c r="J1098">
        <v>13</v>
      </c>
      <c r="K1098">
        <v>3</v>
      </c>
      <c r="L1098">
        <v>0</v>
      </c>
      <c r="M1098">
        <v>20</v>
      </c>
      <c r="N1098">
        <v>3</v>
      </c>
      <c r="O1098">
        <v>3</v>
      </c>
      <c r="P1098">
        <v>18</v>
      </c>
      <c r="Q1098">
        <v>13</v>
      </c>
      <c r="R1098">
        <v>2</v>
      </c>
      <c r="S1098" t="s">
        <v>34</v>
      </c>
      <c r="T1098" t="s">
        <v>37</v>
      </c>
      <c r="U1098" t="str">
        <f>IF(Table1[[#This Row],[YearsSince
LastPromotion]]&gt; 4, "Delayed", "Normal")</f>
        <v>Normal</v>
      </c>
      <c r="V1098" t="str">
        <f>IF(Table1[[#This Row],[Years
InCurrentRole]]&gt;4, "Role Stagnent", "Normal")</f>
        <v>Role Stagnent</v>
      </c>
      <c r="W1098" t="str">
        <f>IF(AND(Table1[[#This Row],[Years
InCurrentRole]]&gt; 4, Table1[[#This Row],[Performance
Rating]]&gt;=3), "High Risk", "Normal")</f>
        <v>High Risk</v>
      </c>
      <c r="X1098" t="str">
        <f>IF(Table1[[#This Row],[Performance
Rating]]&gt;=4, "High Performer", "Low Performer")</f>
        <v>Low Performer</v>
      </c>
    </row>
    <row r="1099" spans="2:24" x14ac:dyDescent="0.3">
      <c r="B1099" t="s">
        <v>19</v>
      </c>
      <c r="C1099" t="s">
        <v>25</v>
      </c>
      <c r="D1099">
        <v>1</v>
      </c>
      <c r="E1099" t="s">
        <v>28</v>
      </c>
      <c r="F1099">
        <v>5</v>
      </c>
      <c r="G1099" t="s">
        <v>35</v>
      </c>
      <c r="H1099">
        <v>2</v>
      </c>
      <c r="I1099">
        <v>18722</v>
      </c>
      <c r="J1099">
        <v>11</v>
      </c>
      <c r="K1099">
        <v>3</v>
      </c>
      <c r="L1099">
        <v>0</v>
      </c>
      <c r="M1099">
        <v>36</v>
      </c>
      <c r="N1099">
        <v>3</v>
      </c>
      <c r="O1099">
        <v>3</v>
      </c>
      <c r="P1099">
        <v>24</v>
      </c>
      <c r="Q1099">
        <v>15</v>
      </c>
      <c r="R1099">
        <v>2</v>
      </c>
      <c r="S1099" t="s">
        <v>34</v>
      </c>
      <c r="T1099" t="s">
        <v>37</v>
      </c>
      <c r="U1099" t="str">
        <f>IF(Table1[[#This Row],[YearsSince
LastPromotion]]&gt; 4, "Delayed", "Normal")</f>
        <v>Normal</v>
      </c>
      <c r="V1099" t="str">
        <f>IF(Table1[[#This Row],[Years
InCurrentRole]]&gt;4, "Role Stagnent", "Normal")</f>
        <v>Role Stagnent</v>
      </c>
      <c r="W1099" t="str">
        <f>IF(AND(Table1[[#This Row],[Years
InCurrentRole]]&gt; 4, Table1[[#This Row],[Performance
Rating]]&gt;=3), "High Risk", "Normal")</f>
        <v>High Risk</v>
      </c>
      <c r="X1099" t="str">
        <f>IF(Table1[[#This Row],[Performance
Rating]]&gt;=4, "High Performer", "Low Performer")</f>
        <v>Low Performer</v>
      </c>
    </row>
    <row r="1100" spans="2:24" x14ac:dyDescent="0.3">
      <c r="B1100" t="s">
        <v>19</v>
      </c>
      <c r="C1100" t="s">
        <v>20</v>
      </c>
      <c r="D1100">
        <v>1</v>
      </c>
      <c r="E1100" t="s">
        <v>21</v>
      </c>
      <c r="F1100">
        <v>4</v>
      </c>
      <c r="G1100" t="s">
        <v>32</v>
      </c>
      <c r="H1100">
        <v>1</v>
      </c>
      <c r="I1100">
        <v>13225</v>
      </c>
      <c r="J1100">
        <v>12</v>
      </c>
      <c r="K1100">
        <v>3</v>
      </c>
      <c r="L1100">
        <v>1</v>
      </c>
      <c r="M1100">
        <v>25</v>
      </c>
      <c r="N1100">
        <v>5</v>
      </c>
      <c r="O1100">
        <v>3</v>
      </c>
      <c r="P1100">
        <v>19</v>
      </c>
      <c r="Q1100">
        <v>17</v>
      </c>
      <c r="R1100">
        <v>2</v>
      </c>
      <c r="S1100" t="s">
        <v>34</v>
      </c>
      <c r="T1100" t="s">
        <v>37</v>
      </c>
      <c r="U1100" t="str">
        <f>IF(Table1[[#This Row],[YearsSince
LastPromotion]]&gt; 4, "Delayed", "Normal")</f>
        <v>Normal</v>
      </c>
      <c r="V1100" t="str">
        <f>IF(Table1[[#This Row],[Years
InCurrentRole]]&gt;4, "Role Stagnent", "Normal")</f>
        <v>Role Stagnent</v>
      </c>
      <c r="W1100" t="str">
        <f>IF(AND(Table1[[#This Row],[Years
InCurrentRole]]&gt; 4, Table1[[#This Row],[Performance
Rating]]&gt;=3), "High Risk", "Normal")</f>
        <v>High Risk</v>
      </c>
      <c r="X1100" t="str">
        <f>IF(Table1[[#This Row],[Performance
Rating]]&gt;=4, "High Performer", "Low Performer")</f>
        <v>Low Performer</v>
      </c>
    </row>
    <row r="1101" spans="2:24" x14ac:dyDescent="0.3">
      <c r="B1101" t="s">
        <v>27</v>
      </c>
      <c r="C1101" t="s">
        <v>20</v>
      </c>
      <c r="D1101">
        <v>1</v>
      </c>
      <c r="E1101" t="s">
        <v>21</v>
      </c>
      <c r="F1101">
        <v>2</v>
      </c>
      <c r="G1101" t="s">
        <v>32</v>
      </c>
      <c r="H1101">
        <v>3</v>
      </c>
      <c r="I1101">
        <v>4614</v>
      </c>
      <c r="J1101">
        <v>18</v>
      </c>
      <c r="K1101">
        <v>3</v>
      </c>
      <c r="L1101">
        <v>1</v>
      </c>
      <c r="M1101">
        <v>5</v>
      </c>
      <c r="N1101">
        <v>0</v>
      </c>
      <c r="O1101">
        <v>2</v>
      </c>
      <c r="P1101">
        <v>4</v>
      </c>
      <c r="Q1101">
        <v>2</v>
      </c>
      <c r="R1101">
        <v>3</v>
      </c>
      <c r="S1101" t="s">
        <v>23</v>
      </c>
      <c r="T1101" t="s">
        <v>38</v>
      </c>
      <c r="U1101" t="str">
        <f>IF(Table1[[#This Row],[YearsSince
LastPromotion]]&gt; 4, "Delayed", "Normal")</f>
        <v>Normal</v>
      </c>
      <c r="V1101" t="str">
        <f>IF(Table1[[#This Row],[Years
InCurrentRole]]&gt;4, "Role Stagnent", "Normal")</f>
        <v>Normal</v>
      </c>
      <c r="W1101" t="str">
        <f>IF(AND(Table1[[#This Row],[Years
InCurrentRole]]&gt; 4, Table1[[#This Row],[Performance
Rating]]&gt;=3), "High Risk", "Normal")</f>
        <v>Normal</v>
      </c>
      <c r="X1101" t="str">
        <f>IF(Table1[[#This Row],[Performance
Rating]]&gt;=4, "High Performer", "Low Performer")</f>
        <v>Low Performer</v>
      </c>
    </row>
    <row r="1102" spans="2:24" x14ac:dyDescent="0.3">
      <c r="B1102" t="s">
        <v>19</v>
      </c>
      <c r="C1102" t="s">
        <v>25</v>
      </c>
      <c r="D1102">
        <v>1</v>
      </c>
      <c r="E1102" t="s">
        <v>21</v>
      </c>
      <c r="F1102">
        <v>3</v>
      </c>
      <c r="G1102" t="s">
        <v>33</v>
      </c>
      <c r="H1102">
        <v>4</v>
      </c>
      <c r="I1102">
        <v>7945</v>
      </c>
      <c r="J1102">
        <v>15</v>
      </c>
      <c r="K1102">
        <v>3</v>
      </c>
      <c r="L1102">
        <v>0</v>
      </c>
      <c r="M1102">
        <v>18</v>
      </c>
      <c r="N1102">
        <v>2</v>
      </c>
      <c r="O1102">
        <v>2</v>
      </c>
      <c r="P1102">
        <v>4</v>
      </c>
      <c r="Q1102">
        <v>2</v>
      </c>
      <c r="R1102">
        <v>3</v>
      </c>
      <c r="S1102" t="s">
        <v>23</v>
      </c>
      <c r="T1102" t="s">
        <v>38</v>
      </c>
      <c r="U1102" t="str">
        <f>IF(Table1[[#This Row],[YearsSince
LastPromotion]]&gt; 4, "Delayed", "Normal")</f>
        <v>Normal</v>
      </c>
      <c r="V1102" t="str">
        <f>IF(Table1[[#This Row],[Years
InCurrentRole]]&gt;4, "Role Stagnent", "Normal")</f>
        <v>Normal</v>
      </c>
      <c r="W1102" t="str">
        <f>IF(AND(Table1[[#This Row],[Years
InCurrentRole]]&gt; 4, Table1[[#This Row],[Performance
Rating]]&gt;=3), "High Risk", "Normal")</f>
        <v>Normal</v>
      </c>
      <c r="X1102" t="str">
        <f>IF(Table1[[#This Row],[Performance
Rating]]&gt;=4, "High Performer", "Low Performer")</f>
        <v>Low Performer</v>
      </c>
    </row>
    <row r="1103" spans="2:24" x14ac:dyDescent="0.3">
      <c r="B1103" t="s">
        <v>19</v>
      </c>
      <c r="C1103" t="s">
        <v>25</v>
      </c>
      <c r="D1103">
        <v>1</v>
      </c>
      <c r="E1103" t="s">
        <v>28</v>
      </c>
      <c r="F1103">
        <v>1</v>
      </c>
      <c r="G1103" t="s">
        <v>29</v>
      </c>
      <c r="H1103">
        <v>1</v>
      </c>
      <c r="I1103">
        <v>2218</v>
      </c>
      <c r="J1103">
        <v>12</v>
      </c>
      <c r="K1103">
        <v>3</v>
      </c>
      <c r="L1103">
        <v>1</v>
      </c>
      <c r="M1103">
        <v>4</v>
      </c>
      <c r="N1103">
        <v>3</v>
      </c>
      <c r="O1103">
        <v>3</v>
      </c>
      <c r="P1103">
        <v>4</v>
      </c>
      <c r="Q1103">
        <v>2</v>
      </c>
      <c r="R1103">
        <v>3</v>
      </c>
      <c r="S1103" t="s">
        <v>34</v>
      </c>
      <c r="T1103" t="s">
        <v>38</v>
      </c>
      <c r="U1103" t="str">
        <f>IF(Table1[[#This Row],[YearsSince
LastPromotion]]&gt; 4, "Delayed", "Normal")</f>
        <v>Normal</v>
      </c>
      <c r="V1103" t="str">
        <f>IF(Table1[[#This Row],[Years
InCurrentRole]]&gt;4, "Role Stagnent", "Normal")</f>
        <v>Normal</v>
      </c>
      <c r="W1103" t="str">
        <f>IF(AND(Table1[[#This Row],[Years
InCurrentRole]]&gt; 4, Table1[[#This Row],[Performance
Rating]]&gt;=3), "High Risk", "Normal")</f>
        <v>Normal</v>
      </c>
      <c r="X1103" t="str">
        <f>IF(Table1[[#This Row],[Performance
Rating]]&gt;=4, "High Performer", "Low Performer")</f>
        <v>Low Performer</v>
      </c>
    </row>
    <row r="1104" spans="2:24" x14ac:dyDescent="0.3">
      <c r="B1104" t="s">
        <v>19</v>
      </c>
      <c r="C1104" t="s">
        <v>20</v>
      </c>
      <c r="D1104">
        <v>1</v>
      </c>
      <c r="E1104" t="s">
        <v>28</v>
      </c>
      <c r="F1104">
        <v>3</v>
      </c>
      <c r="G1104" t="s">
        <v>32</v>
      </c>
      <c r="H1104">
        <v>2</v>
      </c>
      <c r="I1104">
        <v>10596</v>
      </c>
      <c r="J1104">
        <v>11</v>
      </c>
      <c r="K1104">
        <v>3</v>
      </c>
      <c r="L1104">
        <v>0</v>
      </c>
      <c r="M1104">
        <v>14</v>
      </c>
      <c r="N1104">
        <v>5</v>
      </c>
      <c r="O1104">
        <v>3</v>
      </c>
      <c r="P1104">
        <v>4</v>
      </c>
      <c r="Q1104">
        <v>2</v>
      </c>
      <c r="R1104">
        <v>3</v>
      </c>
      <c r="S1104" t="s">
        <v>34</v>
      </c>
      <c r="T1104" t="s">
        <v>38</v>
      </c>
      <c r="U1104" t="str">
        <f>IF(Table1[[#This Row],[YearsSince
LastPromotion]]&gt; 4, "Delayed", "Normal")</f>
        <v>Normal</v>
      </c>
      <c r="V1104" t="str">
        <f>IF(Table1[[#This Row],[Years
InCurrentRole]]&gt;4, "Role Stagnent", "Normal")</f>
        <v>Normal</v>
      </c>
      <c r="W1104" t="str">
        <f>IF(AND(Table1[[#This Row],[Years
InCurrentRole]]&gt; 4, Table1[[#This Row],[Performance
Rating]]&gt;=3), "High Risk", "Normal")</f>
        <v>Normal</v>
      </c>
      <c r="X1104" t="str">
        <f>IF(Table1[[#This Row],[Performance
Rating]]&gt;=4, "High Performer", "Low Performer")</f>
        <v>Low Performer</v>
      </c>
    </row>
    <row r="1105" spans="2:24" x14ac:dyDescent="0.3">
      <c r="B1105" t="s">
        <v>19</v>
      </c>
      <c r="C1105" t="s">
        <v>25</v>
      </c>
      <c r="D1105">
        <v>1</v>
      </c>
      <c r="E1105" t="s">
        <v>21</v>
      </c>
      <c r="F1105">
        <v>2</v>
      </c>
      <c r="G1105" t="s">
        <v>33</v>
      </c>
      <c r="H1105">
        <v>3</v>
      </c>
      <c r="I1105">
        <v>4377</v>
      </c>
      <c r="J1105">
        <v>15</v>
      </c>
      <c r="K1105">
        <v>3</v>
      </c>
      <c r="L1105">
        <v>2</v>
      </c>
      <c r="M1105">
        <v>5</v>
      </c>
      <c r="N1105">
        <v>6</v>
      </c>
      <c r="O1105">
        <v>3</v>
      </c>
      <c r="P1105">
        <v>4</v>
      </c>
      <c r="Q1105">
        <v>2</v>
      </c>
      <c r="R1105">
        <v>3</v>
      </c>
      <c r="S1105" t="s">
        <v>34</v>
      </c>
      <c r="T1105" t="s">
        <v>38</v>
      </c>
      <c r="U1105" t="str">
        <f>IF(Table1[[#This Row],[YearsSince
LastPromotion]]&gt; 4, "Delayed", "Normal")</f>
        <v>Normal</v>
      </c>
      <c r="V1105" t="str">
        <f>IF(Table1[[#This Row],[Years
InCurrentRole]]&gt;4, "Role Stagnent", "Normal")</f>
        <v>Normal</v>
      </c>
      <c r="W1105" t="str">
        <f>IF(AND(Table1[[#This Row],[Years
InCurrentRole]]&gt; 4, Table1[[#This Row],[Performance
Rating]]&gt;=3), "High Risk", "Normal")</f>
        <v>Normal</v>
      </c>
      <c r="X1105" t="str">
        <f>IF(Table1[[#This Row],[Performance
Rating]]&gt;=4, "High Performer", "Low Performer")</f>
        <v>Low Performer</v>
      </c>
    </row>
    <row r="1106" spans="2:24" x14ac:dyDescent="0.3">
      <c r="B1106" t="s">
        <v>19</v>
      </c>
      <c r="C1106" t="s">
        <v>25</v>
      </c>
      <c r="D1106">
        <v>1</v>
      </c>
      <c r="E1106" t="s">
        <v>28</v>
      </c>
      <c r="F1106">
        <v>1</v>
      </c>
      <c r="G1106" t="s">
        <v>29</v>
      </c>
      <c r="H1106">
        <v>4</v>
      </c>
      <c r="I1106">
        <v>3162</v>
      </c>
      <c r="J1106">
        <v>17</v>
      </c>
      <c r="K1106">
        <v>3</v>
      </c>
      <c r="L1106">
        <v>0</v>
      </c>
      <c r="M1106">
        <v>6</v>
      </c>
      <c r="N1106">
        <v>2</v>
      </c>
      <c r="O1106">
        <v>2</v>
      </c>
      <c r="P1106">
        <v>5</v>
      </c>
      <c r="Q1106">
        <v>2</v>
      </c>
      <c r="R1106">
        <v>3</v>
      </c>
      <c r="S1106" t="s">
        <v>23</v>
      </c>
      <c r="T1106" t="s">
        <v>37</v>
      </c>
      <c r="U1106" t="str">
        <f>IF(Table1[[#This Row],[YearsSince
LastPromotion]]&gt; 4, "Delayed", "Normal")</f>
        <v>Normal</v>
      </c>
      <c r="V1106" t="str">
        <f>IF(Table1[[#This Row],[Years
InCurrentRole]]&gt;4, "Role Stagnent", "Normal")</f>
        <v>Normal</v>
      </c>
      <c r="W1106" t="str">
        <f>IF(AND(Table1[[#This Row],[Years
InCurrentRole]]&gt; 4, Table1[[#This Row],[Performance
Rating]]&gt;=3), "High Risk", "Normal")</f>
        <v>Normal</v>
      </c>
      <c r="X1106" t="str">
        <f>IF(Table1[[#This Row],[Performance
Rating]]&gt;=4, "High Performer", "Low Performer")</f>
        <v>Low Performer</v>
      </c>
    </row>
    <row r="1107" spans="2:24" x14ac:dyDescent="0.3">
      <c r="B1107" t="s">
        <v>27</v>
      </c>
      <c r="C1107" t="s">
        <v>25</v>
      </c>
      <c r="D1107">
        <v>1</v>
      </c>
      <c r="E1107" t="s">
        <v>28</v>
      </c>
      <c r="F1107">
        <v>1</v>
      </c>
      <c r="G1107" t="s">
        <v>26</v>
      </c>
      <c r="H1107">
        <v>1</v>
      </c>
      <c r="I1107">
        <v>2307</v>
      </c>
      <c r="J1107">
        <v>23</v>
      </c>
      <c r="K1107">
        <v>4</v>
      </c>
      <c r="L1107">
        <v>1</v>
      </c>
      <c r="M1107">
        <v>5</v>
      </c>
      <c r="N1107">
        <v>2</v>
      </c>
      <c r="O1107">
        <v>3</v>
      </c>
      <c r="P1107">
        <v>5</v>
      </c>
      <c r="Q1107">
        <v>2</v>
      </c>
      <c r="R1107">
        <v>3</v>
      </c>
      <c r="S1107" t="s">
        <v>34</v>
      </c>
      <c r="T1107" t="s">
        <v>37</v>
      </c>
      <c r="U1107" t="str">
        <f>IF(Table1[[#This Row],[YearsSince
LastPromotion]]&gt; 4, "Delayed", "Normal")</f>
        <v>Normal</v>
      </c>
      <c r="V1107" t="str">
        <f>IF(Table1[[#This Row],[Years
InCurrentRole]]&gt;4, "Role Stagnent", "Normal")</f>
        <v>Normal</v>
      </c>
      <c r="W1107" t="str">
        <f>IF(AND(Table1[[#This Row],[Years
InCurrentRole]]&gt; 4, Table1[[#This Row],[Performance
Rating]]&gt;=3), "High Risk", "Normal")</f>
        <v>Normal</v>
      </c>
      <c r="X1107" t="str">
        <f>IF(Table1[[#This Row],[Performance
Rating]]&gt;=4, "High Performer", "Low Performer")</f>
        <v>High Performer</v>
      </c>
    </row>
    <row r="1108" spans="2:24" x14ac:dyDescent="0.3">
      <c r="B1108" t="s">
        <v>19</v>
      </c>
      <c r="C1108" t="s">
        <v>25</v>
      </c>
      <c r="D1108">
        <v>1</v>
      </c>
      <c r="E1108" t="s">
        <v>21</v>
      </c>
      <c r="F1108">
        <v>2</v>
      </c>
      <c r="G1108" t="s">
        <v>26</v>
      </c>
      <c r="H1108">
        <v>4</v>
      </c>
      <c r="I1108">
        <v>5467</v>
      </c>
      <c r="J1108">
        <v>14</v>
      </c>
      <c r="K1108">
        <v>3</v>
      </c>
      <c r="L1108">
        <v>2</v>
      </c>
      <c r="M1108">
        <v>12</v>
      </c>
      <c r="N1108">
        <v>4</v>
      </c>
      <c r="O1108">
        <v>2</v>
      </c>
      <c r="P1108">
        <v>6</v>
      </c>
      <c r="Q1108">
        <v>2</v>
      </c>
      <c r="R1108">
        <v>3</v>
      </c>
      <c r="S1108" t="s">
        <v>23</v>
      </c>
      <c r="T1108" t="s">
        <v>37</v>
      </c>
      <c r="U1108" t="str">
        <f>IF(Table1[[#This Row],[YearsSince
LastPromotion]]&gt; 4, "Delayed", "Normal")</f>
        <v>Normal</v>
      </c>
      <c r="V1108" t="str">
        <f>IF(Table1[[#This Row],[Years
InCurrentRole]]&gt;4, "Role Stagnent", "Normal")</f>
        <v>Normal</v>
      </c>
      <c r="W1108" t="str">
        <f>IF(AND(Table1[[#This Row],[Years
InCurrentRole]]&gt; 4, Table1[[#This Row],[Performance
Rating]]&gt;=3), "High Risk", "Normal")</f>
        <v>Normal</v>
      </c>
      <c r="X1108" t="str">
        <f>IF(Table1[[#This Row],[Performance
Rating]]&gt;=4, "High Performer", "Low Performer")</f>
        <v>Low Performer</v>
      </c>
    </row>
    <row r="1109" spans="2:24" x14ac:dyDescent="0.3">
      <c r="B1109" t="s">
        <v>19</v>
      </c>
      <c r="C1109" t="s">
        <v>25</v>
      </c>
      <c r="D1109">
        <v>1</v>
      </c>
      <c r="E1109" t="s">
        <v>28</v>
      </c>
      <c r="F1109">
        <v>2</v>
      </c>
      <c r="G1109" t="s">
        <v>29</v>
      </c>
      <c r="H1109">
        <v>4</v>
      </c>
      <c r="I1109">
        <v>2741</v>
      </c>
      <c r="J1109">
        <v>15</v>
      </c>
      <c r="K1109">
        <v>3</v>
      </c>
      <c r="L1109">
        <v>1</v>
      </c>
      <c r="M1109">
        <v>15</v>
      </c>
      <c r="N1109">
        <v>2</v>
      </c>
      <c r="O1109">
        <v>4</v>
      </c>
      <c r="P1109">
        <v>7</v>
      </c>
      <c r="Q1109">
        <v>2</v>
      </c>
      <c r="R1109">
        <v>3</v>
      </c>
      <c r="S1109" t="s">
        <v>34</v>
      </c>
      <c r="T1109" t="s">
        <v>37</v>
      </c>
      <c r="U1109" t="str">
        <f>IF(Table1[[#This Row],[YearsSince
LastPromotion]]&gt; 4, "Delayed", "Normal")</f>
        <v>Normal</v>
      </c>
      <c r="V1109" t="str">
        <f>IF(Table1[[#This Row],[Years
InCurrentRole]]&gt;4, "Role Stagnent", "Normal")</f>
        <v>Normal</v>
      </c>
      <c r="W1109" t="str">
        <f>IF(AND(Table1[[#This Row],[Years
InCurrentRole]]&gt; 4, Table1[[#This Row],[Performance
Rating]]&gt;=3), "High Risk", "Normal")</f>
        <v>Normal</v>
      </c>
      <c r="X1109" t="str">
        <f>IF(Table1[[#This Row],[Performance
Rating]]&gt;=4, "High Performer", "Low Performer")</f>
        <v>Low Performer</v>
      </c>
    </row>
    <row r="1110" spans="2:24" x14ac:dyDescent="0.3">
      <c r="B1110" t="s">
        <v>19</v>
      </c>
      <c r="C1110" t="s">
        <v>25</v>
      </c>
      <c r="D1110">
        <v>1</v>
      </c>
      <c r="E1110" t="s">
        <v>21</v>
      </c>
      <c r="F1110">
        <v>2</v>
      </c>
      <c r="G1110" t="s">
        <v>33</v>
      </c>
      <c r="H1110">
        <v>3</v>
      </c>
      <c r="I1110">
        <v>5042</v>
      </c>
      <c r="J1110">
        <v>13</v>
      </c>
      <c r="K1110">
        <v>3</v>
      </c>
      <c r="L1110">
        <v>0</v>
      </c>
      <c r="M1110">
        <v>10</v>
      </c>
      <c r="N1110">
        <v>2</v>
      </c>
      <c r="O1110">
        <v>1</v>
      </c>
      <c r="P1110">
        <v>9</v>
      </c>
      <c r="Q1110">
        <v>2</v>
      </c>
      <c r="R1110">
        <v>3</v>
      </c>
      <c r="S1110" t="s">
        <v>23</v>
      </c>
      <c r="T1110" t="s">
        <v>37</v>
      </c>
      <c r="U1110" t="str">
        <f>IF(Table1[[#This Row],[YearsSince
LastPromotion]]&gt; 4, "Delayed", "Normal")</f>
        <v>Normal</v>
      </c>
      <c r="V1110" t="str">
        <f>IF(Table1[[#This Row],[Years
InCurrentRole]]&gt;4, "Role Stagnent", "Normal")</f>
        <v>Normal</v>
      </c>
      <c r="W1110" t="str">
        <f>IF(AND(Table1[[#This Row],[Years
InCurrentRole]]&gt; 4, Table1[[#This Row],[Performance
Rating]]&gt;=3), "High Risk", "Normal")</f>
        <v>Normal</v>
      </c>
      <c r="X1110" t="str">
        <f>IF(Table1[[#This Row],[Performance
Rating]]&gt;=4, "High Performer", "Low Performer")</f>
        <v>Low Performer</v>
      </c>
    </row>
    <row r="1111" spans="2:24" x14ac:dyDescent="0.3">
      <c r="B1111" t="s">
        <v>19</v>
      </c>
      <c r="C1111" t="s">
        <v>25</v>
      </c>
      <c r="D1111">
        <v>1</v>
      </c>
      <c r="E1111" t="s">
        <v>21</v>
      </c>
      <c r="F1111">
        <v>1</v>
      </c>
      <c r="G1111" t="s">
        <v>29</v>
      </c>
      <c r="H1111">
        <v>2</v>
      </c>
      <c r="I1111">
        <v>2440</v>
      </c>
      <c r="J1111">
        <v>22</v>
      </c>
      <c r="K1111">
        <v>4</v>
      </c>
      <c r="L1111">
        <v>0</v>
      </c>
      <c r="M1111">
        <v>4</v>
      </c>
      <c r="N1111">
        <v>3</v>
      </c>
      <c r="O1111">
        <v>3</v>
      </c>
      <c r="P1111">
        <v>4</v>
      </c>
      <c r="Q1111">
        <v>3</v>
      </c>
      <c r="R1111">
        <v>3</v>
      </c>
      <c r="S1111" t="s">
        <v>34</v>
      </c>
      <c r="T1111" t="s">
        <v>38</v>
      </c>
      <c r="U1111" t="str">
        <f>IF(Table1[[#This Row],[YearsSince
LastPromotion]]&gt; 4, "Delayed", "Normal")</f>
        <v>Normal</v>
      </c>
      <c r="V1111" t="str">
        <f>IF(Table1[[#This Row],[Years
InCurrentRole]]&gt;4, "Role Stagnent", "Normal")</f>
        <v>Normal</v>
      </c>
      <c r="W1111" t="str">
        <f>IF(AND(Table1[[#This Row],[Years
InCurrentRole]]&gt; 4, Table1[[#This Row],[Performance
Rating]]&gt;=3), "High Risk", "Normal")</f>
        <v>Normal</v>
      </c>
      <c r="X1111" t="str">
        <f>IF(Table1[[#This Row],[Performance
Rating]]&gt;=4, "High Performer", "Low Performer")</f>
        <v>High Performer</v>
      </c>
    </row>
    <row r="1112" spans="2:24" x14ac:dyDescent="0.3">
      <c r="B1112" t="s">
        <v>19</v>
      </c>
      <c r="C1112" t="s">
        <v>25</v>
      </c>
      <c r="D1112">
        <v>1</v>
      </c>
      <c r="E1112" t="s">
        <v>28</v>
      </c>
      <c r="F1112">
        <v>2</v>
      </c>
      <c r="G1112" t="s">
        <v>31</v>
      </c>
      <c r="H1112">
        <v>1</v>
      </c>
      <c r="I1112">
        <v>4741</v>
      </c>
      <c r="J1112">
        <v>13</v>
      </c>
      <c r="K1112">
        <v>3</v>
      </c>
      <c r="L1112">
        <v>1</v>
      </c>
      <c r="M1112">
        <v>5</v>
      </c>
      <c r="N1112">
        <v>3</v>
      </c>
      <c r="O1112">
        <v>3</v>
      </c>
      <c r="P1112">
        <v>5</v>
      </c>
      <c r="Q1112">
        <v>3</v>
      </c>
      <c r="R1112">
        <v>3</v>
      </c>
      <c r="S1112" t="s">
        <v>34</v>
      </c>
      <c r="T1112" t="s">
        <v>37</v>
      </c>
      <c r="U1112" t="str">
        <f>IF(Table1[[#This Row],[YearsSince
LastPromotion]]&gt; 4, "Delayed", "Normal")</f>
        <v>Normal</v>
      </c>
      <c r="V1112" t="str">
        <f>IF(Table1[[#This Row],[Years
InCurrentRole]]&gt;4, "Role Stagnent", "Normal")</f>
        <v>Normal</v>
      </c>
      <c r="W1112" t="str">
        <f>IF(AND(Table1[[#This Row],[Years
InCurrentRole]]&gt; 4, Table1[[#This Row],[Performance
Rating]]&gt;=3), "High Risk", "Normal")</f>
        <v>Normal</v>
      </c>
      <c r="X1112" t="str">
        <f>IF(Table1[[#This Row],[Performance
Rating]]&gt;=4, "High Performer", "Low Performer")</f>
        <v>Low Performer</v>
      </c>
    </row>
    <row r="1113" spans="2:24" x14ac:dyDescent="0.3">
      <c r="B1113" t="s">
        <v>19</v>
      </c>
      <c r="C1113" t="s">
        <v>25</v>
      </c>
      <c r="D1113">
        <v>1</v>
      </c>
      <c r="E1113" t="s">
        <v>28</v>
      </c>
      <c r="F1113">
        <v>1</v>
      </c>
      <c r="G1113" t="s">
        <v>26</v>
      </c>
      <c r="H1113">
        <v>3</v>
      </c>
      <c r="I1113">
        <v>2936</v>
      </c>
      <c r="J1113">
        <v>22</v>
      </c>
      <c r="K1113">
        <v>4</v>
      </c>
      <c r="L1113">
        <v>2</v>
      </c>
      <c r="M1113">
        <v>10</v>
      </c>
      <c r="N1113">
        <v>1</v>
      </c>
      <c r="O1113">
        <v>2</v>
      </c>
      <c r="P1113">
        <v>6</v>
      </c>
      <c r="Q1113">
        <v>3</v>
      </c>
      <c r="R1113">
        <v>3</v>
      </c>
      <c r="S1113" t="s">
        <v>23</v>
      </c>
      <c r="T1113" t="s">
        <v>37</v>
      </c>
      <c r="U1113" t="str">
        <f>IF(Table1[[#This Row],[YearsSince
LastPromotion]]&gt; 4, "Delayed", "Normal")</f>
        <v>Normal</v>
      </c>
      <c r="V1113" t="str">
        <f>IF(Table1[[#This Row],[Years
InCurrentRole]]&gt;4, "Role Stagnent", "Normal")</f>
        <v>Normal</v>
      </c>
      <c r="W1113" t="str">
        <f>IF(AND(Table1[[#This Row],[Years
InCurrentRole]]&gt; 4, Table1[[#This Row],[Performance
Rating]]&gt;=3), "High Risk", "Normal")</f>
        <v>Normal</v>
      </c>
      <c r="X1113" t="str">
        <f>IF(Table1[[#This Row],[Performance
Rating]]&gt;=4, "High Performer", "Low Performer")</f>
        <v>High Performer</v>
      </c>
    </row>
    <row r="1114" spans="2:24" x14ac:dyDescent="0.3">
      <c r="B1114" t="s">
        <v>19</v>
      </c>
      <c r="C1114" t="s">
        <v>36</v>
      </c>
      <c r="D1114">
        <v>1</v>
      </c>
      <c r="E1114" t="s">
        <v>21</v>
      </c>
      <c r="F1114">
        <v>2</v>
      </c>
      <c r="G1114" t="s">
        <v>36</v>
      </c>
      <c r="H1114">
        <v>2</v>
      </c>
      <c r="I1114">
        <v>6389</v>
      </c>
      <c r="J1114">
        <v>15</v>
      </c>
      <c r="K1114">
        <v>3</v>
      </c>
      <c r="L1114">
        <v>1</v>
      </c>
      <c r="M1114">
        <v>12</v>
      </c>
      <c r="N1114">
        <v>3</v>
      </c>
      <c r="O1114">
        <v>1</v>
      </c>
      <c r="P1114">
        <v>8</v>
      </c>
      <c r="Q1114">
        <v>3</v>
      </c>
      <c r="R1114">
        <v>3</v>
      </c>
      <c r="S1114" t="s">
        <v>23</v>
      </c>
      <c r="T1114" t="s">
        <v>37</v>
      </c>
      <c r="U1114" t="str">
        <f>IF(Table1[[#This Row],[YearsSince
LastPromotion]]&gt; 4, "Delayed", "Normal")</f>
        <v>Normal</v>
      </c>
      <c r="V1114" t="str">
        <f>IF(Table1[[#This Row],[Years
InCurrentRole]]&gt;4, "Role Stagnent", "Normal")</f>
        <v>Normal</v>
      </c>
      <c r="W1114" t="str">
        <f>IF(AND(Table1[[#This Row],[Years
InCurrentRole]]&gt; 4, Table1[[#This Row],[Performance
Rating]]&gt;=3), "High Risk", "Normal")</f>
        <v>Normal</v>
      </c>
      <c r="X1114" t="str">
        <f>IF(Table1[[#This Row],[Performance
Rating]]&gt;=4, "High Performer", "Low Performer")</f>
        <v>Low Performer</v>
      </c>
    </row>
    <row r="1115" spans="2:24" x14ac:dyDescent="0.3">
      <c r="B1115" t="s">
        <v>19</v>
      </c>
      <c r="C1115" t="s">
        <v>25</v>
      </c>
      <c r="D1115">
        <v>1</v>
      </c>
      <c r="E1115" t="s">
        <v>28</v>
      </c>
      <c r="F1115">
        <v>1</v>
      </c>
      <c r="G1115" t="s">
        <v>29</v>
      </c>
      <c r="H1115">
        <v>1</v>
      </c>
      <c r="I1115">
        <v>3196</v>
      </c>
      <c r="J1115">
        <v>12</v>
      </c>
      <c r="K1115">
        <v>3</v>
      </c>
      <c r="L1115">
        <v>3</v>
      </c>
      <c r="M1115">
        <v>6</v>
      </c>
      <c r="N1115">
        <v>2</v>
      </c>
      <c r="O1115">
        <v>3</v>
      </c>
      <c r="P1115">
        <v>6</v>
      </c>
      <c r="Q1115">
        <v>5</v>
      </c>
      <c r="R1115">
        <v>3</v>
      </c>
      <c r="S1115" t="s">
        <v>34</v>
      </c>
      <c r="T1115" t="s">
        <v>37</v>
      </c>
      <c r="U1115" t="str">
        <f>IF(Table1[[#This Row],[YearsSince
LastPromotion]]&gt; 4, "Delayed", "Normal")</f>
        <v>Normal</v>
      </c>
      <c r="V1115" t="str">
        <f>IF(Table1[[#This Row],[Years
InCurrentRole]]&gt;4, "Role Stagnent", "Normal")</f>
        <v>Role Stagnent</v>
      </c>
      <c r="W1115" t="str">
        <f>IF(AND(Table1[[#This Row],[Years
InCurrentRole]]&gt; 4, Table1[[#This Row],[Performance
Rating]]&gt;=3), "High Risk", "Normal")</f>
        <v>High Risk</v>
      </c>
      <c r="X1115" t="str">
        <f>IF(Table1[[#This Row],[Performance
Rating]]&gt;=4, "High Performer", "Low Performer")</f>
        <v>Low Performer</v>
      </c>
    </row>
    <row r="1116" spans="2:24" x14ac:dyDescent="0.3">
      <c r="B1116" t="s">
        <v>27</v>
      </c>
      <c r="C1116" t="s">
        <v>36</v>
      </c>
      <c r="D1116">
        <v>1</v>
      </c>
      <c r="E1116" t="s">
        <v>28</v>
      </c>
      <c r="F1116">
        <v>3</v>
      </c>
      <c r="G1116" t="s">
        <v>36</v>
      </c>
      <c r="H1116">
        <v>1</v>
      </c>
      <c r="I1116">
        <v>10482</v>
      </c>
      <c r="J1116">
        <v>14</v>
      </c>
      <c r="K1116">
        <v>3</v>
      </c>
      <c r="L1116">
        <v>1</v>
      </c>
      <c r="M1116">
        <v>24</v>
      </c>
      <c r="N1116">
        <v>1</v>
      </c>
      <c r="O1116">
        <v>3</v>
      </c>
      <c r="P1116">
        <v>20</v>
      </c>
      <c r="Q1116">
        <v>6</v>
      </c>
      <c r="R1116">
        <v>3</v>
      </c>
      <c r="S1116" t="s">
        <v>34</v>
      </c>
      <c r="T1116" t="s">
        <v>37</v>
      </c>
      <c r="U1116" t="str">
        <f>IF(Table1[[#This Row],[YearsSince
LastPromotion]]&gt; 4, "Delayed", "Normal")</f>
        <v>Normal</v>
      </c>
      <c r="V1116" t="str">
        <f>IF(Table1[[#This Row],[Years
InCurrentRole]]&gt;4, "Role Stagnent", "Normal")</f>
        <v>Role Stagnent</v>
      </c>
      <c r="W1116" t="str">
        <f>IF(AND(Table1[[#This Row],[Years
InCurrentRole]]&gt; 4, Table1[[#This Row],[Performance
Rating]]&gt;=3), "High Risk", "Normal")</f>
        <v>High Risk</v>
      </c>
      <c r="X1116" t="str">
        <f>IF(Table1[[#This Row],[Performance
Rating]]&gt;=4, "High Performer", "Low Performer")</f>
        <v>Low Performer</v>
      </c>
    </row>
    <row r="1117" spans="2:24" x14ac:dyDescent="0.3">
      <c r="B1117" t="s">
        <v>19</v>
      </c>
      <c r="C1117" t="s">
        <v>25</v>
      </c>
      <c r="D1117">
        <v>1</v>
      </c>
      <c r="E1117" t="s">
        <v>28</v>
      </c>
      <c r="F1117">
        <v>1</v>
      </c>
      <c r="G1117" t="s">
        <v>29</v>
      </c>
      <c r="H1117">
        <v>4</v>
      </c>
      <c r="I1117">
        <v>3068</v>
      </c>
      <c r="J1117">
        <v>13</v>
      </c>
      <c r="K1117">
        <v>3</v>
      </c>
      <c r="L1117">
        <v>0</v>
      </c>
      <c r="M1117">
        <v>8</v>
      </c>
      <c r="N1117">
        <v>2</v>
      </c>
      <c r="O1117">
        <v>2</v>
      </c>
      <c r="P1117">
        <v>7</v>
      </c>
      <c r="Q1117">
        <v>7</v>
      </c>
      <c r="R1117">
        <v>3</v>
      </c>
      <c r="S1117" t="s">
        <v>23</v>
      </c>
      <c r="T1117" t="s">
        <v>37</v>
      </c>
      <c r="U1117" t="str">
        <f>IF(Table1[[#This Row],[YearsSince
LastPromotion]]&gt; 4, "Delayed", "Normal")</f>
        <v>Normal</v>
      </c>
      <c r="V1117" t="str">
        <f>IF(Table1[[#This Row],[Years
InCurrentRole]]&gt;4, "Role Stagnent", "Normal")</f>
        <v>Role Stagnent</v>
      </c>
      <c r="W1117" t="str">
        <f>IF(AND(Table1[[#This Row],[Years
InCurrentRole]]&gt; 4, Table1[[#This Row],[Performance
Rating]]&gt;=3), "High Risk", "Normal")</f>
        <v>High Risk</v>
      </c>
      <c r="X1117" t="str">
        <f>IF(Table1[[#This Row],[Performance
Rating]]&gt;=4, "High Performer", "Low Performer")</f>
        <v>Low Performer</v>
      </c>
    </row>
    <row r="1118" spans="2:24" x14ac:dyDescent="0.3">
      <c r="B1118" t="s">
        <v>27</v>
      </c>
      <c r="C1118" t="s">
        <v>25</v>
      </c>
      <c r="D1118">
        <v>1</v>
      </c>
      <c r="E1118" t="s">
        <v>21</v>
      </c>
      <c r="F1118">
        <v>1</v>
      </c>
      <c r="G1118" t="s">
        <v>26</v>
      </c>
      <c r="H1118">
        <v>2</v>
      </c>
      <c r="I1118">
        <v>2216</v>
      </c>
      <c r="J1118">
        <v>13</v>
      </c>
      <c r="K1118">
        <v>3</v>
      </c>
      <c r="L1118">
        <v>0</v>
      </c>
      <c r="M1118">
        <v>10</v>
      </c>
      <c r="N1118">
        <v>4</v>
      </c>
      <c r="O1118">
        <v>3</v>
      </c>
      <c r="P1118">
        <v>7</v>
      </c>
      <c r="Q1118">
        <v>7</v>
      </c>
      <c r="R1118">
        <v>3</v>
      </c>
      <c r="S1118" t="s">
        <v>34</v>
      </c>
      <c r="T1118" t="s">
        <v>37</v>
      </c>
      <c r="U1118" t="str">
        <f>IF(Table1[[#This Row],[YearsSince
LastPromotion]]&gt; 4, "Delayed", "Normal")</f>
        <v>Normal</v>
      </c>
      <c r="V1118" t="str">
        <f>IF(Table1[[#This Row],[Years
InCurrentRole]]&gt;4, "Role Stagnent", "Normal")</f>
        <v>Role Stagnent</v>
      </c>
      <c r="W1118" t="str">
        <f>IF(AND(Table1[[#This Row],[Years
InCurrentRole]]&gt; 4, Table1[[#This Row],[Performance
Rating]]&gt;=3), "High Risk", "Normal")</f>
        <v>High Risk</v>
      </c>
      <c r="X1118" t="str">
        <f>IF(Table1[[#This Row],[Performance
Rating]]&gt;=4, "High Performer", "Low Performer")</f>
        <v>Low Performer</v>
      </c>
    </row>
    <row r="1119" spans="2:24" x14ac:dyDescent="0.3">
      <c r="B1119" t="s">
        <v>19</v>
      </c>
      <c r="C1119" t="s">
        <v>25</v>
      </c>
      <c r="D1119">
        <v>1</v>
      </c>
      <c r="E1119" t="s">
        <v>21</v>
      </c>
      <c r="F1119">
        <v>2</v>
      </c>
      <c r="G1119" t="s">
        <v>31</v>
      </c>
      <c r="H1119">
        <v>2</v>
      </c>
      <c r="I1119">
        <v>4244</v>
      </c>
      <c r="J1119">
        <v>24</v>
      </c>
      <c r="K1119">
        <v>4</v>
      </c>
      <c r="L1119">
        <v>1</v>
      </c>
      <c r="M1119">
        <v>8</v>
      </c>
      <c r="N1119">
        <v>2</v>
      </c>
      <c r="O1119">
        <v>3</v>
      </c>
      <c r="P1119">
        <v>8</v>
      </c>
      <c r="Q1119">
        <v>7</v>
      </c>
      <c r="R1119">
        <v>3</v>
      </c>
      <c r="S1119" t="s">
        <v>34</v>
      </c>
      <c r="T1119" t="s">
        <v>37</v>
      </c>
      <c r="U1119" t="str">
        <f>IF(Table1[[#This Row],[YearsSince
LastPromotion]]&gt; 4, "Delayed", "Normal")</f>
        <v>Normal</v>
      </c>
      <c r="V1119" t="str">
        <f>IF(Table1[[#This Row],[Years
InCurrentRole]]&gt;4, "Role Stagnent", "Normal")</f>
        <v>Role Stagnent</v>
      </c>
      <c r="W1119" t="str">
        <f>IF(AND(Table1[[#This Row],[Years
InCurrentRole]]&gt; 4, Table1[[#This Row],[Performance
Rating]]&gt;=3), "High Risk", "Normal")</f>
        <v>High Risk</v>
      </c>
      <c r="X1119" t="str">
        <f>IF(Table1[[#This Row],[Performance
Rating]]&gt;=4, "High Performer", "Low Performer")</f>
        <v>High Performer</v>
      </c>
    </row>
    <row r="1120" spans="2:24" x14ac:dyDescent="0.3">
      <c r="B1120" t="s">
        <v>19</v>
      </c>
      <c r="C1120" t="s">
        <v>25</v>
      </c>
      <c r="D1120">
        <v>1</v>
      </c>
      <c r="E1120" t="s">
        <v>21</v>
      </c>
      <c r="F1120">
        <v>1</v>
      </c>
      <c r="G1120" t="s">
        <v>26</v>
      </c>
      <c r="H1120">
        <v>3</v>
      </c>
      <c r="I1120">
        <v>2909</v>
      </c>
      <c r="J1120">
        <v>11</v>
      </c>
      <c r="K1120">
        <v>3</v>
      </c>
      <c r="L1120">
        <v>0</v>
      </c>
      <c r="M1120">
        <v>8</v>
      </c>
      <c r="N1120">
        <v>3</v>
      </c>
      <c r="O1120">
        <v>3</v>
      </c>
      <c r="P1120">
        <v>8</v>
      </c>
      <c r="Q1120">
        <v>7</v>
      </c>
      <c r="R1120">
        <v>3</v>
      </c>
      <c r="S1120" t="s">
        <v>34</v>
      </c>
      <c r="T1120" t="s">
        <v>37</v>
      </c>
      <c r="U1120" t="str">
        <f>IF(Table1[[#This Row],[YearsSince
LastPromotion]]&gt; 4, "Delayed", "Normal")</f>
        <v>Normal</v>
      </c>
      <c r="V1120" t="str">
        <f>IF(Table1[[#This Row],[Years
InCurrentRole]]&gt;4, "Role Stagnent", "Normal")</f>
        <v>Role Stagnent</v>
      </c>
      <c r="W1120" t="str">
        <f>IF(AND(Table1[[#This Row],[Years
InCurrentRole]]&gt; 4, Table1[[#This Row],[Performance
Rating]]&gt;=3), "High Risk", "Normal")</f>
        <v>High Risk</v>
      </c>
      <c r="X1120" t="str">
        <f>IF(Table1[[#This Row],[Performance
Rating]]&gt;=4, "High Performer", "Low Performer")</f>
        <v>Low Performer</v>
      </c>
    </row>
    <row r="1121" spans="2:24" x14ac:dyDescent="0.3">
      <c r="B1121" t="s">
        <v>19</v>
      </c>
      <c r="C1121" t="s">
        <v>20</v>
      </c>
      <c r="D1121">
        <v>1</v>
      </c>
      <c r="E1121" t="s">
        <v>28</v>
      </c>
      <c r="F1121">
        <v>2</v>
      </c>
      <c r="G1121" t="s">
        <v>30</v>
      </c>
      <c r="H1121">
        <v>3</v>
      </c>
      <c r="I1121">
        <v>6632</v>
      </c>
      <c r="J1121">
        <v>13</v>
      </c>
      <c r="K1121">
        <v>3</v>
      </c>
      <c r="L1121">
        <v>0</v>
      </c>
      <c r="M1121">
        <v>9</v>
      </c>
      <c r="N1121">
        <v>3</v>
      </c>
      <c r="O1121">
        <v>3</v>
      </c>
      <c r="P1121">
        <v>8</v>
      </c>
      <c r="Q1121">
        <v>7</v>
      </c>
      <c r="R1121">
        <v>3</v>
      </c>
      <c r="S1121" t="s">
        <v>34</v>
      </c>
      <c r="T1121" t="s">
        <v>37</v>
      </c>
      <c r="U1121" t="str">
        <f>IF(Table1[[#This Row],[YearsSince
LastPromotion]]&gt; 4, "Delayed", "Normal")</f>
        <v>Normal</v>
      </c>
      <c r="V1121" t="str">
        <f>IF(Table1[[#This Row],[Years
InCurrentRole]]&gt;4, "Role Stagnent", "Normal")</f>
        <v>Role Stagnent</v>
      </c>
      <c r="W1121" t="str">
        <f>IF(AND(Table1[[#This Row],[Years
InCurrentRole]]&gt; 4, Table1[[#This Row],[Performance
Rating]]&gt;=3), "High Risk", "Normal")</f>
        <v>High Risk</v>
      </c>
      <c r="X1121" t="str">
        <f>IF(Table1[[#This Row],[Performance
Rating]]&gt;=4, "High Performer", "Low Performer")</f>
        <v>Low Performer</v>
      </c>
    </row>
    <row r="1122" spans="2:24" x14ac:dyDescent="0.3">
      <c r="B1122" t="s">
        <v>19</v>
      </c>
      <c r="C1122" t="s">
        <v>20</v>
      </c>
      <c r="D1122">
        <v>1</v>
      </c>
      <c r="E1122" t="s">
        <v>28</v>
      </c>
      <c r="F1122">
        <v>2</v>
      </c>
      <c r="G1122" t="s">
        <v>32</v>
      </c>
      <c r="H1122">
        <v>2</v>
      </c>
      <c r="I1122">
        <v>4805</v>
      </c>
      <c r="J1122">
        <v>19</v>
      </c>
      <c r="K1122">
        <v>3</v>
      </c>
      <c r="L1122">
        <v>1</v>
      </c>
      <c r="M1122">
        <v>9</v>
      </c>
      <c r="N1122">
        <v>3</v>
      </c>
      <c r="O1122">
        <v>4</v>
      </c>
      <c r="P1122">
        <v>8</v>
      </c>
      <c r="Q1122">
        <v>7</v>
      </c>
      <c r="R1122">
        <v>3</v>
      </c>
      <c r="S1122" t="s">
        <v>34</v>
      </c>
      <c r="T1122" t="s">
        <v>37</v>
      </c>
      <c r="U1122" t="str">
        <f>IF(Table1[[#This Row],[YearsSince
LastPromotion]]&gt; 4, "Delayed", "Normal")</f>
        <v>Normal</v>
      </c>
      <c r="V1122" t="str">
        <f>IF(Table1[[#This Row],[Years
InCurrentRole]]&gt;4, "Role Stagnent", "Normal")</f>
        <v>Role Stagnent</v>
      </c>
      <c r="W1122" t="str">
        <f>IF(AND(Table1[[#This Row],[Years
InCurrentRole]]&gt; 4, Table1[[#This Row],[Performance
Rating]]&gt;=3), "High Risk", "Normal")</f>
        <v>High Risk</v>
      </c>
      <c r="X1122" t="str">
        <f>IF(Table1[[#This Row],[Performance
Rating]]&gt;=4, "High Performer", "Low Performer")</f>
        <v>Low Performer</v>
      </c>
    </row>
    <row r="1123" spans="2:24" x14ac:dyDescent="0.3">
      <c r="B1123" t="s">
        <v>19</v>
      </c>
      <c r="C1123" t="s">
        <v>20</v>
      </c>
      <c r="D1123">
        <v>1</v>
      </c>
      <c r="E1123" t="s">
        <v>21</v>
      </c>
      <c r="F1123">
        <v>3</v>
      </c>
      <c r="G1123" t="s">
        <v>32</v>
      </c>
      <c r="H1123">
        <v>4</v>
      </c>
      <c r="I1123">
        <v>7644</v>
      </c>
      <c r="J1123">
        <v>19</v>
      </c>
      <c r="K1123">
        <v>3</v>
      </c>
      <c r="L1123">
        <v>2</v>
      </c>
      <c r="M1123">
        <v>10</v>
      </c>
      <c r="N1123">
        <v>2</v>
      </c>
      <c r="O1123">
        <v>3</v>
      </c>
      <c r="P1123">
        <v>9</v>
      </c>
      <c r="Q1123">
        <v>7</v>
      </c>
      <c r="R1123">
        <v>3</v>
      </c>
      <c r="S1123" t="s">
        <v>34</v>
      </c>
      <c r="T1123" t="s">
        <v>37</v>
      </c>
      <c r="U1123" t="str">
        <f>IF(Table1[[#This Row],[YearsSince
LastPromotion]]&gt; 4, "Delayed", "Normal")</f>
        <v>Normal</v>
      </c>
      <c r="V1123" t="str">
        <f>IF(Table1[[#This Row],[Years
InCurrentRole]]&gt;4, "Role Stagnent", "Normal")</f>
        <v>Role Stagnent</v>
      </c>
      <c r="W1123" t="str">
        <f>IF(AND(Table1[[#This Row],[Years
InCurrentRole]]&gt; 4, Table1[[#This Row],[Performance
Rating]]&gt;=3), "High Risk", "Normal")</f>
        <v>High Risk</v>
      </c>
      <c r="X1123" t="str">
        <f>IF(Table1[[#This Row],[Performance
Rating]]&gt;=4, "High Performer", "Low Performer")</f>
        <v>Low Performer</v>
      </c>
    </row>
    <row r="1124" spans="2:24" x14ac:dyDescent="0.3">
      <c r="B1124" t="s">
        <v>27</v>
      </c>
      <c r="C1124" t="s">
        <v>25</v>
      </c>
      <c r="D1124">
        <v>1</v>
      </c>
      <c r="E1124" t="s">
        <v>21</v>
      </c>
      <c r="F1124">
        <v>2</v>
      </c>
      <c r="G1124" t="s">
        <v>31</v>
      </c>
      <c r="H1124">
        <v>2</v>
      </c>
      <c r="I1124">
        <v>8926</v>
      </c>
      <c r="J1124">
        <v>22</v>
      </c>
      <c r="K1124">
        <v>4</v>
      </c>
      <c r="L1124">
        <v>1</v>
      </c>
      <c r="M1124">
        <v>13</v>
      </c>
      <c r="N1124">
        <v>2</v>
      </c>
      <c r="O1124">
        <v>4</v>
      </c>
      <c r="P1124">
        <v>9</v>
      </c>
      <c r="Q1124">
        <v>7</v>
      </c>
      <c r="R1124">
        <v>3</v>
      </c>
      <c r="S1124" t="s">
        <v>34</v>
      </c>
      <c r="T1124" t="s">
        <v>37</v>
      </c>
      <c r="U1124" t="str">
        <f>IF(Table1[[#This Row],[YearsSince
LastPromotion]]&gt; 4, "Delayed", "Normal")</f>
        <v>Normal</v>
      </c>
      <c r="V1124" t="str">
        <f>IF(Table1[[#This Row],[Years
InCurrentRole]]&gt;4, "Role Stagnent", "Normal")</f>
        <v>Role Stagnent</v>
      </c>
      <c r="W1124" t="str">
        <f>IF(AND(Table1[[#This Row],[Years
InCurrentRole]]&gt; 4, Table1[[#This Row],[Performance
Rating]]&gt;=3), "High Risk", "Normal")</f>
        <v>High Risk</v>
      </c>
      <c r="X1124" t="str">
        <f>IF(Table1[[#This Row],[Performance
Rating]]&gt;=4, "High Performer", "Low Performer")</f>
        <v>High Performer</v>
      </c>
    </row>
    <row r="1125" spans="2:24" x14ac:dyDescent="0.3">
      <c r="B1125" t="s">
        <v>19</v>
      </c>
      <c r="C1125" t="s">
        <v>25</v>
      </c>
      <c r="D1125">
        <v>1</v>
      </c>
      <c r="E1125" t="s">
        <v>21</v>
      </c>
      <c r="F1125">
        <v>2</v>
      </c>
      <c r="G1125" t="s">
        <v>33</v>
      </c>
      <c r="H1125">
        <v>4</v>
      </c>
      <c r="I1125">
        <v>5770</v>
      </c>
      <c r="J1125">
        <v>19</v>
      </c>
      <c r="K1125">
        <v>3</v>
      </c>
      <c r="L1125">
        <v>2</v>
      </c>
      <c r="M1125">
        <v>10</v>
      </c>
      <c r="N1125">
        <v>3</v>
      </c>
      <c r="O1125">
        <v>3</v>
      </c>
      <c r="P1125">
        <v>10</v>
      </c>
      <c r="Q1125">
        <v>7</v>
      </c>
      <c r="R1125">
        <v>3</v>
      </c>
      <c r="S1125" t="s">
        <v>34</v>
      </c>
      <c r="T1125" t="s">
        <v>37</v>
      </c>
      <c r="U1125" t="str">
        <f>IF(Table1[[#This Row],[YearsSince
LastPromotion]]&gt; 4, "Delayed", "Normal")</f>
        <v>Normal</v>
      </c>
      <c r="V1125" t="str">
        <f>IF(Table1[[#This Row],[Years
InCurrentRole]]&gt;4, "Role Stagnent", "Normal")</f>
        <v>Role Stagnent</v>
      </c>
      <c r="W1125" t="str">
        <f>IF(AND(Table1[[#This Row],[Years
InCurrentRole]]&gt; 4, Table1[[#This Row],[Performance
Rating]]&gt;=3), "High Risk", "Normal")</f>
        <v>High Risk</v>
      </c>
      <c r="X1125" t="str">
        <f>IF(Table1[[#This Row],[Performance
Rating]]&gt;=4, "High Performer", "Low Performer")</f>
        <v>Low Performer</v>
      </c>
    </row>
    <row r="1126" spans="2:24" x14ac:dyDescent="0.3">
      <c r="B1126" t="s">
        <v>27</v>
      </c>
      <c r="C1126" t="s">
        <v>25</v>
      </c>
      <c r="D1126">
        <v>1</v>
      </c>
      <c r="E1126" t="s">
        <v>21</v>
      </c>
      <c r="F1126">
        <v>2</v>
      </c>
      <c r="G1126" t="s">
        <v>26</v>
      </c>
      <c r="H1126">
        <v>3</v>
      </c>
      <c r="I1126">
        <v>4508</v>
      </c>
      <c r="J1126">
        <v>22</v>
      </c>
      <c r="K1126">
        <v>4</v>
      </c>
      <c r="L1126">
        <v>0</v>
      </c>
      <c r="M1126">
        <v>14</v>
      </c>
      <c r="N1126">
        <v>4</v>
      </c>
      <c r="O1126">
        <v>3</v>
      </c>
      <c r="P1126">
        <v>13</v>
      </c>
      <c r="Q1126">
        <v>7</v>
      </c>
      <c r="R1126">
        <v>3</v>
      </c>
      <c r="S1126" t="s">
        <v>34</v>
      </c>
      <c r="T1126" t="s">
        <v>37</v>
      </c>
      <c r="U1126" t="str">
        <f>IF(Table1[[#This Row],[YearsSince
LastPromotion]]&gt; 4, "Delayed", "Normal")</f>
        <v>Normal</v>
      </c>
      <c r="V1126" t="str">
        <f>IF(Table1[[#This Row],[Years
InCurrentRole]]&gt;4, "Role Stagnent", "Normal")</f>
        <v>Role Stagnent</v>
      </c>
      <c r="W1126" t="str">
        <f>IF(AND(Table1[[#This Row],[Years
InCurrentRole]]&gt; 4, Table1[[#This Row],[Performance
Rating]]&gt;=3), "High Risk", "Normal")</f>
        <v>High Risk</v>
      </c>
      <c r="X1126" t="str">
        <f>IF(Table1[[#This Row],[Performance
Rating]]&gt;=4, "High Performer", "Low Performer")</f>
        <v>High Performer</v>
      </c>
    </row>
    <row r="1127" spans="2:24" x14ac:dyDescent="0.3">
      <c r="B1127" t="s">
        <v>27</v>
      </c>
      <c r="C1127" t="s">
        <v>20</v>
      </c>
      <c r="D1127">
        <v>1</v>
      </c>
      <c r="E1127" t="s">
        <v>28</v>
      </c>
      <c r="F1127">
        <v>3</v>
      </c>
      <c r="G1127" t="s">
        <v>32</v>
      </c>
      <c r="H1127">
        <v>4</v>
      </c>
      <c r="I1127">
        <v>10325</v>
      </c>
      <c r="J1127">
        <v>11</v>
      </c>
      <c r="K1127">
        <v>3</v>
      </c>
      <c r="L1127">
        <v>1</v>
      </c>
      <c r="M1127">
        <v>16</v>
      </c>
      <c r="N1127">
        <v>6</v>
      </c>
      <c r="O1127">
        <v>3</v>
      </c>
      <c r="P1127">
        <v>16</v>
      </c>
      <c r="Q1127">
        <v>7</v>
      </c>
      <c r="R1127">
        <v>3</v>
      </c>
      <c r="S1127" t="s">
        <v>34</v>
      </c>
      <c r="T1127" t="s">
        <v>37</v>
      </c>
      <c r="U1127" t="str">
        <f>IF(Table1[[#This Row],[YearsSince
LastPromotion]]&gt; 4, "Delayed", "Normal")</f>
        <v>Normal</v>
      </c>
      <c r="V1127" t="str">
        <f>IF(Table1[[#This Row],[Years
InCurrentRole]]&gt;4, "Role Stagnent", "Normal")</f>
        <v>Role Stagnent</v>
      </c>
      <c r="W1127" t="str">
        <f>IF(AND(Table1[[#This Row],[Years
InCurrentRole]]&gt; 4, Table1[[#This Row],[Performance
Rating]]&gt;=3), "High Risk", "Normal")</f>
        <v>High Risk</v>
      </c>
      <c r="X1127" t="str">
        <f>IF(Table1[[#This Row],[Performance
Rating]]&gt;=4, "High Performer", "Low Performer")</f>
        <v>Low Performer</v>
      </c>
    </row>
    <row r="1128" spans="2:24" x14ac:dyDescent="0.3">
      <c r="B1128" t="s">
        <v>27</v>
      </c>
      <c r="C1128" t="s">
        <v>20</v>
      </c>
      <c r="D1128">
        <v>1</v>
      </c>
      <c r="E1128" t="s">
        <v>28</v>
      </c>
      <c r="F1128">
        <v>4</v>
      </c>
      <c r="G1128" t="s">
        <v>32</v>
      </c>
      <c r="H1128">
        <v>3</v>
      </c>
      <c r="I1128">
        <v>13695</v>
      </c>
      <c r="J1128">
        <v>17</v>
      </c>
      <c r="K1128">
        <v>3</v>
      </c>
      <c r="L1128">
        <v>0</v>
      </c>
      <c r="M1128">
        <v>24</v>
      </c>
      <c r="N1128">
        <v>2</v>
      </c>
      <c r="O1128">
        <v>2</v>
      </c>
      <c r="P1128">
        <v>19</v>
      </c>
      <c r="Q1128">
        <v>7</v>
      </c>
      <c r="R1128">
        <v>3</v>
      </c>
      <c r="S1128" t="s">
        <v>23</v>
      </c>
      <c r="T1128" t="s">
        <v>37</v>
      </c>
      <c r="U1128" t="str">
        <f>IF(Table1[[#This Row],[YearsSince
LastPromotion]]&gt; 4, "Delayed", "Normal")</f>
        <v>Normal</v>
      </c>
      <c r="V1128" t="str">
        <f>IF(Table1[[#This Row],[Years
InCurrentRole]]&gt;4, "Role Stagnent", "Normal")</f>
        <v>Role Stagnent</v>
      </c>
      <c r="W1128" t="str">
        <f>IF(AND(Table1[[#This Row],[Years
InCurrentRole]]&gt; 4, Table1[[#This Row],[Performance
Rating]]&gt;=3), "High Risk", "Normal")</f>
        <v>High Risk</v>
      </c>
      <c r="X1128" t="str">
        <f>IF(Table1[[#This Row],[Performance
Rating]]&gt;=4, "High Performer", "Low Performer")</f>
        <v>Low Performer</v>
      </c>
    </row>
    <row r="1129" spans="2:24" x14ac:dyDescent="0.3">
      <c r="B1129" t="s">
        <v>19</v>
      </c>
      <c r="C1129" t="s">
        <v>25</v>
      </c>
      <c r="D1129">
        <v>1</v>
      </c>
      <c r="E1129" t="s">
        <v>28</v>
      </c>
      <c r="F1129">
        <v>5</v>
      </c>
      <c r="G1129" t="s">
        <v>35</v>
      </c>
      <c r="H1129">
        <v>3</v>
      </c>
      <c r="I1129">
        <v>19436</v>
      </c>
      <c r="J1129">
        <v>19</v>
      </c>
      <c r="K1129">
        <v>3</v>
      </c>
      <c r="L1129">
        <v>1</v>
      </c>
      <c r="M1129">
        <v>22</v>
      </c>
      <c r="N1129">
        <v>5</v>
      </c>
      <c r="O1129">
        <v>3</v>
      </c>
      <c r="P1129">
        <v>21</v>
      </c>
      <c r="Q1129">
        <v>7</v>
      </c>
      <c r="R1129">
        <v>3</v>
      </c>
      <c r="S1129" t="s">
        <v>34</v>
      </c>
      <c r="T1129" t="s">
        <v>37</v>
      </c>
      <c r="U1129" t="str">
        <f>IF(Table1[[#This Row],[YearsSince
LastPromotion]]&gt; 4, "Delayed", "Normal")</f>
        <v>Normal</v>
      </c>
      <c r="V1129" t="str">
        <f>IF(Table1[[#This Row],[Years
InCurrentRole]]&gt;4, "Role Stagnent", "Normal")</f>
        <v>Role Stagnent</v>
      </c>
      <c r="W1129" t="str">
        <f>IF(AND(Table1[[#This Row],[Years
InCurrentRole]]&gt; 4, Table1[[#This Row],[Performance
Rating]]&gt;=3), "High Risk", "Normal")</f>
        <v>High Risk</v>
      </c>
      <c r="X1129" t="str">
        <f>IF(Table1[[#This Row],[Performance
Rating]]&gt;=4, "High Performer", "Low Performer")</f>
        <v>Low Performer</v>
      </c>
    </row>
    <row r="1130" spans="2:24" x14ac:dyDescent="0.3">
      <c r="B1130" t="s">
        <v>19</v>
      </c>
      <c r="C1130" t="s">
        <v>25</v>
      </c>
      <c r="D1130">
        <v>1</v>
      </c>
      <c r="E1130" t="s">
        <v>21</v>
      </c>
      <c r="F1130">
        <v>2</v>
      </c>
      <c r="G1130" t="s">
        <v>33</v>
      </c>
      <c r="H1130">
        <v>4</v>
      </c>
      <c r="I1130">
        <v>5906</v>
      </c>
      <c r="J1130">
        <v>13</v>
      </c>
      <c r="K1130">
        <v>3</v>
      </c>
      <c r="L1130">
        <v>2</v>
      </c>
      <c r="M1130">
        <v>10</v>
      </c>
      <c r="N1130">
        <v>2</v>
      </c>
      <c r="O1130">
        <v>2</v>
      </c>
      <c r="P1130">
        <v>9</v>
      </c>
      <c r="Q1130">
        <v>8</v>
      </c>
      <c r="R1130">
        <v>3</v>
      </c>
      <c r="S1130" t="s">
        <v>23</v>
      </c>
      <c r="T1130" t="s">
        <v>37</v>
      </c>
      <c r="U1130" t="str">
        <f>IF(Table1[[#This Row],[YearsSince
LastPromotion]]&gt; 4, "Delayed", "Normal")</f>
        <v>Normal</v>
      </c>
      <c r="V1130" t="str">
        <f>IF(Table1[[#This Row],[Years
InCurrentRole]]&gt;4, "Role Stagnent", "Normal")</f>
        <v>Role Stagnent</v>
      </c>
      <c r="W1130" t="str">
        <f>IF(AND(Table1[[#This Row],[Years
InCurrentRole]]&gt; 4, Table1[[#This Row],[Performance
Rating]]&gt;=3), "High Risk", "Normal")</f>
        <v>High Risk</v>
      </c>
      <c r="X1130" t="str">
        <f>IF(Table1[[#This Row],[Performance
Rating]]&gt;=4, "High Performer", "Low Performer")</f>
        <v>Low Performer</v>
      </c>
    </row>
    <row r="1131" spans="2:24" x14ac:dyDescent="0.3">
      <c r="B1131" t="s">
        <v>19</v>
      </c>
      <c r="C1131" t="s">
        <v>20</v>
      </c>
      <c r="D1131">
        <v>1</v>
      </c>
      <c r="E1131" t="s">
        <v>21</v>
      </c>
      <c r="F1131">
        <v>3</v>
      </c>
      <c r="G1131" t="s">
        <v>32</v>
      </c>
      <c r="H1131">
        <v>4</v>
      </c>
      <c r="I1131">
        <v>8998</v>
      </c>
      <c r="J1131">
        <v>14</v>
      </c>
      <c r="K1131">
        <v>3</v>
      </c>
      <c r="L1131">
        <v>0</v>
      </c>
      <c r="M1131">
        <v>9</v>
      </c>
      <c r="N1131">
        <v>2</v>
      </c>
      <c r="O1131">
        <v>3</v>
      </c>
      <c r="P1131">
        <v>9</v>
      </c>
      <c r="Q1131">
        <v>8</v>
      </c>
      <c r="R1131">
        <v>3</v>
      </c>
      <c r="S1131" t="s">
        <v>34</v>
      </c>
      <c r="T1131" t="s">
        <v>37</v>
      </c>
      <c r="U1131" t="str">
        <f>IF(Table1[[#This Row],[YearsSince
LastPromotion]]&gt; 4, "Delayed", "Normal")</f>
        <v>Normal</v>
      </c>
      <c r="V1131" t="str">
        <f>IF(Table1[[#This Row],[Years
InCurrentRole]]&gt;4, "Role Stagnent", "Normal")</f>
        <v>Role Stagnent</v>
      </c>
      <c r="W1131" t="str">
        <f>IF(AND(Table1[[#This Row],[Years
InCurrentRole]]&gt; 4, Table1[[#This Row],[Performance
Rating]]&gt;=3), "High Risk", "Normal")</f>
        <v>High Risk</v>
      </c>
      <c r="X1131" t="str">
        <f>IF(Table1[[#This Row],[Performance
Rating]]&gt;=4, "High Performer", "Low Performer")</f>
        <v>Low Performer</v>
      </c>
    </row>
    <row r="1132" spans="2:24" x14ac:dyDescent="0.3">
      <c r="B1132" t="s">
        <v>19</v>
      </c>
      <c r="C1132" t="s">
        <v>25</v>
      </c>
      <c r="D1132">
        <v>1</v>
      </c>
      <c r="E1132" t="s">
        <v>28</v>
      </c>
      <c r="F1132">
        <v>2</v>
      </c>
      <c r="G1132" t="s">
        <v>29</v>
      </c>
      <c r="H1132">
        <v>4</v>
      </c>
      <c r="I1132">
        <v>5126</v>
      </c>
      <c r="J1132">
        <v>12</v>
      </c>
      <c r="K1132">
        <v>3</v>
      </c>
      <c r="L1132">
        <v>2</v>
      </c>
      <c r="M1132">
        <v>10</v>
      </c>
      <c r="N1132">
        <v>1</v>
      </c>
      <c r="O1132">
        <v>2</v>
      </c>
      <c r="P1132">
        <v>10</v>
      </c>
      <c r="Q1132">
        <v>8</v>
      </c>
      <c r="R1132">
        <v>3</v>
      </c>
      <c r="S1132" t="s">
        <v>23</v>
      </c>
      <c r="T1132" t="s">
        <v>37</v>
      </c>
      <c r="U1132" t="str">
        <f>IF(Table1[[#This Row],[YearsSince
LastPromotion]]&gt; 4, "Delayed", "Normal")</f>
        <v>Normal</v>
      </c>
      <c r="V1132" t="str">
        <f>IF(Table1[[#This Row],[Years
InCurrentRole]]&gt;4, "Role Stagnent", "Normal")</f>
        <v>Role Stagnent</v>
      </c>
      <c r="W1132" t="str">
        <f>IF(AND(Table1[[#This Row],[Years
InCurrentRole]]&gt; 4, Table1[[#This Row],[Performance
Rating]]&gt;=3), "High Risk", "Normal")</f>
        <v>High Risk</v>
      </c>
      <c r="X1132" t="str">
        <f>IF(Table1[[#This Row],[Performance
Rating]]&gt;=4, "High Performer", "Low Performer")</f>
        <v>Low Performer</v>
      </c>
    </row>
    <row r="1133" spans="2:24" x14ac:dyDescent="0.3">
      <c r="B1133" t="s">
        <v>19</v>
      </c>
      <c r="C1133" t="s">
        <v>25</v>
      </c>
      <c r="D1133">
        <v>1</v>
      </c>
      <c r="E1133" t="s">
        <v>28</v>
      </c>
      <c r="F1133">
        <v>2</v>
      </c>
      <c r="G1133" t="s">
        <v>26</v>
      </c>
      <c r="H1133">
        <v>4</v>
      </c>
      <c r="I1133">
        <v>4285</v>
      </c>
      <c r="J1133">
        <v>17</v>
      </c>
      <c r="K1133">
        <v>3</v>
      </c>
      <c r="L1133">
        <v>0</v>
      </c>
      <c r="M1133">
        <v>10</v>
      </c>
      <c r="N1133">
        <v>2</v>
      </c>
      <c r="O1133">
        <v>3</v>
      </c>
      <c r="P1133">
        <v>10</v>
      </c>
      <c r="Q1133">
        <v>8</v>
      </c>
      <c r="R1133">
        <v>3</v>
      </c>
      <c r="S1133" t="s">
        <v>34</v>
      </c>
      <c r="T1133" t="s">
        <v>37</v>
      </c>
      <c r="U1133" t="str">
        <f>IF(Table1[[#This Row],[YearsSince
LastPromotion]]&gt; 4, "Delayed", "Normal")</f>
        <v>Normal</v>
      </c>
      <c r="V1133" t="str">
        <f>IF(Table1[[#This Row],[Years
InCurrentRole]]&gt;4, "Role Stagnent", "Normal")</f>
        <v>Role Stagnent</v>
      </c>
      <c r="W1133" t="str">
        <f>IF(AND(Table1[[#This Row],[Years
InCurrentRole]]&gt; 4, Table1[[#This Row],[Performance
Rating]]&gt;=3), "High Risk", "Normal")</f>
        <v>High Risk</v>
      </c>
      <c r="X1133" t="str">
        <f>IF(Table1[[#This Row],[Performance
Rating]]&gt;=4, "High Performer", "Low Performer")</f>
        <v>Low Performer</v>
      </c>
    </row>
    <row r="1134" spans="2:24" x14ac:dyDescent="0.3">
      <c r="B1134" t="s">
        <v>19</v>
      </c>
      <c r="C1134" t="s">
        <v>25</v>
      </c>
      <c r="D1134">
        <v>1</v>
      </c>
      <c r="E1134" t="s">
        <v>21</v>
      </c>
      <c r="F1134">
        <v>3</v>
      </c>
      <c r="G1134" t="s">
        <v>31</v>
      </c>
      <c r="H1134">
        <v>2</v>
      </c>
      <c r="I1134">
        <v>8606</v>
      </c>
      <c r="J1134">
        <v>19</v>
      </c>
      <c r="K1134">
        <v>3</v>
      </c>
      <c r="L1134">
        <v>0</v>
      </c>
      <c r="M1134">
        <v>11</v>
      </c>
      <c r="N1134">
        <v>3</v>
      </c>
      <c r="O1134">
        <v>1</v>
      </c>
      <c r="P1134">
        <v>11</v>
      </c>
      <c r="Q1134">
        <v>8</v>
      </c>
      <c r="R1134">
        <v>3</v>
      </c>
      <c r="S1134" t="s">
        <v>23</v>
      </c>
      <c r="T1134" t="s">
        <v>37</v>
      </c>
      <c r="U1134" t="str">
        <f>IF(Table1[[#This Row],[YearsSince
LastPromotion]]&gt; 4, "Delayed", "Normal")</f>
        <v>Normal</v>
      </c>
      <c r="V1134" t="str">
        <f>IF(Table1[[#This Row],[Years
InCurrentRole]]&gt;4, "Role Stagnent", "Normal")</f>
        <v>Role Stagnent</v>
      </c>
      <c r="W1134" t="str">
        <f>IF(AND(Table1[[#This Row],[Years
InCurrentRole]]&gt; 4, Table1[[#This Row],[Performance
Rating]]&gt;=3), "High Risk", "Normal")</f>
        <v>High Risk</v>
      </c>
      <c r="X1134" t="str">
        <f>IF(Table1[[#This Row],[Performance
Rating]]&gt;=4, "High Performer", "Low Performer")</f>
        <v>Low Performer</v>
      </c>
    </row>
    <row r="1135" spans="2:24" x14ac:dyDescent="0.3">
      <c r="B1135" t="s">
        <v>27</v>
      </c>
      <c r="C1135" t="s">
        <v>20</v>
      </c>
      <c r="D1135">
        <v>1</v>
      </c>
      <c r="E1135" t="s">
        <v>21</v>
      </c>
      <c r="F1135">
        <v>3</v>
      </c>
      <c r="G1135" t="s">
        <v>32</v>
      </c>
      <c r="H1135">
        <v>1</v>
      </c>
      <c r="I1135">
        <v>7336</v>
      </c>
      <c r="J1135">
        <v>13</v>
      </c>
      <c r="K1135">
        <v>3</v>
      </c>
      <c r="L1135">
        <v>1</v>
      </c>
      <c r="M1135">
        <v>11</v>
      </c>
      <c r="N1135">
        <v>3</v>
      </c>
      <c r="O1135">
        <v>1</v>
      </c>
      <c r="P1135">
        <v>11</v>
      </c>
      <c r="Q1135">
        <v>8</v>
      </c>
      <c r="R1135">
        <v>3</v>
      </c>
      <c r="S1135" t="s">
        <v>23</v>
      </c>
      <c r="T1135" t="s">
        <v>37</v>
      </c>
      <c r="U1135" t="str">
        <f>IF(Table1[[#This Row],[YearsSince
LastPromotion]]&gt; 4, "Delayed", "Normal")</f>
        <v>Normal</v>
      </c>
      <c r="V1135" t="str">
        <f>IF(Table1[[#This Row],[Years
InCurrentRole]]&gt;4, "Role Stagnent", "Normal")</f>
        <v>Role Stagnent</v>
      </c>
      <c r="W1135" t="str">
        <f>IF(AND(Table1[[#This Row],[Years
InCurrentRole]]&gt; 4, Table1[[#This Row],[Performance
Rating]]&gt;=3), "High Risk", "Normal")</f>
        <v>High Risk</v>
      </c>
      <c r="X1135" t="str">
        <f>IF(Table1[[#This Row],[Performance
Rating]]&gt;=4, "High Performer", "Low Performer")</f>
        <v>Low Performer</v>
      </c>
    </row>
    <row r="1136" spans="2:24" x14ac:dyDescent="0.3">
      <c r="B1136" t="s">
        <v>19</v>
      </c>
      <c r="C1136" t="s">
        <v>25</v>
      </c>
      <c r="D1136">
        <v>1</v>
      </c>
      <c r="E1136" t="s">
        <v>28</v>
      </c>
      <c r="F1136">
        <v>1</v>
      </c>
      <c r="G1136" t="s">
        <v>29</v>
      </c>
      <c r="H1136">
        <v>3</v>
      </c>
      <c r="I1136">
        <v>2519</v>
      </c>
      <c r="J1136">
        <v>21</v>
      </c>
      <c r="K1136">
        <v>4</v>
      </c>
      <c r="L1136">
        <v>0</v>
      </c>
      <c r="M1136">
        <v>16</v>
      </c>
      <c r="N1136">
        <v>6</v>
      </c>
      <c r="O1136">
        <v>3</v>
      </c>
      <c r="P1136">
        <v>11</v>
      </c>
      <c r="Q1136">
        <v>8</v>
      </c>
      <c r="R1136">
        <v>3</v>
      </c>
      <c r="S1136" t="s">
        <v>34</v>
      </c>
      <c r="T1136" t="s">
        <v>37</v>
      </c>
      <c r="U1136" t="str">
        <f>IF(Table1[[#This Row],[YearsSince
LastPromotion]]&gt; 4, "Delayed", "Normal")</f>
        <v>Normal</v>
      </c>
      <c r="V1136" t="str">
        <f>IF(Table1[[#This Row],[Years
InCurrentRole]]&gt;4, "Role Stagnent", "Normal")</f>
        <v>Role Stagnent</v>
      </c>
      <c r="W1136" t="str">
        <f>IF(AND(Table1[[#This Row],[Years
InCurrentRole]]&gt; 4, Table1[[#This Row],[Performance
Rating]]&gt;=3), "High Risk", "Normal")</f>
        <v>High Risk</v>
      </c>
      <c r="X1136" t="str">
        <f>IF(Table1[[#This Row],[Performance
Rating]]&gt;=4, "High Performer", "Low Performer")</f>
        <v>High Performer</v>
      </c>
    </row>
    <row r="1137" spans="2:24" x14ac:dyDescent="0.3">
      <c r="B1137" t="s">
        <v>19</v>
      </c>
      <c r="C1137" t="s">
        <v>25</v>
      </c>
      <c r="D1137">
        <v>1</v>
      </c>
      <c r="E1137" t="s">
        <v>28</v>
      </c>
      <c r="F1137">
        <v>1</v>
      </c>
      <c r="G1137" t="s">
        <v>29</v>
      </c>
      <c r="H1137">
        <v>4</v>
      </c>
      <c r="I1137">
        <v>3812</v>
      </c>
      <c r="J1137">
        <v>13</v>
      </c>
      <c r="K1137">
        <v>3</v>
      </c>
      <c r="L1137">
        <v>0</v>
      </c>
      <c r="M1137">
        <v>11</v>
      </c>
      <c r="N1137">
        <v>3</v>
      </c>
      <c r="O1137">
        <v>4</v>
      </c>
      <c r="P1137">
        <v>11</v>
      </c>
      <c r="Q1137">
        <v>8</v>
      </c>
      <c r="R1137">
        <v>3</v>
      </c>
      <c r="S1137" t="s">
        <v>34</v>
      </c>
      <c r="T1137" t="s">
        <v>37</v>
      </c>
      <c r="U1137" t="str">
        <f>IF(Table1[[#This Row],[YearsSince
LastPromotion]]&gt; 4, "Delayed", "Normal")</f>
        <v>Normal</v>
      </c>
      <c r="V1137" t="str">
        <f>IF(Table1[[#This Row],[Years
InCurrentRole]]&gt;4, "Role Stagnent", "Normal")</f>
        <v>Role Stagnent</v>
      </c>
      <c r="W1137" t="str">
        <f>IF(AND(Table1[[#This Row],[Years
InCurrentRole]]&gt; 4, Table1[[#This Row],[Performance
Rating]]&gt;=3), "High Risk", "Normal")</f>
        <v>High Risk</v>
      </c>
      <c r="X1137" t="str">
        <f>IF(Table1[[#This Row],[Performance
Rating]]&gt;=4, "High Performer", "Low Performer")</f>
        <v>Low Performer</v>
      </c>
    </row>
    <row r="1138" spans="2:24" x14ac:dyDescent="0.3">
      <c r="B1138" t="s">
        <v>19</v>
      </c>
      <c r="C1138" t="s">
        <v>25</v>
      </c>
      <c r="D1138">
        <v>1</v>
      </c>
      <c r="E1138" t="s">
        <v>21</v>
      </c>
      <c r="F1138">
        <v>2</v>
      </c>
      <c r="G1138" t="s">
        <v>29</v>
      </c>
      <c r="H1138">
        <v>4</v>
      </c>
      <c r="I1138">
        <v>4011</v>
      </c>
      <c r="J1138">
        <v>23</v>
      </c>
      <c r="K1138">
        <v>4</v>
      </c>
      <c r="L1138">
        <v>0</v>
      </c>
      <c r="M1138">
        <v>12</v>
      </c>
      <c r="N1138">
        <v>2</v>
      </c>
      <c r="O1138">
        <v>3</v>
      </c>
      <c r="P1138">
        <v>12</v>
      </c>
      <c r="Q1138">
        <v>8</v>
      </c>
      <c r="R1138">
        <v>3</v>
      </c>
      <c r="S1138" t="s">
        <v>34</v>
      </c>
      <c r="T1138" t="s">
        <v>37</v>
      </c>
      <c r="U1138" t="str">
        <f>IF(Table1[[#This Row],[YearsSince
LastPromotion]]&gt; 4, "Delayed", "Normal")</f>
        <v>Normal</v>
      </c>
      <c r="V1138" t="str">
        <f>IF(Table1[[#This Row],[Years
InCurrentRole]]&gt;4, "Role Stagnent", "Normal")</f>
        <v>Role Stagnent</v>
      </c>
      <c r="W1138" t="str">
        <f>IF(AND(Table1[[#This Row],[Years
InCurrentRole]]&gt; 4, Table1[[#This Row],[Performance
Rating]]&gt;=3), "High Risk", "Normal")</f>
        <v>High Risk</v>
      </c>
      <c r="X1138" t="str">
        <f>IF(Table1[[#This Row],[Performance
Rating]]&gt;=4, "High Performer", "Low Performer")</f>
        <v>High Performer</v>
      </c>
    </row>
    <row r="1139" spans="2:24" x14ac:dyDescent="0.3">
      <c r="B1139" t="s">
        <v>19</v>
      </c>
      <c r="C1139" t="s">
        <v>25</v>
      </c>
      <c r="D1139">
        <v>1</v>
      </c>
      <c r="E1139" t="s">
        <v>21</v>
      </c>
      <c r="F1139">
        <v>2</v>
      </c>
      <c r="G1139" t="s">
        <v>33</v>
      </c>
      <c r="H1139">
        <v>4</v>
      </c>
      <c r="I1139">
        <v>6474</v>
      </c>
      <c r="J1139">
        <v>13</v>
      </c>
      <c r="K1139">
        <v>3</v>
      </c>
      <c r="L1139">
        <v>1</v>
      </c>
      <c r="M1139">
        <v>14</v>
      </c>
      <c r="N1139">
        <v>2</v>
      </c>
      <c r="O1139">
        <v>2</v>
      </c>
      <c r="P1139">
        <v>14</v>
      </c>
      <c r="Q1139">
        <v>8</v>
      </c>
      <c r="R1139">
        <v>3</v>
      </c>
      <c r="S1139" t="s">
        <v>23</v>
      </c>
      <c r="T1139" t="s">
        <v>37</v>
      </c>
      <c r="U1139" t="str">
        <f>IF(Table1[[#This Row],[YearsSince
LastPromotion]]&gt; 4, "Delayed", "Normal")</f>
        <v>Normal</v>
      </c>
      <c r="V1139" t="str">
        <f>IF(Table1[[#This Row],[Years
InCurrentRole]]&gt;4, "Role Stagnent", "Normal")</f>
        <v>Role Stagnent</v>
      </c>
      <c r="W1139" t="str">
        <f>IF(AND(Table1[[#This Row],[Years
InCurrentRole]]&gt; 4, Table1[[#This Row],[Performance
Rating]]&gt;=3), "High Risk", "Normal")</f>
        <v>High Risk</v>
      </c>
      <c r="X1139" t="str">
        <f>IF(Table1[[#This Row],[Performance
Rating]]&gt;=4, "High Performer", "Low Performer")</f>
        <v>Low Performer</v>
      </c>
    </row>
    <row r="1140" spans="2:24" x14ac:dyDescent="0.3">
      <c r="B1140" t="s">
        <v>19</v>
      </c>
      <c r="C1140" t="s">
        <v>25</v>
      </c>
      <c r="D1140">
        <v>1</v>
      </c>
      <c r="E1140" t="s">
        <v>28</v>
      </c>
      <c r="F1140">
        <v>1</v>
      </c>
      <c r="G1140" t="s">
        <v>29</v>
      </c>
      <c r="H1140">
        <v>3</v>
      </c>
      <c r="I1140">
        <v>3221</v>
      </c>
      <c r="J1140">
        <v>11</v>
      </c>
      <c r="K1140">
        <v>3</v>
      </c>
      <c r="L1140">
        <v>3</v>
      </c>
      <c r="M1140">
        <v>20</v>
      </c>
      <c r="N1140">
        <v>3</v>
      </c>
      <c r="O1140">
        <v>3</v>
      </c>
      <c r="P1140">
        <v>20</v>
      </c>
      <c r="Q1140">
        <v>8</v>
      </c>
      <c r="R1140">
        <v>3</v>
      </c>
      <c r="S1140" t="s">
        <v>34</v>
      </c>
      <c r="T1140" t="s">
        <v>37</v>
      </c>
      <c r="U1140" t="str">
        <f>IF(Table1[[#This Row],[YearsSince
LastPromotion]]&gt; 4, "Delayed", "Normal")</f>
        <v>Normal</v>
      </c>
      <c r="V1140" t="str">
        <f>IF(Table1[[#This Row],[Years
InCurrentRole]]&gt;4, "Role Stagnent", "Normal")</f>
        <v>Role Stagnent</v>
      </c>
      <c r="W1140" t="str">
        <f>IF(AND(Table1[[#This Row],[Years
InCurrentRole]]&gt; 4, Table1[[#This Row],[Performance
Rating]]&gt;=3), "High Risk", "Normal")</f>
        <v>High Risk</v>
      </c>
      <c r="X1140" t="str">
        <f>IF(Table1[[#This Row],[Performance
Rating]]&gt;=4, "High Performer", "Low Performer")</f>
        <v>Low Performer</v>
      </c>
    </row>
    <row r="1141" spans="2:24" x14ac:dyDescent="0.3">
      <c r="B1141" t="s">
        <v>19</v>
      </c>
      <c r="C1141" t="s">
        <v>20</v>
      </c>
      <c r="D1141">
        <v>1</v>
      </c>
      <c r="E1141" t="s">
        <v>21</v>
      </c>
      <c r="F1141">
        <v>4</v>
      </c>
      <c r="G1141" t="s">
        <v>22</v>
      </c>
      <c r="H1141">
        <v>4</v>
      </c>
      <c r="I1141">
        <v>15427</v>
      </c>
      <c r="J1141">
        <v>16</v>
      </c>
      <c r="K1141">
        <v>3</v>
      </c>
      <c r="L1141">
        <v>0</v>
      </c>
      <c r="M1141">
        <v>31</v>
      </c>
      <c r="N1141">
        <v>3</v>
      </c>
      <c r="O1141">
        <v>3</v>
      </c>
      <c r="P1141">
        <v>25</v>
      </c>
      <c r="Q1141">
        <v>8</v>
      </c>
      <c r="R1141">
        <v>3</v>
      </c>
      <c r="S1141" t="s">
        <v>34</v>
      </c>
      <c r="T1141" t="s">
        <v>37</v>
      </c>
      <c r="U1141" t="str">
        <f>IF(Table1[[#This Row],[YearsSince
LastPromotion]]&gt; 4, "Delayed", "Normal")</f>
        <v>Normal</v>
      </c>
      <c r="V1141" t="str">
        <f>IF(Table1[[#This Row],[Years
InCurrentRole]]&gt;4, "Role Stagnent", "Normal")</f>
        <v>Role Stagnent</v>
      </c>
      <c r="W1141" t="str">
        <f>IF(AND(Table1[[#This Row],[Years
InCurrentRole]]&gt; 4, Table1[[#This Row],[Performance
Rating]]&gt;=3), "High Risk", "Normal")</f>
        <v>High Risk</v>
      </c>
      <c r="X1141" t="str">
        <f>IF(Table1[[#This Row],[Performance
Rating]]&gt;=4, "High Performer", "Low Performer")</f>
        <v>Low Performer</v>
      </c>
    </row>
    <row r="1142" spans="2:24" x14ac:dyDescent="0.3">
      <c r="B1142" t="s">
        <v>19</v>
      </c>
      <c r="C1142" t="s">
        <v>25</v>
      </c>
      <c r="D1142">
        <v>1</v>
      </c>
      <c r="E1142" t="s">
        <v>21</v>
      </c>
      <c r="F1142">
        <v>4</v>
      </c>
      <c r="G1142" t="s">
        <v>35</v>
      </c>
      <c r="H1142">
        <v>4</v>
      </c>
      <c r="I1142">
        <v>14275</v>
      </c>
      <c r="J1142">
        <v>18</v>
      </c>
      <c r="K1142">
        <v>3</v>
      </c>
      <c r="L1142">
        <v>0</v>
      </c>
      <c r="M1142">
        <v>33</v>
      </c>
      <c r="N1142">
        <v>0</v>
      </c>
      <c r="O1142">
        <v>3</v>
      </c>
      <c r="P1142">
        <v>12</v>
      </c>
      <c r="Q1142">
        <v>9</v>
      </c>
      <c r="R1142">
        <v>3</v>
      </c>
      <c r="S1142" t="s">
        <v>34</v>
      </c>
      <c r="T1142" t="s">
        <v>37</v>
      </c>
      <c r="U1142" t="str">
        <f>IF(Table1[[#This Row],[YearsSince
LastPromotion]]&gt; 4, "Delayed", "Normal")</f>
        <v>Normal</v>
      </c>
      <c r="V1142" t="str">
        <f>IF(Table1[[#This Row],[Years
InCurrentRole]]&gt;4, "Role Stagnent", "Normal")</f>
        <v>Role Stagnent</v>
      </c>
      <c r="W1142" t="str">
        <f>IF(AND(Table1[[#This Row],[Years
InCurrentRole]]&gt; 4, Table1[[#This Row],[Performance
Rating]]&gt;=3), "High Risk", "Normal")</f>
        <v>High Risk</v>
      </c>
      <c r="X1142" t="str">
        <f>IF(Table1[[#This Row],[Performance
Rating]]&gt;=4, "High Performer", "Low Performer")</f>
        <v>Low Performer</v>
      </c>
    </row>
    <row r="1143" spans="2:24" x14ac:dyDescent="0.3">
      <c r="B1143" t="s">
        <v>19</v>
      </c>
      <c r="C1143" t="s">
        <v>20</v>
      </c>
      <c r="D1143">
        <v>1</v>
      </c>
      <c r="E1143" t="s">
        <v>28</v>
      </c>
      <c r="F1143">
        <v>2</v>
      </c>
      <c r="G1143" t="s">
        <v>32</v>
      </c>
      <c r="H1143">
        <v>1</v>
      </c>
      <c r="I1143">
        <v>4759</v>
      </c>
      <c r="J1143">
        <v>18</v>
      </c>
      <c r="K1143">
        <v>3</v>
      </c>
      <c r="L1143">
        <v>0</v>
      </c>
      <c r="M1143">
        <v>15</v>
      </c>
      <c r="N1143">
        <v>2</v>
      </c>
      <c r="O1143">
        <v>3</v>
      </c>
      <c r="P1143">
        <v>13</v>
      </c>
      <c r="Q1143">
        <v>9</v>
      </c>
      <c r="R1143">
        <v>3</v>
      </c>
      <c r="S1143" t="s">
        <v>34</v>
      </c>
      <c r="T1143" t="s">
        <v>37</v>
      </c>
      <c r="U1143" t="str">
        <f>IF(Table1[[#This Row],[YearsSince
LastPromotion]]&gt; 4, "Delayed", "Normal")</f>
        <v>Normal</v>
      </c>
      <c r="V1143" t="str">
        <f>IF(Table1[[#This Row],[Years
InCurrentRole]]&gt;4, "Role Stagnent", "Normal")</f>
        <v>Role Stagnent</v>
      </c>
      <c r="W1143" t="str">
        <f>IF(AND(Table1[[#This Row],[Years
InCurrentRole]]&gt; 4, Table1[[#This Row],[Performance
Rating]]&gt;=3), "High Risk", "Normal")</f>
        <v>High Risk</v>
      </c>
      <c r="X1143" t="str">
        <f>IF(Table1[[#This Row],[Performance
Rating]]&gt;=4, "High Performer", "Low Performer")</f>
        <v>Low Performer</v>
      </c>
    </row>
    <row r="1144" spans="2:24" x14ac:dyDescent="0.3">
      <c r="B1144" t="s">
        <v>19</v>
      </c>
      <c r="C1144" t="s">
        <v>25</v>
      </c>
      <c r="D1144">
        <v>1</v>
      </c>
      <c r="E1144" t="s">
        <v>28</v>
      </c>
      <c r="F1144">
        <v>3</v>
      </c>
      <c r="G1144" t="s">
        <v>35</v>
      </c>
      <c r="H1144">
        <v>3</v>
      </c>
      <c r="I1144">
        <v>11691</v>
      </c>
      <c r="J1144">
        <v>11</v>
      </c>
      <c r="K1144">
        <v>3</v>
      </c>
      <c r="L1144">
        <v>0</v>
      </c>
      <c r="M1144">
        <v>14</v>
      </c>
      <c r="N1144">
        <v>3</v>
      </c>
      <c r="O1144">
        <v>4</v>
      </c>
      <c r="P1144">
        <v>13</v>
      </c>
      <c r="Q1144">
        <v>9</v>
      </c>
      <c r="R1144">
        <v>3</v>
      </c>
      <c r="S1144" t="s">
        <v>34</v>
      </c>
      <c r="T1144" t="s">
        <v>37</v>
      </c>
      <c r="U1144" t="str">
        <f>IF(Table1[[#This Row],[YearsSince
LastPromotion]]&gt; 4, "Delayed", "Normal")</f>
        <v>Normal</v>
      </c>
      <c r="V1144" t="str">
        <f>IF(Table1[[#This Row],[Years
InCurrentRole]]&gt;4, "Role Stagnent", "Normal")</f>
        <v>Role Stagnent</v>
      </c>
      <c r="W1144" t="str">
        <f>IF(AND(Table1[[#This Row],[Years
InCurrentRole]]&gt; 4, Table1[[#This Row],[Performance
Rating]]&gt;=3), "High Risk", "Normal")</f>
        <v>High Risk</v>
      </c>
      <c r="X1144" t="str">
        <f>IF(Table1[[#This Row],[Performance
Rating]]&gt;=4, "High Performer", "Low Performer")</f>
        <v>Low Performer</v>
      </c>
    </row>
    <row r="1145" spans="2:24" x14ac:dyDescent="0.3">
      <c r="B1145" t="s">
        <v>19</v>
      </c>
      <c r="C1145" t="s">
        <v>25</v>
      </c>
      <c r="D1145">
        <v>1</v>
      </c>
      <c r="E1145" t="s">
        <v>28</v>
      </c>
      <c r="F1145">
        <v>2</v>
      </c>
      <c r="G1145" t="s">
        <v>26</v>
      </c>
      <c r="H1145">
        <v>3</v>
      </c>
      <c r="I1145">
        <v>4332</v>
      </c>
      <c r="J1145">
        <v>12</v>
      </c>
      <c r="K1145">
        <v>3</v>
      </c>
      <c r="L1145">
        <v>0</v>
      </c>
      <c r="M1145">
        <v>20</v>
      </c>
      <c r="N1145">
        <v>2</v>
      </c>
      <c r="O1145">
        <v>3</v>
      </c>
      <c r="P1145">
        <v>20</v>
      </c>
      <c r="Q1145">
        <v>9</v>
      </c>
      <c r="R1145">
        <v>3</v>
      </c>
      <c r="S1145" t="s">
        <v>34</v>
      </c>
      <c r="T1145" t="s">
        <v>37</v>
      </c>
      <c r="U1145" t="str">
        <f>IF(Table1[[#This Row],[YearsSince
LastPromotion]]&gt; 4, "Delayed", "Normal")</f>
        <v>Normal</v>
      </c>
      <c r="V1145" t="str">
        <f>IF(Table1[[#This Row],[Years
InCurrentRole]]&gt;4, "Role Stagnent", "Normal")</f>
        <v>Role Stagnent</v>
      </c>
      <c r="W1145" t="str">
        <f>IF(AND(Table1[[#This Row],[Years
InCurrentRole]]&gt; 4, Table1[[#This Row],[Performance
Rating]]&gt;=3), "High Risk", "Normal")</f>
        <v>High Risk</v>
      </c>
      <c r="X1145" t="str">
        <f>IF(Table1[[#This Row],[Performance
Rating]]&gt;=4, "High Performer", "Low Performer")</f>
        <v>Low Performer</v>
      </c>
    </row>
    <row r="1146" spans="2:24" x14ac:dyDescent="0.3">
      <c r="B1146" t="s">
        <v>19</v>
      </c>
      <c r="C1146" t="s">
        <v>20</v>
      </c>
      <c r="D1146">
        <v>1</v>
      </c>
      <c r="E1146" t="s">
        <v>28</v>
      </c>
      <c r="F1146">
        <v>5</v>
      </c>
      <c r="G1146" t="s">
        <v>22</v>
      </c>
      <c r="H1146">
        <v>2</v>
      </c>
      <c r="I1146">
        <v>18213</v>
      </c>
      <c r="J1146">
        <v>11</v>
      </c>
      <c r="K1146">
        <v>3</v>
      </c>
      <c r="L1146">
        <v>1</v>
      </c>
      <c r="M1146">
        <v>26</v>
      </c>
      <c r="N1146">
        <v>5</v>
      </c>
      <c r="O1146">
        <v>3</v>
      </c>
      <c r="P1146">
        <v>22</v>
      </c>
      <c r="Q1146">
        <v>9</v>
      </c>
      <c r="R1146">
        <v>3</v>
      </c>
      <c r="S1146" t="s">
        <v>34</v>
      </c>
      <c r="T1146" t="s">
        <v>37</v>
      </c>
      <c r="U1146" t="str">
        <f>IF(Table1[[#This Row],[YearsSince
LastPromotion]]&gt; 4, "Delayed", "Normal")</f>
        <v>Normal</v>
      </c>
      <c r="V1146" t="str">
        <f>IF(Table1[[#This Row],[Years
InCurrentRole]]&gt;4, "Role Stagnent", "Normal")</f>
        <v>Role Stagnent</v>
      </c>
      <c r="W1146" t="str">
        <f>IF(AND(Table1[[#This Row],[Years
InCurrentRole]]&gt; 4, Table1[[#This Row],[Performance
Rating]]&gt;=3), "High Risk", "Normal")</f>
        <v>High Risk</v>
      </c>
      <c r="X1146" t="str">
        <f>IF(Table1[[#This Row],[Performance
Rating]]&gt;=4, "High Performer", "Low Performer")</f>
        <v>Low Performer</v>
      </c>
    </row>
    <row r="1147" spans="2:24" x14ac:dyDescent="0.3">
      <c r="B1147" t="s">
        <v>19</v>
      </c>
      <c r="C1147" t="s">
        <v>36</v>
      </c>
      <c r="D1147">
        <v>1</v>
      </c>
      <c r="E1147" t="s">
        <v>28</v>
      </c>
      <c r="F1147">
        <v>1</v>
      </c>
      <c r="G1147" t="s">
        <v>36</v>
      </c>
      <c r="H1147">
        <v>2</v>
      </c>
      <c r="I1147">
        <v>2592</v>
      </c>
      <c r="J1147">
        <v>13</v>
      </c>
      <c r="K1147">
        <v>3</v>
      </c>
      <c r="L1147">
        <v>3</v>
      </c>
      <c r="M1147">
        <v>13</v>
      </c>
      <c r="N1147">
        <v>3</v>
      </c>
      <c r="O1147">
        <v>3</v>
      </c>
      <c r="P1147">
        <v>11</v>
      </c>
      <c r="Q1147">
        <v>10</v>
      </c>
      <c r="R1147">
        <v>3</v>
      </c>
      <c r="S1147" t="s">
        <v>34</v>
      </c>
      <c r="T1147" t="s">
        <v>37</v>
      </c>
      <c r="U1147" t="str">
        <f>IF(Table1[[#This Row],[YearsSince
LastPromotion]]&gt; 4, "Delayed", "Normal")</f>
        <v>Normal</v>
      </c>
      <c r="V1147" t="str">
        <f>IF(Table1[[#This Row],[Years
InCurrentRole]]&gt;4, "Role Stagnent", "Normal")</f>
        <v>Role Stagnent</v>
      </c>
      <c r="W1147" t="str">
        <f>IF(AND(Table1[[#This Row],[Years
InCurrentRole]]&gt; 4, Table1[[#This Row],[Performance
Rating]]&gt;=3), "High Risk", "Normal")</f>
        <v>High Risk</v>
      </c>
      <c r="X1147" t="str">
        <f>IF(Table1[[#This Row],[Performance
Rating]]&gt;=4, "High Performer", "Low Performer")</f>
        <v>Low Performer</v>
      </c>
    </row>
    <row r="1148" spans="2:24" x14ac:dyDescent="0.3">
      <c r="B1148" t="s">
        <v>19</v>
      </c>
      <c r="C1148" t="s">
        <v>25</v>
      </c>
      <c r="D1148">
        <v>1</v>
      </c>
      <c r="E1148" t="s">
        <v>21</v>
      </c>
      <c r="F1148">
        <v>2</v>
      </c>
      <c r="G1148" t="s">
        <v>33</v>
      </c>
      <c r="H1148">
        <v>1</v>
      </c>
      <c r="I1148">
        <v>4306</v>
      </c>
      <c r="J1148">
        <v>12</v>
      </c>
      <c r="K1148">
        <v>3</v>
      </c>
      <c r="L1148">
        <v>1</v>
      </c>
      <c r="M1148">
        <v>13</v>
      </c>
      <c r="N1148">
        <v>5</v>
      </c>
      <c r="O1148">
        <v>1</v>
      </c>
      <c r="P1148">
        <v>13</v>
      </c>
      <c r="Q1148">
        <v>10</v>
      </c>
      <c r="R1148">
        <v>3</v>
      </c>
      <c r="S1148" t="s">
        <v>23</v>
      </c>
      <c r="T1148" t="s">
        <v>37</v>
      </c>
      <c r="U1148" t="str">
        <f>IF(Table1[[#This Row],[YearsSince
LastPromotion]]&gt; 4, "Delayed", "Normal")</f>
        <v>Normal</v>
      </c>
      <c r="V1148" t="str">
        <f>IF(Table1[[#This Row],[Years
InCurrentRole]]&gt;4, "Role Stagnent", "Normal")</f>
        <v>Role Stagnent</v>
      </c>
      <c r="W1148" t="str">
        <f>IF(AND(Table1[[#This Row],[Years
InCurrentRole]]&gt; 4, Table1[[#This Row],[Performance
Rating]]&gt;=3), "High Risk", "Normal")</f>
        <v>High Risk</v>
      </c>
      <c r="X1148" t="str">
        <f>IF(Table1[[#This Row],[Performance
Rating]]&gt;=4, "High Performer", "Low Performer")</f>
        <v>Low Performer</v>
      </c>
    </row>
    <row r="1149" spans="2:24" x14ac:dyDescent="0.3">
      <c r="B1149" t="s">
        <v>19</v>
      </c>
      <c r="C1149" t="s">
        <v>25</v>
      </c>
      <c r="D1149">
        <v>1</v>
      </c>
      <c r="E1149" t="s">
        <v>28</v>
      </c>
      <c r="F1149">
        <v>3</v>
      </c>
      <c r="G1149" t="s">
        <v>31</v>
      </c>
      <c r="H1149">
        <v>4</v>
      </c>
      <c r="I1149">
        <v>9613</v>
      </c>
      <c r="J1149">
        <v>17</v>
      </c>
      <c r="K1149">
        <v>3</v>
      </c>
      <c r="L1149">
        <v>3</v>
      </c>
      <c r="M1149">
        <v>19</v>
      </c>
      <c r="N1149">
        <v>5</v>
      </c>
      <c r="O1149">
        <v>2</v>
      </c>
      <c r="P1149">
        <v>18</v>
      </c>
      <c r="Q1149">
        <v>10</v>
      </c>
      <c r="R1149">
        <v>3</v>
      </c>
      <c r="S1149" t="s">
        <v>23</v>
      </c>
      <c r="T1149" t="s">
        <v>37</v>
      </c>
      <c r="U1149" t="str">
        <f>IF(Table1[[#This Row],[YearsSince
LastPromotion]]&gt; 4, "Delayed", "Normal")</f>
        <v>Normal</v>
      </c>
      <c r="V1149" t="str">
        <f>IF(Table1[[#This Row],[Years
InCurrentRole]]&gt;4, "Role Stagnent", "Normal")</f>
        <v>Role Stagnent</v>
      </c>
      <c r="W1149" t="str">
        <f>IF(AND(Table1[[#This Row],[Years
InCurrentRole]]&gt; 4, Table1[[#This Row],[Performance
Rating]]&gt;=3), "High Risk", "Normal")</f>
        <v>High Risk</v>
      </c>
      <c r="X1149" t="str">
        <f>IF(Table1[[#This Row],[Performance
Rating]]&gt;=4, "High Performer", "Low Performer")</f>
        <v>Low Performer</v>
      </c>
    </row>
    <row r="1150" spans="2:24" x14ac:dyDescent="0.3">
      <c r="B1150" t="s">
        <v>19</v>
      </c>
      <c r="C1150" t="s">
        <v>25</v>
      </c>
      <c r="D1150">
        <v>1</v>
      </c>
      <c r="E1150" t="s">
        <v>28</v>
      </c>
      <c r="F1150">
        <v>4</v>
      </c>
      <c r="G1150" t="s">
        <v>35</v>
      </c>
      <c r="H1150">
        <v>2</v>
      </c>
      <c r="I1150">
        <v>14336</v>
      </c>
      <c r="J1150">
        <v>11</v>
      </c>
      <c r="K1150">
        <v>3</v>
      </c>
      <c r="L1150">
        <v>1</v>
      </c>
      <c r="M1150">
        <v>25</v>
      </c>
      <c r="N1150">
        <v>3</v>
      </c>
      <c r="O1150">
        <v>3</v>
      </c>
      <c r="P1150">
        <v>25</v>
      </c>
      <c r="Q1150">
        <v>10</v>
      </c>
      <c r="R1150">
        <v>3</v>
      </c>
      <c r="S1150" t="s">
        <v>34</v>
      </c>
      <c r="T1150" t="s">
        <v>37</v>
      </c>
      <c r="U1150" t="str">
        <f>IF(Table1[[#This Row],[YearsSince
LastPromotion]]&gt; 4, "Delayed", "Normal")</f>
        <v>Normal</v>
      </c>
      <c r="V1150" t="str">
        <f>IF(Table1[[#This Row],[Years
InCurrentRole]]&gt;4, "Role Stagnent", "Normal")</f>
        <v>Role Stagnent</v>
      </c>
      <c r="W1150" t="str">
        <f>IF(AND(Table1[[#This Row],[Years
InCurrentRole]]&gt; 4, Table1[[#This Row],[Performance
Rating]]&gt;=3), "High Risk", "Normal")</f>
        <v>High Risk</v>
      </c>
      <c r="X1150" t="str">
        <f>IF(Table1[[#This Row],[Performance
Rating]]&gt;=4, "High Performer", "Low Performer")</f>
        <v>Low Performer</v>
      </c>
    </row>
    <row r="1151" spans="2:24" x14ac:dyDescent="0.3">
      <c r="B1151" t="s">
        <v>19</v>
      </c>
      <c r="C1151" t="s">
        <v>25</v>
      </c>
      <c r="D1151">
        <v>1</v>
      </c>
      <c r="E1151" t="s">
        <v>28</v>
      </c>
      <c r="F1151">
        <v>2</v>
      </c>
      <c r="G1151" t="s">
        <v>29</v>
      </c>
      <c r="H1151">
        <v>2</v>
      </c>
      <c r="I1151">
        <v>5914</v>
      </c>
      <c r="J1151">
        <v>16</v>
      </c>
      <c r="K1151">
        <v>3</v>
      </c>
      <c r="L1151">
        <v>0</v>
      </c>
      <c r="M1151">
        <v>16</v>
      </c>
      <c r="N1151">
        <v>3</v>
      </c>
      <c r="O1151">
        <v>4</v>
      </c>
      <c r="P1151">
        <v>13</v>
      </c>
      <c r="Q1151">
        <v>11</v>
      </c>
      <c r="R1151">
        <v>3</v>
      </c>
      <c r="S1151" t="s">
        <v>34</v>
      </c>
      <c r="T1151" t="s">
        <v>37</v>
      </c>
      <c r="U1151" t="str">
        <f>IF(Table1[[#This Row],[YearsSince
LastPromotion]]&gt; 4, "Delayed", "Normal")</f>
        <v>Normal</v>
      </c>
      <c r="V1151" t="str">
        <f>IF(Table1[[#This Row],[Years
InCurrentRole]]&gt;4, "Role Stagnent", "Normal")</f>
        <v>Role Stagnent</v>
      </c>
      <c r="W1151" t="str">
        <f>IF(AND(Table1[[#This Row],[Years
InCurrentRole]]&gt; 4, Table1[[#This Row],[Performance
Rating]]&gt;=3), "High Risk", "Normal")</f>
        <v>High Risk</v>
      </c>
      <c r="X1151" t="str">
        <f>IF(Table1[[#This Row],[Performance
Rating]]&gt;=4, "High Performer", "Low Performer")</f>
        <v>Low Performer</v>
      </c>
    </row>
    <row r="1152" spans="2:24" x14ac:dyDescent="0.3">
      <c r="B1152" t="s">
        <v>19</v>
      </c>
      <c r="C1152" t="s">
        <v>25</v>
      </c>
      <c r="D1152">
        <v>1</v>
      </c>
      <c r="E1152" t="s">
        <v>21</v>
      </c>
      <c r="F1152">
        <v>4</v>
      </c>
      <c r="G1152" t="s">
        <v>22</v>
      </c>
      <c r="H1152">
        <v>4</v>
      </c>
      <c r="I1152">
        <v>16752</v>
      </c>
      <c r="J1152">
        <v>11</v>
      </c>
      <c r="K1152">
        <v>3</v>
      </c>
      <c r="L1152">
        <v>1</v>
      </c>
      <c r="M1152">
        <v>26</v>
      </c>
      <c r="N1152">
        <v>3</v>
      </c>
      <c r="O1152">
        <v>2</v>
      </c>
      <c r="P1152">
        <v>26</v>
      </c>
      <c r="Q1152">
        <v>14</v>
      </c>
      <c r="R1152">
        <v>3</v>
      </c>
      <c r="S1152" t="s">
        <v>23</v>
      </c>
      <c r="T1152" t="s">
        <v>37</v>
      </c>
      <c r="U1152" t="str">
        <f>IF(Table1[[#This Row],[YearsSince
LastPromotion]]&gt; 4, "Delayed", "Normal")</f>
        <v>Normal</v>
      </c>
      <c r="V1152" t="str">
        <f>IF(Table1[[#This Row],[Years
InCurrentRole]]&gt;4, "Role Stagnent", "Normal")</f>
        <v>Role Stagnent</v>
      </c>
      <c r="W1152" t="str">
        <f>IF(AND(Table1[[#This Row],[Years
InCurrentRole]]&gt; 4, Table1[[#This Row],[Performance
Rating]]&gt;=3), "High Risk", "Normal")</f>
        <v>High Risk</v>
      </c>
      <c r="X1152" t="str">
        <f>IF(Table1[[#This Row],[Performance
Rating]]&gt;=4, "High Performer", "Low Performer")</f>
        <v>Low Performer</v>
      </c>
    </row>
    <row r="1153" spans="2:24" x14ac:dyDescent="0.3">
      <c r="B1153" t="s">
        <v>19</v>
      </c>
      <c r="C1153" t="s">
        <v>36</v>
      </c>
      <c r="D1153">
        <v>1</v>
      </c>
      <c r="E1153" t="s">
        <v>28</v>
      </c>
      <c r="F1153">
        <v>2</v>
      </c>
      <c r="G1153" t="s">
        <v>36</v>
      </c>
      <c r="H1153">
        <v>2</v>
      </c>
      <c r="I1153">
        <v>4071</v>
      </c>
      <c r="J1153">
        <v>13</v>
      </c>
      <c r="K1153">
        <v>3</v>
      </c>
      <c r="L1153">
        <v>0</v>
      </c>
      <c r="M1153">
        <v>19</v>
      </c>
      <c r="N1153">
        <v>4</v>
      </c>
      <c r="O1153">
        <v>2</v>
      </c>
      <c r="P1153">
        <v>10</v>
      </c>
      <c r="Q1153">
        <v>0</v>
      </c>
      <c r="R1153">
        <v>4</v>
      </c>
      <c r="S1153" t="s">
        <v>23</v>
      </c>
      <c r="T1153" t="s">
        <v>37</v>
      </c>
      <c r="U1153" t="str">
        <f>IF(Table1[[#This Row],[YearsSince
LastPromotion]]&gt; 4, "Delayed", "Normal")</f>
        <v>Normal</v>
      </c>
      <c r="V1153" t="str">
        <f>IF(Table1[[#This Row],[Years
InCurrentRole]]&gt;4, "Role Stagnent", "Normal")</f>
        <v>Normal</v>
      </c>
      <c r="W1153" t="str">
        <f>IF(AND(Table1[[#This Row],[Years
InCurrentRole]]&gt; 4, Table1[[#This Row],[Performance
Rating]]&gt;=3), "High Risk", "Normal")</f>
        <v>Normal</v>
      </c>
      <c r="X1153" t="str">
        <f>IF(Table1[[#This Row],[Performance
Rating]]&gt;=4, "High Performer", "Low Performer")</f>
        <v>Low Performer</v>
      </c>
    </row>
    <row r="1154" spans="2:24" x14ac:dyDescent="0.3">
      <c r="B1154" t="s">
        <v>19</v>
      </c>
      <c r="C1154" t="s">
        <v>25</v>
      </c>
      <c r="D1154">
        <v>1</v>
      </c>
      <c r="E1154" t="s">
        <v>21</v>
      </c>
      <c r="F1154">
        <v>2</v>
      </c>
      <c r="G1154" t="s">
        <v>31</v>
      </c>
      <c r="H1154">
        <v>3</v>
      </c>
      <c r="I1154">
        <v>6142</v>
      </c>
      <c r="J1154">
        <v>11</v>
      </c>
      <c r="K1154">
        <v>3</v>
      </c>
      <c r="L1154">
        <v>0</v>
      </c>
      <c r="M1154">
        <v>10</v>
      </c>
      <c r="N1154">
        <v>2</v>
      </c>
      <c r="O1154">
        <v>3</v>
      </c>
      <c r="P1154">
        <v>5</v>
      </c>
      <c r="Q1154">
        <v>1</v>
      </c>
      <c r="R1154">
        <v>4</v>
      </c>
      <c r="S1154" t="s">
        <v>34</v>
      </c>
      <c r="T1154" t="s">
        <v>37</v>
      </c>
      <c r="U1154" t="str">
        <f>IF(Table1[[#This Row],[YearsSince
LastPromotion]]&gt; 4, "Delayed", "Normal")</f>
        <v>Normal</v>
      </c>
      <c r="V1154" t="str">
        <f>IF(Table1[[#This Row],[Years
InCurrentRole]]&gt;4, "Role Stagnent", "Normal")</f>
        <v>Normal</v>
      </c>
      <c r="W1154" t="str">
        <f>IF(AND(Table1[[#This Row],[Years
InCurrentRole]]&gt; 4, Table1[[#This Row],[Performance
Rating]]&gt;=3), "High Risk", "Normal")</f>
        <v>Normal</v>
      </c>
      <c r="X1154" t="str">
        <f>IF(Table1[[#This Row],[Performance
Rating]]&gt;=4, "High Performer", "Low Performer")</f>
        <v>Low Performer</v>
      </c>
    </row>
    <row r="1155" spans="2:24" x14ac:dyDescent="0.3">
      <c r="B1155" t="s">
        <v>19</v>
      </c>
      <c r="C1155" t="s">
        <v>25</v>
      </c>
      <c r="D1155">
        <v>1</v>
      </c>
      <c r="E1155" t="s">
        <v>28</v>
      </c>
      <c r="F1155">
        <v>1</v>
      </c>
      <c r="G1155" t="s">
        <v>26</v>
      </c>
      <c r="H1155">
        <v>3</v>
      </c>
      <c r="I1155">
        <v>2911</v>
      </c>
      <c r="J1155">
        <v>17</v>
      </c>
      <c r="K1155">
        <v>3</v>
      </c>
      <c r="L1155">
        <v>1</v>
      </c>
      <c r="M1155">
        <v>5</v>
      </c>
      <c r="N1155">
        <v>1</v>
      </c>
      <c r="O1155">
        <v>2</v>
      </c>
      <c r="P1155">
        <v>5</v>
      </c>
      <c r="Q1155">
        <v>2</v>
      </c>
      <c r="R1155">
        <v>4</v>
      </c>
      <c r="S1155" t="s">
        <v>23</v>
      </c>
      <c r="T1155" t="s">
        <v>37</v>
      </c>
      <c r="U1155" t="str">
        <f>IF(Table1[[#This Row],[YearsSince
LastPromotion]]&gt; 4, "Delayed", "Normal")</f>
        <v>Normal</v>
      </c>
      <c r="V1155" t="str">
        <f>IF(Table1[[#This Row],[Years
InCurrentRole]]&gt;4, "Role Stagnent", "Normal")</f>
        <v>Normal</v>
      </c>
      <c r="W1155" t="str">
        <f>IF(AND(Table1[[#This Row],[Years
InCurrentRole]]&gt; 4, Table1[[#This Row],[Performance
Rating]]&gt;=3), "High Risk", "Normal")</f>
        <v>Normal</v>
      </c>
      <c r="X1155" t="str">
        <f>IF(Table1[[#This Row],[Performance
Rating]]&gt;=4, "High Performer", "Low Performer")</f>
        <v>Low Performer</v>
      </c>
    </row>
    <row r="1156" spans="2:24" x14ac:dyDescent="0.3">
      <c r="B1156" t="s">
        <v>19</v>
      </c>
      <c r="C1156" t="s">
        <v>25</v>
      </c>
      <c r="D1156">
        <v>1</v>
      </c>
      <c r="E1156" t="s">
        <v>21</v>
      </c>
      <c r="F1156">
        <v>5</v>
      </c>
      <c r="G1156" t="s">
        <v>22</v>
      </c>
      <c r="H1156">
        <v>1</v>
      </c>
      <c r="I1156">
        <v>19943</v>
      </c>
      <c r="J1156">
        <v>13</v>
      </c>
      <c r="K1156">
        <v>3</v>
      </c>
      <c r="L1156">
        <v>1</v>
      </c>
      <c r="M1156">
        <v>28</v>
      </c>
      <c r="N1156">
        <v>2</v>
      </c>
      <c r="O1156">
        <v>3</v>
      </c>
      <c r="P1156">
        <v>5</v>
      </c>
      <c r="Q1156">
        <v>2</v>
      </c>
      <c r="R1156">
        <v>4</v>
      </c>
      <c r="S1156" t="s">
        <v>34</v>
      </c>
      <c r="T1156" t="s">
        <v>37</v>
      </c>
      <c r="U1156" t="str">
        <f>IF(Table1[[#This Row],[YearsSince
LastPromotion]]&gt; 4, "Delayed", "Normal")</f>
        <v>Normal</v>
      </c>
      <c r="V1156" t="str">
        <f>IF(Table1[[#This Row],[Years
InCurrentRole]]&gt;4, "Role Stagnent", "Normal")</f>
        <v>Normal</v>
      </c>
      <c r="W1156" t="str">
        <f>IF(AND(Table1[[#This Row],[Years
InCurrentRole]]&gt; 4, Table1[[#This Row],[Performance
Rating]]&gt;=3), "High Risk", "Normal")</f>
        <v>Normal</v>
      </c>
      <c r="X1156" t="str">
        <f>IF(Table1[[#This Row],[Performance
Rating]]&gt;=4, "High Performer", "Low Performer")</f>
        <v>Low Performer</v>
      </c>
    </row>
    <row r="1157" spans="2:24" x14ac:dyDescent="0.3">
      <c r="B1157" t="s">
        <v>19</v>
      </c>
      <c r="C1157" t="s">
        <v>20</v>
      </c>
      <c r="D1157">
        <v>1</v>
      </c>
      <c r="E1157" t="s">
        <v>21</v>
      </c>
      <c r="F1157">
        <v>2</v>
      </c>
      <c r="G1157" t="s">
        <v>32</v>
      </c>
      <c r="H1157">
        <v>4</v>
      </c>
      <c r="I1157">
        <v>5769</v>
      </c>
      <c r="J1157">
        <v>11</v>
      </c>
      <c r="K1157">
        <v>3</v>
      </c>
      <c r="L1157">
        <v>0</v>
      </c>
      <c r="M1157">
        <v>6</v>
      </c>
      <c r="N1157">
        <v>3</v>
      </c>
      <c r="O1157">
        <v>3</v>
      </c>
      <c r="P1157">
        <v>6</v>
      </c>
      <c r="Q1157">
        <v>2</v>
      </c>
      <c r="R1157">
        <v>4</v>
      </c>
      <c r="S1157" t="s">
        <v>34</v>
      </c>
      <c r="T1157" t="s">
        <v>37</v>
      </c>
      <c r="U1157" t="str">
        <f>IF(Table1[[#This Row],[YearsSince
LastPromotion]]&gt; 4, "Delayed", "Normal")</f>
        <v>Normal</v>
      </c>
      <c r="V1157" t="str">
        <f>IF(Table1[[#This Row],[Years
InCurrentRole]]&gt;4, "Role Stagnent", "Normal")</f>
        <v>Normal</v>
      </c>
      <c r="W1157" t="str">
        <f>IF(AND(Table1[[#This Row],[Years
InCurrentRole]]&gt; 4, Table1[[#This Row],[Performance
Rating]]&gt;=3), "High Risk", "Normal")</f>
        <v>Normal</v>
      </c>
      <c r="X1157" t="str">
        <f>IF(Table1[[#This Row],[Performance
Rating]]&gt;=4, "High Performer", "Low Performer")</f>
        <v>Low Performer</v>
      </c>
    </row>
    <row r="1158" spans="2:24" x14ac:dyDescent="0.3">
      <c r="B1158" t="s">
        <v>19</v>
      </c>
      <c r="C1158" t="s">
        <v>25</v>
      </c>
      <c r="D1158">
        <v>1</v>
      </c>
      <c r="E1158" t="s">
        <v>21</v>
      </c>
      <c r="F1158">
        <v>1</v>
      </c>
      <c r="G1158" t="s">
        <v>29</v>
      </c>
      <c r="H1158">
        <v>2</v>
      </c>
      <c r="I1158">
        <v>2837</v>
      </c>
      <c r="J1158">
        <v>13</v>
      </c>
      <c r="K1158">
        <v>3</v>
      </c>
      <c r="L1158">
        <v>0</v>
      </c>
      <c r="M1158">
        <v>6</v>
      </c>
      <c r="N1158">
        <v>3</v>
      </c>
      <c r="O1158">
        <v>3</v>
      </c>
      <c r="P1158">
        <v>6</v>
      </c>
      <c r="Q1158">
        <v>2</v>
      </c>
      <c r="R1158">
        <v>4</v>
      </c>
      <c r="S1158" t="s">
        <v>34</v>
      </c>
      <c r="T1158" t="s">
        <v>37</v>
      </c>
      <c r="U1158" t="str">
        <f>IF(Table1[[#This Row],[YearsSince
LastPromotion]]&gt; 4, "Delayed", "Normal")</f>
        <v>Normal</v>
      </c>
      <c r="V1158" t="str">
        <f>IF(Table1[[#This Row],[Years
InCurrentRole]]&gt;4, "Role Stagnent", "Normal")</f>
        <v>Normal</v>
      </c>
      <c r="W1158" t="str">
        <f>IF(AND(Table1[[#This Row],[Years
InCurrentRole]]&gt; 4, Table1[[#This Row],[Performance
Rating]]&gt;=3), "High Risk", "Normal")</f>
        <v>Normal</v>
      </c>
      <c r="X1158" t="str">
        <f>IF(Table1[[#This Row],[Performance
Rating]]&gt;=4, "High Performer", "Low Performer")</f>
        <v>Low Performer</v>
      </c>
    </row>
    <row r="1159" spans="2:24" x14ac:dyDescent="0.3">
      <c r="B1159" t="s">
        <v>19</v>
      </c>
      <c r="C1159" t="s">
        <v>20</v>
      </c>
      <c r="D1159">
        <v>1</v>
      </c>
      <c r="E1159" t="s">
        <v>21</v>
      </c>
      <c r="F1159">
        <v>3</v>
      </c>
      <c r="G1159" t="s">
        <v>32</v>
      </c>
      <c r="H1159">
        <v>4</v>
      </c>
      <c r="I1159">
        <v>10377</v>
      </c>
      <c r="J1159">
        <v>11</v>
      </c>
      <c r="K1159">
        <v>3</v>
      </c>
      <c r="L1159">
        <v>1</v>
      </c>
      <c r="M1159">
        <v>16</v>
      </c>
      <c r="N1159">
        <v>6</v>
      </c>
      <c r="O1159">
        <v>2</v>
      </c>
      <c r="P1159">
        <v>13</v>
      </c>
      <c r="Q1159">
        <v>2</v>
      </c>
      <c r="R1159">
        <v>4</v>
      </c>
      <c r="S1159" t="s">
        <v>23</v>
      </c>
      <c r="T1159" t="s">
        <v>37</v>
      </c>
      <c r="U1159" t="str">
        <f>IF(Table1[[#This Row],[YearsSince
LastPromotion]]&gt; 4, "Delayed", "Normal")</f>
        <v>Normal</v>
      </c>
      <c r="V1159" t="str">
        <f>IF(Table1[[#This Row],[Years
InCurrentRole]]&gt;4, "Role Stagnent", "Normal")</f>
        <v>Normal</v>
      </c>
      <c r="W1159" t="str">
        <f>IF(AND(Table1[[#This Row],[Years
InCurrentRole]]&gt; 4, Table1[[#This Row],[Performance
Rating]]&gt;=3), "High Risk", "Normal")</f>
        <v>Normal</v>
      </c>
      <c r="X1159" t="str">
        <f>IF(Table1[[#This Row],[Performance
Rating]]&gt;=4, "High Performer", "Low Performer")</f>
        <v>Low Performer</v>
      </c>
    </row>
    <row r="1160" spans="2:24" x14ac:dyDescent="0.3">
      <c r="B1160" t="s">
        <v>19</v>
      </c>
      <c r="C1160" t="s">
        <v>25</v>
      </c>
      <c r="D1160">
        <v>1</v>
      </c>
      <c r="E1160" t="s">
        <v>21</v>
      </c>
      <c r="F1160">
        <v>1</v>
      </c>
      <c r="G1160" t="s">
        <v>26</v>
      </c>
      <c r="H1160">
        <v>1</v>
      </c>
      <c r="I1160">
        <v>2782</v>
      </c>
      <c r="J1160">
        <v>13</v>
      </c>
      <c r="K1160">
        <v>3</v>
      </c>
      <c r="L1160">
        <v>2</v>
      </c>
      <c r="M1160">
        <v>6</v>
      </c>
      <c r="N1160">
        <v>3</v>
      </c>
      <c r="O1160">
        <v>2</v>
      </c>
      <c r="P1160">
        <v>5</v>
      </c>
      <c r="Q1160">
        <v>3</v>
      </c>
      <c r="R1160">
        <v>4</v>
      </c>
      <c r="S1160" t="s">
        <v>23</v>
      </c>
      <c r="T1160" t="s">
        <v>37</v>
      </c>
      <c r="U1160" t="str">
        <f>IF(Table1[[#This Row],[YearsSince
LastPromotion]]&gt; 4, "Delayed", "Normal")</f>
        <v>Normal</v>
      </c>
      <c r="V1160" t="str">
        <f>IF(Table1[[#This Row],[Years
InCurrentRole]]&gt;4, "Role Stagnent", "Normal")</f>
        <v>Normal</v>
      </c>
      <c r="W1160" t="str">
        <f>IF(AND(Table1[[#This Row],[Years
InCurrentRole]]&gt; 4, Table1[[#This Row],[Performance
Rating]]&gt;=3), "High Risk", "Normal")</f>
        <v>Normal</v>
      </c>
      <c r="X1160" t="str">
        <f>IF(Table1[[#This Row],[Performance
Rating]]&gt;=4, "High Performer", "Low Performer")</f>
        <v>Low Performer</v>
      </c>
    </row>
    <row r="1161" spans="2:24" x14ac:dyDescent="0.3">
      <c r="B1161" t="s">
        <v>19</v>
      </c>
      <c r="C1161" t="s">
        <v>36</v>
      </c>
      <c r="D1161">
        <v>1</v>
      </c>
      <c r="E1161" t="s">
        <v>21</v>
      </c>
      <c r="F1161">
        <v>4</v>
      </c>
      <c r="G1161" t="s">
        <v>22</v>
      </c>
      <c r="H1161">
        <v>4</v>
      </c>
      <c r="I1161">
        <v>17328</v>
      </c>
      <c r="J1161">
        <v>12</v>
      </c>
      <c r="K1161">
        <v>3</v>
      </c>
      <c r="L1161">
        <v>0</v>
      </c>
      <c r="M1161">
        <v>23</v>
      </c>
      <c r="N1161">
        <v>3</v>
      </c>
      <c r="O1161">
        <v>3</v>
      </c>
      <c r="P1161">
        <v>5</v>
      </c>
      <c r="Q1161">
        <v>3</v>
      </c>
      <c r="R1161">
        <v>4</v>
      </c>
      <c r="S1161" t="s">
        <v>34</v>
      </c>
      <c r="T1161" t="s">
        <v>37</v>
      </c>
      <c r="U1161" t="str">
        <f>IF(Table1[[#This Row],[YearsSince
LastPromotion]]&gt; 4, "Delayed", "Normal")</f>
        <v>Normal</v>
      </c>
      <c r="V1161" t="str">
        <f>IF(Table1[[#This Row],[Years
InCurrentRole]]&gt;4, "Role Stagnent", "Normal")</f>
        <v>Normal</v>
      </c>
      <c r="W1161" t="str">
        <f>IF(AND(Table1[[#This Row],[Years
InCurrentRole]]&gt; 4, Table1[[#This Row],[Performance
Rating]]&gt;=3), "High Risk", "Normal")</f>
        <v>Normal</v>
      </c>
      <c r="X1161" t="str">
        <f>IF(Table1[[#This Row],[Performance
Rating]]&gt;=4, "High Performer", "Low Performer")</f>
        <v>Low Performer</v>
      </c>
    </row>
    <row r="1162" spans="2:24" x14ac:dyDescent="0.3">
      <c r="B1162" t="s">
        <v>19</v>
      </c>
      <c r="C1162" t="s">
        <v>25</v>
      </c>
      <c r="D1162">
        <v>1</v>
      </c>
      <c r="E1162" t="s">
        <v>21</v>
      </c>
      <c r="F1162">
        <v>4</v>
      </c>
      <c r="G1162" t="s">
        <v>33</v>
      </c>
      <c r="H1162">
        <v>4</v>
      </c>
      <c r="I1162">
        <v>13726</v>
      </c>
      <c r="J1162">
        <v>13</v>
      </c>
      <c r="K1162">
        <v>3</v>
      </c>
      <c r="L1162">
        <v>0</v>
      </c>
      <c r="M1162">
        <v>30</v>
      </c>
      <c r="N1162">
        <v>4</v>
      </c>
      <c r="O1162">
        <v>3</v>
      </c>
      <c r="P1162">
        <v>5</v>
      </c>
      <c r="Q1162">
        <v>3</v>
      </c>
      <c r="R1162">
        <v>4</v>
      </c>
      <c r="S1162" t="s">
        <v>34</v>
      </c>
      <c r="T1162" t="s">
        <v>37</v>
      </c>
      <c r="U1162" t="str">
        <f>IF(Table1[[#This Row],[YearsSince
LastPromotion]]&gt; 4, "Delayed", "Normal")</f>
        <v>Normal</v>
      </c>
      <c r="V1162" t="str">
        <f>IF(Table1[[#This Row],[Years
InCurrentRole]]&gt;4, "Role Stagnent", "Normal")</f>
        <v>Normal</v>
      </c>
      <c r="W1162" t="str">
        <f>IF(AND(Table1[[#This Row],[Years
InCurrentRole]]&gt; 4, Table1[[#This Row],[Performance
Rating]]&gt;=3), "High Risk", "Normal")</f>
        <v>Normal</v>
      </c>
      <c r="X1162" t="str">
        <f>IF(Table1[[#This Row],[Performance
Rating]]&gt;=4, "High Performer", "Low Performer")</f>
        <v>Low Performer</v>
      </c>
    </row>
    <row r="1163" spans="2:24" x14ac:dyDescent="0.3">
      <c r="B1163" t="s">
        <v>19</v>
      </c>
      <c r="C1163" t="s">
        <v>20</v>
      </c>
      <c r="D1163">
        <v>1</v>
      </c>
      <c r="E1163" t="s">
        <v>21</v>
      </c>
      <c r="F1163">
        <v>1</v>
      </c>
      <c r="G1163" t="s">
        <v>30</v>
      </c>
      <c r="H1163">
        <v>3</v>
      </c>
      <c r="I1163">
        <v>2430</v>
      </c>
      <c r="J1163">
        <v>23</v>
      </c>
      <c r="K1163">
        <v>4</v>
      </c>
      <c r="L1163">
        <v>2</v>
      </c>
      <c r="M1163">
        <v>6</v>
      </c>
      <c r="N1163">
        <v>5</v>
      </c>
      <c r="O1163">
        <v>3</v>
      </c>
      <c r="P1163">
        <v>5</v>
      </c>
      <c r="Q1163">
        <v>3</v>
      </c>
      <c r="R1163">
        <v>4</v>
      </c>
      <c r="S1163" t="s">
        <v>34</v>
      </c>
      <c r="T1163" t="s">
        <v>37</v>
      </c>
      <c r="U1163" t="str">
        <f>IF(Table1[[#This Row],[YearsSince
LastPromotion]]&gt; 4, "Delayed", "Normal")</f>
        <v>Normal</v>
      </c>
      <c r="V1163" t="str">
        <f>IF(Table1[[#This Row],[Years
InCurrentRole]]&gt;4, "Role Stagnent", "Normal")</f>
        <v>Normal</v>
      </c>
      <c r="W1163" t="str">
        <f>IF(AND(Table1[[#This Row],[Years
InCurrentRole]]&gt; 4, Table1[[#This Row],[Performance
Rating]]&gt;=3), "High Risk", "Normal")</f>
        <v>Normal</v>
      </c>
      <c r="X1163" t="str">
        <f>IF(Table1[[#This Row],[Performance
Rating]]&gt;=4, "High Performer", "Low Performer")</f>
        <v>High Performer</v>
      </c>
    </row>
    <row r="1164" spans="2:24" x14ac:dyDescent="0.3">
      <c r="B1164" t="s">
        <v>19</v>
      </c>
      <c r="C1164" t="s">
        <v>25</v>
      </c>
      <c r="D1164">
        <v>1</v>
      </c>
      <c r="E1164" t="s">
        <v>21</v>
      </c>
      <c r="F1164">
        <v>1</v>
      </c>
      <c r="G1164" t="s">
        <v>26</v>
      </c>
      <c r="H1164">
        <v>2</v>
      </c>
      <c r="I1164">
        <v>2368</v>
      </c>
      <c r="J1164">
        <v>19</v>
      </c>
      <c r="K1164">
        <v>3</v>
      </c>
      <c r="L1164">
        <v>0</v>
      </c>
      <c r="M1164">
        <v>5</v>
      </c>
      <c r="N1164">
        <v>3</v>
      </c>
      <c r="O1164">
        <v>2</v>
      </c>
      <c r="P1164">
        <v>5</v>
      </c>
      <c r="Q1164">
        <v>4</v>
      </c>
      <c r="R1164">
        <v>4</v>
      </c>
      <c r="S1164" t="s">
        <v>23</v>
      </c>
      <c r="T1164" t="s">
        <v>37</v>
      </c>
      <c r="U1164" t="str">
        <f>IF(Table1[[#This Row],[YearsSince
LastPromotion]]&gt; 4, "Delayed", "Normal")</f>
        <v>Normal</v>
      </c>
      <c r="V1164" t="str">
        <f>IF(Table1[[#This Row],[Years
InCurrentRole]]&gt;4, "Role Stagnent", "Normal")</f>
        <v>Normal</v>
      </c>
      <c r="W1164" t="str">
        <f>IF(AND(Table1[[#This Row],[Years
InCurrentRole]]&gt; 4, Table1[[#This Row],[Performance
Rating]]&gt;=3), "High Risk", "Normal")</f>
        <v>Normal</v>
      </c>
      <c r="X1164" t="str">
        <f>IF(Table1[[#This Row],[Performance
Rating]]&gt;=4, "High Performer", "Low Performer")</f>
        <v>Low Performer</v>
      </c>
    </row>
    <row r="1165" spans="2:24" x14ac:dyDescent="0.3">
      <c r="B1165" t="s">
        <v>19</v>
      </c>
      <c r="C1165" t="s">
        <v>25</v>
      </c>
      <c r="D1165">
        <v>1</v>
      </c>
      <c r="E1165" t="s">
        <v>28</v>
      </c>
      <c r="F1165">
        <v>1</v>
      </c>
      <c r="G1165" t="s">
        <v>29</v>
      </c>
      <c r="H1165">
        <v>3</v>
      </c>
      <c r="I1165">
        <v>4230</v>
      </c>
      <c r="J1165">
        <v>15</v>
      </c>
      <c r="K1165">
        <v>3</v>
      </c>
      <c r="L1165">
        <v>0</v>
      </c>
      <c r="M1165">
        <v>6</v>
      </c>
      <c r="N1165">
        <v>2</v>
      </c>
      <c r="O1165">
        <v>3</v>
      </c>
      <c r="P1165">
        <v>5</v>
      </c>
      <c r="Q1165">
        <v>4</v>
      </c>
      <c r="R1165">
        <v>4</v>
      </c>
      <c r="S1165" t="s">
        <v>34</v>
      </c>
      <c r="T1165" t="s">
        <v>37</v>
      </c>
      <c r="U1165" t="str">
        <f>IF(Table1[[#This Row],[YearsSince
LastPromotion]]&gt; 4, "Delayed", "Normal")</f>
        <v>Normal</v>
      </c>
      <c r="V1165" t="str">
        <f>IF(Table1[[#This Row],[Years
InCurrentRole]]&gt;4, "Role Stagnent", "Normal")</f>
        <v>Normal</v>
      </c>
      <c r="W1165" t="str">
        <f>IF(AND(Table1[[#This Row],[Years
InCurrentRole]]&gt; 4, Table1[[#This Row],[Performance
Rating]]&gt;=3), "High Risk", "Normal")</f>
        <v>Normal</v>
      </c>
      <c r="X1165" t="str">
        <f>IF(Table1[[#This Row],[Performance
Rating]]&gt;=4, "High Performer", "Low Performer")</f>
        <v>Low Performer</v>
      </c>
    </row>
    <row r="1166" spans="2:24" x14ac:dyDescent="0.3">
      <c r="B1166" t="s">
        <v>27</v>
      </c>
      <c r="C1166" t="s">
        <v>25</v>
      </c>
      <c r="D1166">
        <v>1</v>
      </c>
      <c r="E1166" t="s">
        <v>21</v>
      </c>
      <c r="F1166">
        <v>1</v>
      </c>
      <c r="G1166" t="s">
        <v>26</v>
      </c>
      <c r="H1166">
        <v>2</v>
      </c>
      <c r="I1166">
        <v>4963</v>
      </c>
      <c r="J1166">
        <v>18</v>
      </c>
      <c r="K1166">
        <v>3</v>
      </c>
      <c r="L1166">
        <v>3</v>
      </c>
      <c r="M1166">
        <v>7</v>
      </c>
      <c r="N1166">
        <v>2</v>
      </c>
      <c r="O1166">
        <v>3</v>
      </c>
      <c r="P1166">
        <v>5</v>
      </c>
      <c r="Q1166">
        <v>4</v>
      </c>
      <c r="R1166">
        <v>4</v>
      </c>
      <c r="S1166" t="s">
        <v>34</v>
      </c>
      <c r="T1166" t="s">
        <v>37</v>
      </c>
      <c r="U1166" t="str">
        <f>IF(Table1[[#This Row],[YearsSince
LastPromotion]]&gt; 4, "Delayed", "Normal")</f>
        <v>Normal</v>
      </c>
      <c r="V1166" t="str">
        <f>IF(Table1[[#This Row],[Years
InCurrentRole]]&gt;4, "Role Stagnent", "Normal")</f>
        <v>Normal</v>
      </c>
      <c r="W1166" t="str">
        <f>IF(AND(Table1[[#This Row],[Years
InCurrentRole]]&gt; 4, Table1[[#This Row],[Performance
Rating]]&gt;=3), "High Risk", "Normal")</f>
        <v>Normal</v>
      </c>
      <c r="X1166" t="str">
        <f>IF(Table1[[#This Row],[Performance
Rating]]&gt;=4, "High Performer", "Low Performer")</f>
        <v>Low Performer</v>
      </c>
    </row>
    <row r="1167" spans="2:24" x14ac:dyDescent="0.3">
      <c r="B1167" t="s">
        <v>19</v>
      </c>
      <c r="C1167" t="s">
        <v>25</v>
      </c>
      <c r="D1167">
        <v>1</v>
      </c>
      <c r="E1167" t="s">
        <v>28</v>
      </c>
      <c r="F1167">
        <v>5</v>
      </c>
      <c r="G1167" t="s">
        <v>35</v>
      </c>
      <c r="H1167">
        <v>4</v>
      </c>
      <c r="I1167">
        <v>19161</v>
      </c>
      <c r="J1167">
        <v>15</v>
      </c>
      <c r="K1167">
        <v>3</v>
      </c>
      <c r="L1167">
        <v>0</v>
      </c>
      <c r="M1167">
        <v>28</v>
      </c>
      <c r="N1167">
        <v>3</v>
      </c>
      <c r="O1167">
        <v>3</v>
      </c>
      <c r="P1167">
        <v>5</v>
      </c>
      <c r="Q1167">
        <v>4</v>
      </c>
      <c r="R1167">
        <v>4</v>
      </c>
      <c r="S1167" t="s">
        <v>34</v>
      </c>
      <c r="T1167" t="s">
        <v>37</v>
      </c>
      <c r="U1167" t="str">
        <f>IF(Table1[[#This Row],[YearsSince
LastPromotion]]&gt; 4, "Delayed", "Normal")</f>
        <v>Normal</v>
      </c>
      <c r="V1167" t="str">
        <f>IF(Table1[[#This Row],[Years
InCurrentRole]]&gt;4, "Role Stagnent", "Normal")</f>
        <v>Normal</v>
      </c>
      <c r="W1167" t="str">
        <f>IF(AND(Table1[[#This Row],[Years
InCurrentRole]]&gt; 4, Table1[[#This Row],[Performance
Rating]]&gt;=3), "High Risk", "Normal")</f>
        <v>Normal</v>
      </c>
      <c r="X1167" t="str">
        <f>IF(Table1[[#This Row],[Performance
Rating]]&gt;=4, "High Performer", "Low Performer")</f>
        <v>Low Performer</v>
      </c>
    </row>
    <row r="1168" spans="2:24" x14ac:dyDescent="0.3">
      <c r="B1168" t="s">
        <v>19</v>
      </c>
      <c r="C1168" t="s">
        <v>25</v>
      </c>
      <c r="D1168">
        <v>1</v>
      </c>
      <c r="E1168" t="s">
        <v>21</v>
      </c>
      <c r="F1168">
        <v>5</v>
      </c>
      <c r="G1168" t="s">
        <v>22</v>
      </c>
      <c r="H1168">
        <v>2</v>
      </c>
      <c r="I1168">
        <v>19926</v>
      </c>
      <c r="J1168">
        <v>15</v>
      </c>
      <c r="K1168">
        <v>3</v>
      </c>
      <c r="L1168">
        <v>0</v>
      </c>
      <c r="M1168">
        <v>21</v>
      </c>
      <c r="N1168">
        <v>5</v>
      </c>
      <c r="O1168">
        <v>3</v>
      </c>
      <c r="P1168">
        <v>5</v>
      </c>
      <c r="Q1168">
        <v>4</v>
      </c>
      <c r="R1168">
        <v>4</v>
      </c>
      <c r="S1168" t="s">
        <v>34</v>
      </c>
      <c r="T1168" t="s">
        <v>37</v>
      </c>
      <c r="U1168" t="str">
        <f>IF(Table1[[#This Row],[YearsSince
LastPromotion]]&gt; 4, "Delayed", "Normal")</f>
        <v>Normal</v>
      </c>
      <c r="V1168" t="str">
        <f>IF(Table1[[#This Row],[Years
InCurrentRole]]&gt;4, "Role Stagnent", "Normal")</f>
        <v>Normal</v>
      </c>
      <c r="W1168" t="str">
        <f>IF(AND(Table1[[#This Row],[Years
InCurrentRole]]&gt; 4, Table1[[#This Row],[Performance
Rating]]&gt;=3), "High Risk", "Normal")</f>
        <v>Normal</v>
      </c>
      <c r="X1168" t="str">
        <f>IF(Table1[[#This Row],[Performance
Rating]]&gt;=4, "High Performer", "Low Performer")</f>
        <v>Low Performer</v>
      </c>
    </row>
    <row r="1169" spans="2:24" x14ac:dyDescent="0.3">
      <c r="B1169" t="s">
        <v>19</v>
      </c>
      <c r="C1169" t="s">
        <v>20</v>
      </c>
      <c r="D1169">
        <v>1</v>
      </c>
      <c r="E1169" t="s">
        <v>21</v>
      </c>
      <c r="F1169">
        <v>2</v>
      </c>
      <c r="G1169" t="s">
        <v>32</v>
      </c>
      <c r="H1169">
        <v>3</v>
      </c>
      <c r="I1169">
        <v>6577</v>
      </c>
      <c r="J1169">
        <v>11</v>
      </c>
      <c r="K1169">
        <v>3</v>
      </c>
      <c r="L1169">
        <v>0</v>
      </c>
      <c r="M1169">
        <v>6</v>
      </c>
      <c r="N1169">
        <v>6</v>
      </c>
      <c r="O1169">
        <v>3</v>
      </c>
      <c r="P1169">
        <v>5</v>
      </c>
      <c r="Q1169">
        <v>4</v>
      </c>
      <c r="R1169">
        <v>4</v>
      </c>
      <c r="S1169" t="s">
        <v>34</v>
      </c>
      <c r="T1169" t="s">
        <v>37</v>
      </c>
      <c r="U1169" t="str">
        <f>IF(Table1[[#This Row],[YearsSince
LastPromotion]]&gt; 4, "Delayed", "Normal")</f>
        <v>Normal</v>
      </c>
      <c r="V1169" t="str">
        <f>IF(Table1[[#This Row],[Years
InCurrentRole]]&gt;4, "Role Stagnent", "Normal")</f>
        <v>Normal</v>
      </c>
      <c r="W1169" t="str">
        <f>IF(AND(Table1[[#This Row],[Years
InCurrentRole]]&gt; 4, Table1[[#This Row],[Performance
Rating]]&gt;=3), "High Risk", "Normal")</f>
        <v>Normal</v>
      </c>
      <c r="X1169" t="str">
        <f>IF(Table1[[#This Row],[Performance
Rating]]&gt;=4, "High Performer", "Low Performer")</f>
        <v>Low Performer</v>
      </c>
    </row>
    <row r="1170" spans="2:24" x14ac:dyDescent="0.3">
      <c r="B1170" t="s">
        <v>19</v>
      </c>
      <c r="C1170" t="s">
        <v>20</v>
      </c>
      <c r="D1170">
        <v>1</v>
      </c>
      <c r="E1170" t="s">
        <v>21</v>
      </c>
      <c r="F1170">
        <v>4</v>
      </c>
      <c r="G1170" t="s">
        <v>32</v>
      </c>
      <c r="H1170">
        <v>2</v>
      </c>
      <c r="I1170">
        <v>13525</v>
      </c>
      <c r="J1170">
        <v>14</v>
      </c>
      <c r="K1170">
        <v>3</v>
      </c>
      <c r="L1170">
        <v>1</v>
      </c>
      <c r="M1170">
        <v>23</v>
      </c>
      <c r="N1170">
        <v>2</v>
      </c>
      <c r="O1170">
        <v>4</v>
      </c>
      <c r="P1170">
        <v>20</v>
      </c>
      <c r="Q1170">
        <v>4</v>
      </c>
      <c r="R1170">
        <v>4</v>
      </c>
      <c r="S1170" t="s">
        <v>34</v>
      </c>
      <c r="T1170" t="s">
        <v>37</v>
      </c>
      <c r="U1170" t="str">
        <f>IF(Table1[[#This Row],[YearsSince
LastPromotion]]&gt; 4, "Delayed", "Normal")</f>
        <v>Normal</v>
      </c>
      <c r="V1170" t="str">
        <f>IF(Table1[[#This Row],[Years
InCurrentRole]]&gt;4, "Role Stagnent", "Normal")</f>
        <v>Normal</v>
      </c>
      <c r="W1170" t="str">
        <f>IF(AND(Table1[[#This Row],[Years
InCurrentRole]]&gt; 4, Table1[[#This Row],[Performance
Rating]]&gt;=3), "High Risk", "Normal")</f>
        <v>Normal</v>
      </c>
      <c r="X1170" t="str">
        <f>IF(Table1[[#This Row],[Performance
Rating]]&gt;=4, "High Performer", "Low Performer")</f>
        <v>Low Performer</v>
      </c>
    </row>
    <row r="1171" spans="2:24" x14ac:dyDescent="0.3">
      <c r="B1171" t="s">
        <v>19</v>
      </c>
      <c r="C1171" t="s">
        <v>25</v>
      </c>
      <c r="D1171">
        <v>1</v>
      </c>
      <c r="E1171" t="s">
        <v>21</v>
      </c>
      <c r="F1171">
        <v>2</v>
      </c>
      <c r="G1171" t="s">
        <v>33</v>
      </c>
      <c r="H1171">
        <v>2</v>
      </c>
      <c r="I1171">
        <v>6447</v>
      </c>
      <c r="J1171">
        <v>12</v>
      </c>
      <c r="K1171">
        <v>3</v>
      </c>
      <c r="L1171">
        <v>1</v>
      </c>
      <c r="M1171">
        <v>8</v>
      </c>
      <c r="N1171">
        <v>2</v>
      </c>
      <c r="O1171">
        <v>2</v>
      </c>
      <c r="P1171">
        <v>6</v>
      </c>
      <c r="Q1171">
        <v>5</v>
      </c>
      <c r="R1171">
        <v>4</v>
      </c>
      <c r="S1171" t="s">
        <v>23</v>
      </c>
      <c r="T1171" t="s">
        <v>37</v>
      </c>
      <c r="U1171" t="str">
        <f>IF(Table1[[#This Row],[YearsSince
LastPromotion]]&gt; 4, "Delayed", "Normal")</f>
        <v>Normal</v>
      </c>
      <c r="V1171" t="str">
        <f>IF(Table1[[#This Row],[Years
InCurrentRole]]&gt;4, "Role Stagnent", "Normal")</f>
        <v>Role Stagnent</v>
      </c>
      <c r="W1171" t="str">
        <f>IF(AND(Table1[[#This Row],[Years
InCurrentRole]]&gt; 4, Table1[[#This Row],[Performance
Rating]]&gt;=3), "High Risk", "Normal")</f>
        <v>High Risk</v>
      </c>
      <c r="X1171" t="str">
        <f>IF(Table1[[#This Row],[Performance
Rating]]&gt;=4, "High Performer", "Low Performer")</f>
        <v>Low Performer</v>
      </c>
    </row>
    <row r="1172" spans="2:24" x14ac:dyDescent="0.3">
      <c r="B1172" t="s">
        <v>19</v>
      </c>
      <c r="C1172" t="s">
        <v>25</v>
      </c>
      <c r="D1172">
        <v>1</v>
      </c>
      <c r="E1172" t="s">
        <v>28</v>
      </c>
      <c r="F1172">
        <v>3</v>
      </c>
      <c r="G1172" t="s">
        <v>31</v>
      </c>
      <c r="H1172">
        <v>2</v>
      </c>
      <c r="I1172">
        <v>10445</v>
      </c>
      <c r="J1172">
        <v>19</v>
      </c>
      <c r="K1172">
        <v>3</v>
      </c>
      <c r="L1172">
        <v>0</v>
      </c>
      <c r="M1172">
        <v>18</v>
      </c>
      <c r="N1172">
        <v>4</v>
      </c>
      <c r="O1172">
        <v>3</v>
      </c>
      <c r="P1172">
        <v>8</v>
      </c>
      <c r="Q1172">
        <v>6</v>
      </c>
      <c r="R1172">
        <v>4</v>
      </c>
      <c r="S1172" t="s">
        <v>34</v>
      </c>
      <c r="T1172" t="s">
        <v>37</v>
      </c>
      <c r="U1172" t="str">
        <f>IF(Table1[[#This Row],[YearsSince
LastPromotion]]&gt; 4, "Delayed", "Normal")</f>
        <v>Normal</v>
      </c>
      <c r="V1172" t="str">
        <f>IF(Table1[[#This Row],[Years
InCurrentRole]]&gt;4, "Role Stagnent", "Normal")</f>
        <v>Role Stagnent</v>
      </c>
      <c r="W1172" t="str">
        <f>IF(AND(Table1[[#This Row],[Years
InCurrentRole]]&gt; 4, Table1[[#This Row],[Performance
Rating]]&gt;=3), "High Risk", "Normal")</f>
        <v>High Risk</v>
      </c>
      <c r="X1172" t="str">
        <f>IF(Table1[[#This Row],[Performance
Rating]]&gt;=4, "High Performer", "Low Performer")</f>
        <v>Low Performer</v>
      </c>
    </row>
    <row r="1173" spans="2:24" x14ac:dyDescent="0.3">
      <c r="B1173" t="s">
        <v>19</v>
      </c>
      <c r="C1173" t="s">
        <v>20</v>
      </c>
      <c r="D1173">
        <v>1</v>
      </c>
      <c r="E1173" t="s">
        <v>21</v>
      </c>
      <c r="F1173">
        <v>4</v>
      </c>
      <c r="G1173" t="s">
        <v>22</v>
      </c>
      <c r="H1173">
        <v>3</v>
      </c>
      <c r="I1173">
        <v>16307</v>
      </c>
      <c r="J1173">
        <v>14</v>
      </c>
      <c r="K1173">
        <v>3</v>
      </c>
      <c r="L1173">
        <v>1</v>
      </c>
      <c r="M1173">
        <v>29</v>
      </c>
      <c r="N1173">
        <v>2</v>
      </c>
      <c r="O1173">
        <v>2</v>
      </c>
      <c r="P1173">
        <v>20</v>
      </c>
      <c r="Q1173">
        <v>6</v>
      </c>
      <c r="R1173">
        <v>4</v>
      </c>
      <c r="S1173" t="s">
        <v>23</v>
      </c>
      <c r="T1173" t="s">
        <v>37</v>
      </c>
      <c r="U1173" t="str">
        <f>IF(Table1[[#This Row],[YearsSince
LastPromotion]]&gt; 4, "Delayed", "Normal")</f>
        <v>Normal</v>
      </c>
      <c r="V1173" t="str">
        <f>IF(Table1[[#This Row],[Years
InCurrentRole]]&gt;4, "Role Stagnent", "Normal")</f>
        <v>Role Stagnent</v>
      </c>
      <c r="W1173" t="str">
        <f>IF(AND(Table1[[#This Row],[Years
InCurrentRole]]&gt; 4, Table1[[#This Row],[Performance
Rating]]&gt;=3), "High Risk", "Normal")</f>
        <v>High Risk</v>
      </c>
      <c r="X1173" t="str">
        <f>IF(Table1[[#This Row],[Performance
Rating]]&gt;=4, "High Performer", "Low Performer")</f>
        <v>Low Performer</v>
      </c>
    </row>
    <row r="1174" spans="2:24" x14ac:dyDescent="0.3">
      <c r="B1174" t="s">
        <v>19</v>
      </c>
      <c r="C1174" t="s">
        <v>25</v>
      </c>
      <c r="D1174">
        <v>1</v>
      </c>
      <c r="E1174" t="s">
        <v>28</v>
      </c>
      <c r="F1174">
        <v>5</v>
      </c>
      <c r="G1174" t="s">
        <v>22</v>
      </c>
      <c r="H1174">
        <v>3</v>
      </c>
      <c r="I1174">
        <v>18880</v>
      </c>
      <c r="J1174">
        <v>11</v>
      </c>
      <c r="K1174">
        <v>3</v>
      </c>
      <c r="L1174">
        <v>0</v>
      </c>
      <c r="M1174">
        <v>24</v>
      </c>
      <c r="N1174">
        <v>2</v>
      </c>
      <c r="O1174">
        <v>2</v>
      </c>
      <c r="P1174">
        <v>22</v>
      </c>
      <c r="Q1174">
        <v>6</v>
      </c>
      <c r="R1174">
        <v>4</v>
      </c>
      <c r="S1174" t="s">
        <v>23</v>
      </c>
      <c r="T1174" t="s">
        <v>37</v>
      </c>
      <c r="U1174" t="str">
        <f>IF(Table1[[#This Row],[YearsSince
LastPromotion]]&gt; 4, "Delayed", "Normal")</f>
        <v>Normal</v>
      </c>
      <c r="V1174" t="str">
        <f>IF(Table1[[#This Row],[Years
InCurrentRole]]&gt;4, "Role Stagnent", "Normal")</f>
        <v>Role Stagnent</v>
      </c>
      <c r="W1174" t="str">
        <f>IF(AND(Table1[[#This Row],[Years
InCurrentRole]]&gt; 4, Table1[[#This Row],[Performance
Rating]]&gt;=3), "High Risk", "Normal")</f>
        <v>High Risk</v>
      </c>
      <c r="X1174" t="str">
        <f>IF(Table1[[#This Row],[Performance
Rating]]&gt;=4, "High Performer", "Low Performer")</f>
        <v>Low Performer</v>
      </c>
    </row>
    <row r="1175" spans="2:24" x14ac:dyDescent="0.3">
      <c r="B1175" t="s">
        <v>19</v>
      </c>
      <c r="C1175" t="s">
        <v>20</v>
      </c>
      <c r="D1175">
        <v>1</v>
      </c>
      <c r="E1175" t="s">
        <v>28</v>
      </c>
      <c r="F1175">
        <v>2</v>
      </c>
      <c r="G1175" t="s">
        <v>30</v>
      </c>
      <c r="H1175">
        <v>3</v>
      </c>
      <c r="I1175">
        <v>2306</v>
      </c>
      <c r="J1175">
        <v>20</v>
      </c>
      <c r="K1175">
        <v>4</v>
      </c>
      <c r="L1175">
        <v>1</v>
      </c>
      <c r="M1175">
        <v>13</v>
      </c>
      <c r="N1175">
        <v>3</v>
      </c>
      <c r="O1175">
        <v>1</v>
      </c>
      <c r="P1175">
        <v>7</v>
      </c>
      <c r="Q1175">
        <v>7</v>
      </c>
      <c r="R1175">
        <v>4</v>
      </c>
      <c r="S1175" t="s">
        <v>23</v>
      </c>
      <c r="T1175" t="s">
        <v>37</v>
      </c>
      <c r="U1175" t="str">
        <f>IF(Table1[[#This Row],[YearsSince
LastPromotion]]&gt; 4, "Delayed", "Normal")</f>
        <v>Normal</v>
      </c>
      <c r="V1175" t="str">
        <f>IF(Table1[[#This Row],[Years
InCurrentRole]]&gt;4, "Role Stagnent", "Normal")</f>
        <v>Role Stagnent</v>
      </c>
      <c r="W1175" t="str">
        <f>IF(AND(Table1[[#This Row],[Years
InCurrentRole]]&gt; 4, Table1[[#This Row],[Performance
Rating]]&gt;=3), "High Risk", "Normal")</f>
        <v>High Risk</v>
      </c>
      <c r="X1175" t="str">
        <f>IF(Table1[[#This Row],[Performance
Rating]]&gt;=4, "High Performer", "Low Performer")</f>
        <v>High Performer</v>
      </c>
    </row>
    <row r="1176" spans="2:24" x14ac:dyDescent="0.3">
      <c r="B1176" t="s">
        <v>19</v>
      </c>
      <c r="C1176" t="s">
        <v>25</v>
      </c>
      <c r="D1176">
        <v>1</v>
      </c>
      <c r="E1176" t="s">
        <v>21</v>
      </c>
      <c r="F1176">
        <v>5</v>
      </c>
      <c r="G1176" t="s">
        <v>22</v>
      </c>
      <c r="H1176">
        <v>3</v>
      </c>
      <c r="I1176">
        <v>18606</v>
      </c>
      <c r="J1176">
        <v>18</v>
      </c>
      <c r="K1176">
        <v>3</v>
      </c>
      <c r="L1176">
        <v>1</v>
      </c>
      <c r="M1176">
        <v>26</v>
      </c>
      <c r="N1176">
        <v>6</v>
      </c>
      <c r="O1176">
        <v>3</v>
      </c>
      <c r="P1176">
        <v>7</v>
      </c>
      <c r="Q1176">
        <v>7</v>
      </c>
      <c r="R1176">
        <v>4</v>
      </c>
      <c r="S1176" t="s">
        <v>34</v>
      </c>
      <c r="T1176" t="s">
        <v>37</v>
      </c>
      <c r="U1176" t="str">
        <f>IF(Table1[[#This Row],[YearsSince
LastPromotion]]&gt; 4, "Delayed", "Normal")</f>
        <v>Normal</v>
      </c>
      <c r="V1176" t="str">
        <f>IF(Table1[[#This Row],[Years
InCurrentRole]]&gt;4, "Role Stagnent", "Normal")</f>
        <v>Role Stagnent</v>
      </c>
      <c r="W1176" t="str">
        <f>IF(AND(Table1[[#This Row],[Years
InCurrentRole]]&gt; 4, Table1[[#This Row],[Performance
Rating]]&gt;=3), "High Risk", "Normal")</f>
        <v>High Risk</v>
      </c>
      <c r="X1176" t="str">
        <f>IF(Table1[[#This Row],[Performance
Rating]]&gt;=4, "High Performer", "Low Performer")</f>
        <v>Low Performer</v>
      </c>
    </row>
    <row r="1177" spans="2:24" x14ac:dyDescent="0.3">
      <c r="B1177" t="s">
        <v>27</v>
      </c>
      <c r="C1177" t="s">
        <v>20</v>
      </c>
      <c r="D1177">
        <v>1</v>
      </c>
      <c r="E1177" t="s">
        <v>28</v>
      </c>
      <c r="F1177">
        <v>3</v>
      </c>
      <c r="G1177" t="s">
        <v>32</v>
      </c>
      <c r="H1177">
        <v>4</v>
      </c>
      <c r="I1177">
        <v>10096</v>
      </c>
      <c r="J1177">
        <v>11</v>
      </c>
      <c r="K1177">
        <v>3</v>
      </c>
      <c r="L1177">
        <v>1</v>
      </c>
      <c r="M1177">
        <v>28</v>
      </c>
      <c r="N1177">
        <v>1</v>
      </c>
      <c r="O1177">
        <v>4</v>
      </c>
      <c r="P1177">
        <v>7</v>
      </c>
      <c r="Q1177">
        <v>7</v>
      </c>
      <c r="R1177">
        <v>4</v>
      </c>
      <c r="S1177" t="s">
        <v>34</v>
      </c>
      <c r="T1177" t="s">
        <v>37</v>
      </c>
      <c r="U1177" t="str">
        <f>IF(Table1[[#This Row],[YearsSince
LastPromotion]]&gt; 4, "Delayed", "Normal")</f>
        <v>Normal</v>
      </c>
      <c r="V1177" t="str">
        <f>IF(Table1[[#This Row],[Years
InCurrentRole]]&gt;4, "Role Stagnent", "Normal")</f>
        <v>Role Stagnent</v>
      </c>
      <c r="W1177" t="str">
        <f>IF(AND(Table1[[#This Row],[Years
InCurrentRole]]&gt; 4, Table1[[#This Row],[Performance
Rating]]&gt;=3), "High Risk", "Normal")</f>
        <v>High Risk</v>
      </c>
      <c r="X1177" t="str">
        <f>IF(Table1[[#This Row],[Performance
Rating]]&gt;=4, "High Performer", "Low Performer")</f>
        <v>Low Performer</v>
      </c>
    </row>
    <row r="1178" spans="2:24" x14ac:dyDescent="0.3">
      <c r="B1178" t="s">
        <v>27</v>
      </c>
      <c r="C1178" t="s">
        <v>20</v>
      </c>
      <c r="D1178">
        <v>1</v>
      </c>
      <c r="E1178" t="s">
        <v>28</v>
      </c>
      <c r="F1178">
        <v>3</v>
      </c>
      <c r="G1178" t="s">
        <v>32</v>
      </c>
      <c r="H1178">
        <v>1</v>
      </c>
      <c r="I1178">
        <v>9582</v>
      </c>
      <c r="J1178">
        <v>22</v>
      </c>
      <c r="K1178">
        <v>4</v>
      </c>
      <c r="L1178">
        <v>0</v>
      </c>
      <c r="M1178">
        <v>9</v>
      </c>
      <c r="N1178">
        <v>2</v>
      </c>
      <c r="O1178">
        <v>3</v>
      </c>
      <c r="P1178">
        <v>8</v>
      </c>
      <c r="Q1178">
        <v>7</v>
      </c>
      <c r="R1178">
        <v>4</v>
      </c>
      <c r="S1178" t="s">
        <v>34</v>
      </c>
      <c r="T1178" t="s">
        <v>37</v>
      </c>
      <c r="U1178" t="str">
        <f>IF(Table1[[#This Row],[YearsSince
LastPromotion]]&gt; 4, "Delayed", "Normal")</f>
        <v>Normal</v>
      </c>
      <c r="V1178" t="str">
        <f>IF(Table1[[#This Row],[Years
InCurrentRole]]&gt;4, "Role Stagnent", "Normal")</f>
        <v>Role Stagnent</v>
      </c>
      <c r="W1178" t="str">
        <f>IF(AND(Table1[[#This Row],[Years
InCurrentRole]]&gt; 4, Table1[[#This Row],[Performance
Rating]]&gt;=3), "High Risk", "Normal")</f>
        <v>High Risk</v>
      </c>
      <c r="X1178" t="str">
        <f>IF(Table1[[#This Row],[Performance
Rating]]&gt;=4, "High Performer", "Low Performer")</f>
        <v>High Performer</v>
      </c>
    </row>
    <row r="1179" spans="2:24" x14ac:dyDescent="0.3">
      <c r="B1179" t="s">
        <v>19</v>
      </c>
      <c r="C1179" t="s">
        <v>25</v>
      </c>
      <c r="D1179">
        <v>1</v>
      </c>
      <c r="E1179" t="s">
        <v>28</v>
      </c>
      <c r="F1179">
        <v>2</v>
      </c>
      <c r="G1179" t="s">
        <v>29</v>
      </c>
      <c r="H1179">
        <v>3</v>
      </c>
      <c r="I1179">
        <v>5679</v>
      </c>
      <c r="J1179">
        <v>13</v>
      </c>
      <c r="K1179">
        <v>3</v>
      </c>
      <c r="L1179">
        <v>1</v>
      </c>
      <c r="M1179">
        <v>10</v>
      </c>
      <c r="N1179">
        <v>3</v>
      </c>
      <c r="O1179">
        <v>3</v>
      </c>
      <c r="P1179">
        <v>8</v>
      </c>
      <c r="Q1179">
        <v>7</v>
      </c>
      <c r="R1179">
        <v>4</v>
      </c>
      <c r="S1179" t="s">
        <v>34</v>
      </c>
      <c r="T1179" t="s">
        <v>37</v>
      </c>
      <c r="U1179" t="str">
        <f>IF(Table1[[#This Row],[YearsSince
LastPromotion]]&gt; 4, "Delayed", "Normal")</f>
        <v>Normal</v>
      </c>
      <c r="V1179" t="str">
        <f>IF(Table1[[#This Row],[Years
InCurrentRole]]&gt;4, "Role Stagnent", "Normal")</f>
        <v>Role Stagnent</v>
      </c>
      <c r="W1179" t="str">
        <f>IF(AND(Table1[[#This Row],[Years
InCurrentRole]]&gt; 4, Table1[[#This Row],[Performance
Rating]]&gt;=3), "High Risk", "Normal")</f>
        <v>High Risk</v>
      </c>
      <c r="X1179" t="str">
        <f>IF(Table1[[#This Row],[Performance
Rating]]&gt;=4, "High Performer", "Low Performer")</f>
        <v>Low Performer</v>
      </c>
    </row>
    <row r="1180" spans="2:24" x14ac:dyDescent="0.3">
      <c r="B1180" t="s">
        <v>19</v>
      </c>
      <c r="C1180" t="s">
        <v>20</v>
      </c>
      <c r="D1180">
        <v>1</v>
      </c>
      <c r="E1180" t="s">
        <v>28</v>
      </c>
      <c r="F1180">
        <v>2</v>
      </c>
      <c r="G1180" t="s">
        <v>32</v>
      </c>
      <c r="H1180">
        <v>2</v>
      </c>
      <c r="I1180">
        <v>6825</v>
      </c>
      <c r="J1180">
        <v>11</v>
      </c>
      <c r="K1180">
        <v>3</v>
      </c>
      <c r="L1180">
        <v>1</v>
      </c>
      <c r="M1180">
        <v>10</v>
      </c>
      <c r="N1180">
        <v>2</v>
      </c>
      <c r="O1180">
        <v>3</v>
      </c>
      <c r="P1180">
        <v>9</v>
      </c>
      <c r="Q1180">
        <v>7</v>
      </c>
      <c r="R1180">
        <v>4</v>
      </c>
      <c r="S1180" t="s">
        <v>34</v>
      </c>
      <c r="T1180" t="s">
        <v>37</v>
      </c>
      <c r="U1180" t="str">
        <f>IF(Table1[[#This Row],[YearsSince
LastPromotion]]&gt; 4, "Delayed", "Normal")</f>
        <v>Normal</v>
      </c>
      <c r="V1180" t="str">
        <f>IF(Table1[[#This Row],[Years
InCurrentRole]]&gt;4, "Role Stagnent", "Normal")</f>
        <v>Role Stagnent</v>
      </c>
      <c r="W1180" t="str">
        <f>IF(AND(Table1[[#This Row],[Years
InCurrentRole]]&gt; 4, Table1[[#This Row],[Performance
Rating]]&gt;=3), "High Risk", "Normal")</f>
        <v>High Risk</v>
      </c>
      <c r="X1180" t="str">
        <f>IF(Table1[[#This Row],[Performance
Rating]]&gt;=4, "High Performer", "Low Performer")</f>
        <v>Low Performer</v>
      </c>
    </row>
    <row r="1181" spans="2:24" x14ac:dyDescent="0.3">
      <c r="B1181" t="s">
        <v>19</v>
      </c>
      <c r="C1181" t="s">
        <v>20</v>
      </c>
      <c r="D1181">
        <v>1</v>
      </c>
      <c r="E1181" t="s">
        <v>28</v>
      </c>
      <c r="F1181">
        <v>2</v>
      </c>
      <c r="G1181" t="s">
        <v>32</v>
      </c>
      <c r="H1181">
        <v>1</v>
      </c>
      <c r="I1181">
        <v>4385</v>
      </c>
      <c r="J1181">
        <v>15</v>
      </c>
      <c r="K1181">
        <v>3</v>
      </c>
      <c r="L1181">
        <v>1</v>
      </c>
      <c r="M1181">
        <v>10</v>
      </c>
      <c r="N1181">
        <v>2</v>
      </c>
      <c r="O1181">
        <v>3</v>
      </c>
      <c r="P1181">
        <v>10</v>
      </c>
      <c r="Q1181">
        <v>7</v>
      </c>
      <c r="R1181">
        <v>4</v>
      </c>
      <c r="S1181" t="s">
        <v>34</v>
      </c>
      <c r="T1181" t="s">
        <v>37</v>
      </c>
      <c r="U1181" t="str">
        <f>IF(Table1[[#This Row],[YearsSince
LastPromotion]]&gt; 4, "Delayed", "Normal")</f>
        <v>Normal</v>
      </c>
      <c r="V1181" t="str">
        <f>IF(Table1[[#This Row],[Years
InCurrentRole]]&gt;4, "Role Stagnent", "Normal")</f>
        <v>Role Stagnent</v>
      </c>
      <c r="W1181" t="str">
        <f>IF(AND(Table1[[#This Row],[Years
InCurrentRole]]&gt; 4, Table1[[#This Row],[Performance
Rating]]&gt;=3), "High Risk", "Normal")</f>
        <v>High Risk</v>
      </c>
      <c r="X1181" t="str">
        <f>IF(Table1[[#This Row],[Performance
Rating]]&gt;=4, "High Performer", "Low Performer")</f>
        <v>Low Performer</v>
      </c>
    </row>
    <row r="1182" spans="2:24" x14ac:dyDescent="0.3">
      <c r="B1182" t="s">
        <v>19</v>
      </c>
      <c r="C1182" t="s">
        <v>25</v>
      </c>
      <c r="D1182">
        <v>1</v>
      </c>
      <c r="E1182" t="s">
        <v>21</v>
      </c>
      <c r="F1182">
        <v>3</v>
      </c>
      <c r="G1182" t="s">
        <v>35</v>
      </c>
      <c r="H1182">
        <v>3</v>
      </c>
      <c r="I1182">
        <v>11031</v>
      </c>
      <c r="J1182">
        <v>20</v>
      </c>
      <c r="K1182">
        <v>4</v>
      </c>
      <c r="L1182">
        <v>1</v>
      </c>
      <c r="M1182">
        <v>13</v>
      </c>
      <c r="N1182">
        <v>2</v>
      </c>
      <c r="O1182">
        <v>4</v>
      </c>
      <c r="P1182">
        <v>11</v>
      </c>
      <c r="Q1182">
        <v>7</v>
      </c>
      <c r="R1182">
        <v>4</v>
      </c>
      <c r="S1182" t="s">
        <v>34</v>
      </c>
      <c r="T1182" t="s">
        <v>37</v>
      </c>
      <c r="U1182" t="str">
        <f>IF(Table1[[#This Row],[YearsSince
LastPromotion]]&gt; 4, "Delayed", "Normal")</f>
        <v>Normal</v>
      </c>
      <c r="V1182" t="str">
        <f>IF(Table1[[#This Row],[Years
InCurrentRole]]&gt;4, "Role Stagnent", "Normal")</f>
        <v>Role Stagnent</v>
      </c>
      <c r="W1182" t="str">
        <f>IF(AND(Table1[[#This Row],[Years
InCurrentRole]]&gt; 4, Table1[[#This Row],[Performance
Rating]]&gt;=3), "High Risk", "Normal")</f>
        <v>High Risk</v>
      </c>
      <c r="X1182" t="str">
        <f>IF(Table1[[#This Row],[Performance
Rating]]&gt;=4, "High Performer", "Low Performer")</f>
        <v>High Performer</v>
      </c>
    </row>
    <row r="1183" spans="2:24" x14ac:dyDescent="0.3">
      <c r="B1183" t="s">
        <v>19</v>
      </c>
      <c r="C1183" t="s">
        <v>25</v>
      </c>
      <c r="D1183">
        <v>1</v>
      </c>
      <c r="E1183" t="s">
        <v>21</v>
      </c>
      <c r="F1183">
        <v>2</v>
      </c>
      <c r="G1183" t="s">
        <v>33</v>
      </c>
      <c r="H1183">
        <v>1</v>
      </c>
      <c r="I1183">
        <v>5980</v>
      </c>
      <c r="J1183">
        <v>12</v>
      </c>
      <c r="K1183">
        <v>3</v>
      </c>
      <c r="L1183">
        <v>0</v>
      </c>
      <c r="M1183">
        <v>17</v>
      </c>
      <c r="N1183">
        <v>2</v>
      </c>
      <c r="O1183">
        <v>3</v>
      </c>
      <c r="P1183">
        <v>15</v>
      </c>
      <c r="Q1183">
        <v>7</v>
      </c>
      <c r="R1183">
        <v>4</v>
      </c>
      <c r="S1183" t="s">
        <v>34</v>
      </c>
      <c r="T1183" t="s">
        <v>37</v>
      </c>
      <c r="U1183" t="str">
        <f>IF(Table1[[#This Row],[YearsSince
LastPromotion]]&gt; 4, "Delayed", "Normal")</f>
        <v>Normal</v>
      </c>
      <c r="V1183" t="str">
        <f>IF(Table1[[#This Row],[Years
InCurrentRole]]&gt;4, "Role Stagnent", "Normal")</f>
        <v>Role Stagnent</v>
      </c>
      <c r="W1183" t="str">
        <f>IF(AND(Table1[[#This Row],[Years
InCurrentRole]]&gt; 4, Table1[[#This Row],[Performance
Rating]]&gt;=3), "High Risk", "Normal")</f>
        <v>High Risk</v>
      </c>
      <c r="X1183" t="str">
        <f>IF(Table1[[#This Row],[Performance
Rating]]&gt;=4, "High Performer", "Low Performer")</f>
        <v>Low Performer</v>
      </c>
    </row>
    <row r="1184" spans="2:24" x14ac:dyDescent="0.3">
      <c r="B1184" t="s">
        <v>19</v>
      </c>
      <c r="C1184" t="s">
        <v>25</v>
      </c>
      <c r="D1184">
        <v>1</v>
      </c>
      <c r="E1184" t="s">
        <v>28</v>
      </c>
      <c r="F1184">
        <v>4</v>
      </c>
      <c r="G1184" t="s">
        <v>31</v>
      </c>
      <c r="H1184">
        <v>4</v>
      </c>
      <c r="I1184">
        <v>13496</v>
      </c>
      <c r="J1184">
        <v>14</v>
      </c>
      <c r="K1184">
        <v>3</v>
      </c>
      <c r="L1184">
        <v>0</v>
      </c>
      <c r="M1184">
        <v>21</v>
      </c>
      <c r="N1184">
        <v>2</v>
      </c>
      <c r="O1184">
        <v>3</v>
      </c>
      <c r="P1184">
        <v>20</v>
      </c>
      <c r="Q1184">
        <v>7</v>
      </c>
      <c r="R1184">
        <v>4</v>
      </c>
      <c r="S1184" t="s">
        <v>34</v>
      </c>
      <c r="T1184" t="s">
        <v>37</v>
      </c>
      <c r="U1184" t="str">
        <f>IF(Table1[[#This Row],[YearsSince
LastPromotion]]&gt; 4, "Delayed", "Normal")</f>
        <v>Normal</v>
      </c>
      <c r="V1184" t="str">
        <f>IF(Table1[[#This Row],[Years
InCurrentRole]]&gt;4, "Role Stagnent", "Normal")</f>
        <v>Role Stagnent</v>
      </c>
      <c r="W1184" t="str">
        <f>IF(AND(Table1[[#This Row],[Years
InCurrentRole]]&gt; 4, Table1[[#This Row],[Performance
Rating]]&gt;=3), "High Risk", "Normal")</f>
        <v>High Risk</v>
      </c>
      <c r="X1184" t="str">
        <f>IF(Table1[[#This Row],[Performance
Rating]]&gt;=4, "High Performer", "Low Performer")</f>
        <v>Low Performer</v>
      </c>
    </row>
    <row r="1185" spans="2:24" x14ac:dyDescent="0.3">
      <c r="B1185" t="s">
        <v>19</v>
      </c>
      <c r="C1185" t="s">
        <v>25</v>
      </c>
      <c r="D1185">
        <v>1</v>
      </c>
      <c r="E1185" t="s">
        <v>28</v>
      </c>
      <c r="F1185">
        <v>5</v>
      </c>
      <c r="G1185" t="s">
        <v>35</v>
      </c>
      <c r="H1185">
        <v>3</v>
      </c>
      <c r="I1185">
        <v>19626</v>
      </c>
      <c r="J1185">
        <v>14</v>
      </c>
      <c r="K1185">
        <v>3</v>
      </c>
      <c r="L1185">
        <v>0</v>
      </c>
      <c r="M1185">
        <v>21</v>
      </c>
      <c r="N1185">
        <v>2</v>
      </c>
      <c r="O1185">
        <v>4</v>
      </c>
      <c r="P1185">
        <v>20</v>
      </c>
      <c r="Q1185">
        <v>7</v>
      </c>
      <c r="R1185">
        <v>4</v>
      </c>
      <c r="S1185" t="s">
        <v>34</v>
      </c>
      <c r="T1185" t="s">
        <v>37</v>
      </c>
      <c r="U1185" t="str">
        <f>IF(Table1[[#This Row],[YearsSince
LastPromotion]]&gt; 4, "Delayed", "Normal")</f>
        <v>Normal</v>
      </c>
      <c r="V1185" t="str">
        <f>IF(Table1[[#This Row],[Years
InCurrentRole]]&gt;4, "Role Stagnent", "Normal")</f>
        <v>Role Stagnent</v>
      </c>
      <c r="W1185" t="str">
        <f>IF(AND(Table1[[#This Row],[Years
InCurrentRole]]&gt; 4, Table1[[#This Row],[Performance
Rating]]&gt;=3), "High Risk", "Normal")</f>
        <v>High Risk</v>
      </c>
      <c r="X1185" t="str">
        <f>IF(Table1[[#This Row],[Performance
Rating]]&gt;=4, "High Performer", "Low Performer")</f>
        <v>Low Performer</v>
      </c>
    </row>
    <row r="1186" spans="2:24" x14ac:dyDescent="0.3">
      <c r="B1186" t="s">
        <v>19</v>
      </c>
      <c r="C1186" t="s">
        <v>25</v>
      </c>
      <c r="D1186">
        <v>1</v>
      </c>
      <c r="E1186" t="s">
        <v>28</v>
      </c>
      <c r="F1186">
        <v>3</v>
      </c>
      <c r="G1186" t="s">
        <v>33</v>
      </c>
      <c r="H1186">
        <v>4</v>
      </c>
      <c r="I1186">
        <v>8578</v>
      </c>
      <c r="J1186">
        <v>14</v>
      </c>
      <c r="K1186">
        <v>3</v>
      </c>
      <c r="L1186">
        <v>1</v>
      </c>
      <c r="M1186">
        <v>12</v>
      </c>
      <c r="N1186">
        <v>4</v>
      </c>
      <c r="O1186">
        <v>2</v>
      </c>
      <c r="P1186">
        <v>9</v>
      </c>
      <c r="Q1186">
        <v>8</v>
      </c>
      <c r="R1186">
        <v>4</v>
      </c>
      <c r="S1186" t="s">
        <v>23</v>
      </c>
      <c r="T1186" t="s">
        <v>37</v>
      </c>
      <c r="U1186" t="str">
        <f>IF(Table1[[#This Row],[YearsSince
LastPromotion]]&gt; 4, "Delayed", "Normal")</f>
        <v>Normal</v>
      </c>
      <c r="V1186" t="str">
        <f>IF(Table1[[#This Row],[Years
InCurrentRole]]&gt;4, "Role Stagnent", "Normal")</f>
        <v>Role Stagnent</v>
      </c>
      <c r="W1186" t="str">
        <f>IF(AND(Table1[[#This Row],[Years
InCurrentRole]]&gt; 4, Table1[[#This Row],[Performance
Rating]]&gt;=3), "High Risk", "Normal")</f>
        <v>High Risk</v>
      </c>
      <c r="X1186" t="str">
        <f>IF(Table1[[#This Row],[Performance
Rating]]&gt;=4, "High Performer", "Low Performer")</f>
        <v>Low Performer</v>
      </c>
    </row>
    <row r="1187" spans="2:24" x14ac:dyDescent="0.3">
      <c r="B1187" t="s">
        <v>27</v>
      </c>
      <c r="C1187" t="s">
        <v>20</v>
      </c>
      <c r="D1187">
        <v>1</v>
      </c>
      <c r="E1187" t="s">
        <v>28</v>
      </c>
      <c r="F1187">
        <v>3</v>
      </c>
      <c r="G1187" t="s">
        <v>32</v>
      </c>
      <c r="H1187">
        <v>4</v>
      </c>
      <c r="I1187">
        <v>9619</v>
      </c>
      <c r="J1187">
        <v>16</v>
      </c>
      <c r="K1187">
        <v>3</v>
      </c>
      <c r="L1187">
        <v>0</v>
      </c>
      <c r="M1187">
        <v>9</v>
      </c>
      <c r="N1187">
        <v>3</v>
      </c>
      <c r="O1187">
        <v>3</v>
      </c>
      <c r="P1187">
        <v>9</v>
      </c>
      <c r="Q1187">
        <v>8</v>
      </c>
      <c r="R1187">
        <v>4</v>
      </c>
      <c r="S1187" t="s">
        <v>34</v>
      </c>
      <c r="T1187" t="s">
        <v>37</v>
      </c>
      <c r="U1187" t="str">
        <f>IF(Table1[[#This Row],[YearsSince
LastPromotion]]&gt; 4, "Delayed", "Normal")</f>
        <v>Normal</v>
      </c>
      <c r="V1187" t="str">
        <f>IF(Table1[[#This Row],[Years
InCurrentRole]]&gt;4, "Role Stagnent", "Normal")</f>
        <v>Role Stagnent</v>
      </c>
      <c r="W1187" t="str">
        <f>IF(AND(Table1[[#This Row],[Years
InCurrentRole]]&gt; 4, Table1[[#This Row],[Performance
Rating]]&gt;=3), "High Risk", "Normal")</f>
        <v>High Risk</v>
      </c>
      <c r="X1187" t="str">
        <f>IF(Table1[[#This Row],[Performance
Rating]]&gt;=4, "High Performer", "Low Performer")</f>
        <v>Low Performer</v>
      </c>
    </row>
    <row r="1188" spans="2:24" x14ac:dyDescent="0.3">
      <c r="B1188" t="s">
        <v>19</v>
      </c>
      <c r="C1188" t="s">
        <v>25</v>
      </c>
      <c r="D1188">
        <v>1</v>
      </c>
      <c r="E1188" t="s">
        <v>28</v>
      </c>
      <c r="F1188">
        <v>2</v>
      </c>
      <c r="G1188" t="s">
        <v>26</v>
      </c>
      <c r="H1188">
        <v>4</v>
      </c>
      <c r="I1188">
        <v>3319</v>
      </c>
      <c r="J1188">
        <v>17</v>
      </c>
      <c r="K1188">
        <v>3</v>
      </c>
      <c r="L1188">
        <v>2</v>
      </c>
      <c r="M1188">
        <v>9</v>
      </c>
      <c r="N1188">
        <v>3</v>
      </c>
      <c r="O1188">
        <v>3</v>
      </c>
      <c r="P1188">
        <v>9</v>
      </c>
      <c r="Q1188">
        <v>8</v>
      </c>
      <c r="R1188">
        <v>4</v>
      </c>
      <c r="S1188" t="s">
        <v>34</v>
      </c>
      <c r="T1188" t="s">
        <v>37</v>
      </c>
      <c r="U1188" t="str">
        <f>IF(Table1[[#This Row],[YearsSince
LastPromotion]]&gt; 4, "Delayed", "Normal")</f>
        <v>Normal</v>
      </c>
      <c r="V1188" t="str">
        <f>IF(Table1[[#This Row],[Years
InCurrentRole]]&gt;4, "Role Stagnent", "Normal")</f>
        <v>Role Stagnent</v>
      </c>
      <c r="W1188" t="str">
        <f>IF(AND(Table1[[#This Row],[Years
InCurrentRole]]&gt; 4, Table1[[#This Row],[Performance
Rating]]&gt;=3), "High Risk", "Normal")</f>
        <v>High Risk</v>
      </c>
      <c r="X1188" t="str">
        <f>IF(Table1[[#This Row],[Performance
Rating]]&gt;=4, "High Performer", "Low Performer")</f>
        <v>Low Performer</v>
      </c>
    </row>
    <row r="1189" spans="2:24" x14ac:dyDescent="0.3">
      <c r="B1189" t="s">
        <v>19</v>
      </c>
      <c r="C1189" t="s">
        <v>25</v>
      </c>
      <c r="D1189">
        <v>1</v>
      </c>
      <c r="E1189" t="s">
        <v>28</v>
      </c>
      <c r="F1189">
        <v>3</v>
      </c>
      <c r="G1189" t="s">
        <v>35</v>
      </c>
      <c r="H1189">
        <v>2</v>
      </c>
      <c r="I1189">
        <v>13757</v>
      </c>
      <c r="J1189">
        <v>11</v>
      </c>
      <c r="K1189">
        <v>3</v>
      </c>
      <c r="L1189">
        <v>1</v>
      </c>
      <c r="M1189">
        <v>16</v>
      </c>
      <c r="N1189">
        <v>5</v>
      </c>
      <c r="O1189">
        <v>3</v>
      </c>
      <c r="P1189">
        <v>9</v>
      </c>
      <c r="Q1189">
        <v>8</v>
      </c>
      <c r="R1189">
        <v>4</v>
      </c>
      <c r="S1189" t="s">
        <v>34</v>
      </c>
      <c r="T1189" t="s">
        <v>37</v>
      </c>
      <c r="U1189" t="str">
        <f>IF(Table1[[#This Row],[YearsSince
LastPromotion]]&gt; 4, "Delayed", "Normal")</f>
        <v>Normal</v>
      </c>
      <c r="V1189" t="str">
        <f>IF(Table1[[#This Row],[Years
InCurrentRole]]&gt;4, "Role Stagnent", "Normal")</f>
        <v>Role Stagnent</v>
      </c>
      <c r="W1189" t="str">
        <f>IF(AND(Table1[[#This Row],[Years
InCurrentRole]]&gt; 4, Table1[[#This Row],[Performance
Rating]]&gt;=3), "High Risk", "Normal")</f>
        <v>High Risk</v>
      </c>
      <c r="X1189" t="str">
        <f>IF(Table1[[#This Row],[Performance
Rating]]&gt;=4, "High Performer", "Low Performer")</f>
        <v>Low Performer</v>
      </c>
    </row>
    <row r="1190" spans="2:24" x14ac:dyDescent="0.3">
      <c r="B1190" t="s">
        <v>27</v>
      </c>
      <c r="C1190" t="s">
        <v>25</v>
      </c>
      <c r="D1190">
        <v>1</v>
      </c>
      <c r="E1190" t="s">
        <v>21</v>
      </c>
      <c r="F1190">
        <v>3</v>
      </c>
      <c r="G1190" t="s">
        <v>33</v>
      </c>
      <c r="H1190">
        <v>2</v>
      </c>
      <c r="I1190">
        <v>7446</v>
      </c>
      <c r="J1190">
        <v>11</v>
      </c>
      <c r="K1190">
        <v>3</v>
      </c>
      <c r="L1190">
        <v>0</v>
      </c>
      <c r="M1190">
        <v>10</v>
      </c>
      <c r="N1190">
        <v>2</v>
      </c>
      <c r="O1190">
        <v>3</v>
      </c>
      <c r="P1190">
        <v>10</v>
      </c>
      <c r="Q1190">
        <v>8</v>
      </c>
      <c r="R1190">
        <v>4</v>
      </c>
      <c r="S1190" t="s">
        <v>34</v>
      </c>
      <c r="T1190" t="s">
        <v>37</v>
      </c>
      <c r="U1190" t="str">
        <f>IF(Table1[[#This Row],[YearsSince
LastPromotion]]&gt; 4, "Delayed", "Normal")</f>
        <v>Normal</v>
      </c>
      <c r="V1190" t="str">
        <f>IF(Table1[[#This Row],[Years
InCurrentRole]]&gt;4, "Role Stagnent", "Normal")</f>
        <v>Role Stagnent</v>
      </c>
      <c r="W1190" t="str">
        <f>IF(AND(Table1[[#This Row],[Years
InCurrentRole]]&gt; 4, Table1[[#This Row],[Performance
Rating]]&gt;=3), "High Risk", "Normal")</f>
        <v>High Risk</v>
      </c>
      <c r="X1190" t="str">
        <f>IF(Table1[[#This Row],[Performance
Rating]]&gt;=4, "High Performer", "Low Performer")</f>
        <v>Low Performer</v>
      </c>
    </row>
    <row r="1191" spans="2:24" x14ac:dyDescent="0.3">
      <c r="B1191" t="s">
        <v>19</v>
      </c>
      <c r="C1191" t="s">
        <v>25</v>
      </c>
      <c r="D1191">
        <v>1</v>
      </c>
      <c r="E1191" t="s">
        <v>28</v>
      </c>
      <c r="F1191">
        <v>2</v>
      </c>
      <c r="G1191" t="s">
        <v>29</v>
      </c>
      <c r="H1191">
        <v>4</v>
      </c>
      <c r="I1191">
        <v>5309</v>
      </c>
      <c r="J1191">
        <v>15</v>
      </c>
      <c r="K1191">
        <v>3</v>
      </c>
      <c r="L1191">
        <v>2</v>
      </c>
      <c r="M1191">
        <v>10</v>
      </c>
      <c r="N1191">
        <v>2</v>
      </c>
      <c r="O1191">
        <v>3</v>
      </c>
      <c r="P1191">
        <v>10</v>
      </c>
      <c r="Q1191">
        <v>8</v>
      </c>
      <c r="R1191">
        <v>4</v>
      </c>
      <c r="S1191" t="s">
        <v>34</v>
      </c>
      <c r="T1191" t="s">
        <v>37</v>
      </c>
      <c r="U1191" t="str">
        <f>IF(Table1[[#This Row],[YearsSince
LastPromotion]]&gt; 4, "Delayed", "Normal")</f>
        <v>Normal</v>
      </c>
      <c r="V1191" t="str">
        <f>IF(Table1[[#This Row],[Years
InCurrentRole]]&gt;4, "Role Stagnent", "Normal")</f>
        <v>Role Stagnent</v>
      </c>
      <c r="W1191" t="str">
        <f>IF(AND(Table1[[#This Row],[Years
InCurrentRole]]&gt; 4, Table1[[#This Row],[Performance
Rating]]&gt;=3), "High Risk", "Normal")</f>
        <v>High Risk</v>
      </c>
      <c r="X1191" t="str">
        <f>IF(Table1[[#This Row],[Performance
Rating]]&gt;=4, "High Performer", "Low Performer")</f>
        <v>Low Performer</v>
      </c>
    </row>
    <row r="1192" spans="2:24" x14ac:dyDescent="0.3">
      <c r="B1192" t="s">
        <v>19</v>
      </c>
      <c r="C1192" t="s">
        <v>20</v>
      </c>
      <c r="D1192">
        <v>1</v>
      </c>
      <c r="E1192" t="s">
        <v>28</v>
      </c>
      <c r="F1192">
        <v>2</v>
      </c>
      <c r="G1192" t="s">
        <v>32</v>
      </c>
      <c r="H1192">
        <v>3</v>
      </c>
      <c r="I1192">
        <v>6799</v>
      </c>
      <c r="J1192">
        <v>21</v>
      </c>
      <c r="K1192">
        <v>4</v>
      </c>
      <c r="L1192">
        <v>2</v>
      </c>
      <c r="M1192">
        <v>10</v>
      </c>
      <c r="N1192">
        <v>5</v>
      </c>
      <c r="O1192">
        <v>3</v>
      </c>
      <c r="P1192">
        <v>10</v>
      </c>
      <c r="Q1192">
        <v>8</v>
      </c>
      <c r="R1192">
        <v>4</v>
      </c>
      <c r="S1192" t="s">
        <v>34</v>
      </c>
      <c r="T1192" t="s">
        <v>37</v>
      </c>
      <c r="U1192" t="str">
        <f>IF(Table1[[#This Row],[YearsSince
LastPromotion]]&gt; 4, "Delayed", "Normal")</f>
        <v>Normal</v>
      </c>
      <c r="V1192" t="str">
        <f>IF(Table1[[#This Row],[Years
InCurrentRole]]&gt;4, "Role Stagnent", "Normal")</f>
        <v>Role Stagnent</v>
      </c>
      <c r="W1192" t="str">
        <f>IF(AND(Table1[[#This Row],[Years
InCurrentRole]]&gt; 4, Table1[[#This Row],[Performance
Rating]]&gt;=3), "High Risk", "Normal")</f>
        <v>High Risk</v>
      </c>
      <c r="X1192" t="str">
        <f>IF(Table1[[#This Row],[Performance
Rating]]&gt;=4, "High Performer", "Low Performer")</f>
        <v>High Performer</v>
      </c>
    </row>
    <row r="1193" spans="2:24" x14ac:dyDescent="0.3">
      <c r="B1193" t="s">
        <v>19</v>
      </c>
      <c r="C1193" t="s">
        <v>25</v>
      </c>
      <c r="D1193">
        <v>1</v>
      </c>
      <c r="E1193" t="s">
        <v>21</v>
      </c>
      <c r="F1193">
        <v>4</v>
      </c>
      <c r="G1193" t="s">
        <v>22</v>
      </c>
      <c r="H1193">
        <v>3</v>
      </c>
      <c r="I1193">
        <v>17426</v>
      </c>
      <c r="J1193">
        <v>25</v>
      </c>
      <c r="K1193">
        <v>4</v>
      </c>
      <c r="L1193">
        <v>1</v>
      </c>
      <c r="M1193">
        <v>36</v>
      </c>
      <c r="N1193">
        <v>6</v>
      </c>
      <c r="O1193">
        <v>3</v>
      </c>
      <c r="P1193">
        <v>10</v>
      </c>
      <c r="Q1193">
        <v>8</v>
      </c>
      <c r="R1193">
        <v>4</v>
      </c>
      <c r="S1193" t="s">
        <v>34</v>
      </c>
      <c r="T1193" t="s">
        <v>37</v>
      </c>
      <c r="U1193" t="str">
        <f>IF(Table1[[#This Row],[YearsSince
LastPromotion]]&gt; 4, "Delayed", "Normal")</f>
        <v>Normal</v>
      </c>
      <c r="V1193" t="str">
        <f>IF(Table1[[#This Row],[Years
InCurrentRole]]&gt;4, "Role Stagnent", "Normal")</f>
        <v>Role Stagnent</v>
      </c>
      <c r="W1193" t="str">
        <f>IF(AND(Table1[[#This Row],[Years
InCurrentRole]]&gt; 4, Table1[[#This Row],[Performance
Rating]]&gt;=3), "High Risk", "Normal")</f>
        <v>High Risk</v>
      </c>
      <c r="X1193" t="str">
        <f>IF(Table1[[#This Row],[Performance
Rating]]&gt;=4, "High Performer", "Low Performer")</f>
        <v>High Performer</v>
      </c>
    </row>
    <row r="1194" spans="2:24" x14ac:dyDescent="0.3">
      <c r="B1194" t="s">
        <v>19</v>
      </c>
      <c r="C1194" t="s">
        <v>20</v>
      </c>
      <c r="D1194">
        <v>1</v>
      </c>
      <c r="E1194" t="s">
        <v>28</v>
      </c>
      <c r="F1194">
        <v>2</v>
      </c>
      <c r="G1194" t="s">
        <v>32</v>
      </c>
      <c r="H1194">
        <v>3</v>
      </c>
      <c r="I1194">
        <v>5484</v>
      </c>
      <c r="J1194">
        <v>14</v>
      </c>
      <c r="K1194">
        <v>3</v>
      </c>
      <c r="L1194">
        <v>1</v>
      </c>
      <c r="M1194">
        <v>13</v>
      </c>
      <c r="N1194">
        <v>3</v>
      </c>
      <c r="O1194">
        <v>2</v>
      </c>
      <c r="P1194">
        <v>13</v>
      </c>
      <c r="Q1194">
        <v>8</v>
      </c>
      <c r="R1194">
        <v>4</v>
      </c>
      <c r="S1194" t="s">
        <v>23</v>
      </c>
      <c r="T1194" t="s">
        <v>37</v>
      </c>
      <c r="U1194" t="str">
        <f>IF(Table1[[#This Row],[YearsSince
LastPromotion]]&gt; 4, "Delayed", "Normal")</f>
        <v>Normal</v>
      </c>
      <c r="V1194" t="str">
        <f>IF(Table1[[#This Row],[Years
InCurrentRole]]&gt;4, "Role Stagnent", "Normal")</f>
        <v>Role Stagnent</v>
      </c>
      <c r="W1194" t="str">
        <f>IF(AND(Table1[[#This Row],[Years
InCurrentRole]]&gt; 4, Table1[[#This Row],[Performance
Rating]]&gt;=3), "High Risk", "Normal")</f>
        <v>High Risk</v>
      </c>
      <c r="X1194" t="str">
        <f>IF(Table1[[#This Row],[Performance
Rating]]&gt;=4, "High Performer", "Low Performer")</f>
        <v>Low Performer</v>
      </c>
    </row>
    <row r="1195" spans="2:24" x14ac:dyDescent="0.3">
      <c r="B1195" t="s">
        <v>19</v>
      </c>
      <c r="C1195" t="s">
        <v>25</v>
      </c>
      <c r="D1195">
        <v>1</v>
      </c>
      <c r="E1195" t="s">
        <v>28</v>
      </c>
      <c r="F1195">
        <v>2</v>
      </c>
      <c r="G1195" t="s">
        <v>31</v>
      </c>
      <c r="H1195">
        <v>4</v>
      </c>
      <c r="I1195">
        <v>6586</v>
      </c>
      <c r="J1195">
        <v>17</v>
      </c>
      <c r="K1195">
        <v>3</v>
      </c>
      <c r="L1195">
        <v>1</v>
      </c>
      <c r="M1195">
        <v>17</v>
      </c>
      <c r="N1195">
        <v>2</v>
      </c>
      <c r="O1195">
        <v>2</v>
      </c>
      <c r="P1195">
        <v>16</v>
      </c>
      <c r="Q1195">
        <v>8</v>
      </c>
      <c r="R1195">
        <v>4</v>
      </c>
      <c r="S1195" t="s">
        <v>23</v>
      </c>
      <c r="T1195" t="s">
        <v>37</v>
      </c>
      <c r="U1195" t="str">
        <f>IF(Table1[[#This Row],[YearsSince
LastPromotion]]&gt; 4, "Delayed", "Normal")</f>
        <v>Normal</v>
      </c>
      <c r="V1195" t="str">
        <f>IF(Table1[[#This Row],[Years
InCurrentRole]]&gt;4, "Role Stagnent", "Normal")</f>
        <v>Role Stagnent</v>
      </c>
      <c r="W1195" t="str">
        <f>IF(AND(Table1[[#This Row],[Years
InCurrentRole]]&gt; 4, Table1[[#This Row],[Performance
Rating]]&gt;=3), "High Risk", "Normal")</f>
        <v>High Risk</v>
      </c>
      <c r="X1195" t="str">
        <f>IF(Table1[[#This Row],[Performance
Rating]]&gt;=4, "High Performer", "Low Performer")</f>
        <v>Low Performer</v>
      </c>
    </row>
    <row r="1196" spans="2:24" x14ac:dyDescent="0.3">
      <c r="B1196" t="s">
        <v>19</v>
      </c>
      <c r="C1196" t="s">
        <v>25</v>
      </c>
      <c r="D1196">
        <v>1</v>
      </c>
      <c r="E1196" t="s">
        <v>28</v>
      </c>
      <c r="F1196">
        <v>3</v>
      </c>
      <c r="G1196" t="s">
        <v>35</v>
      </c>
      <c r="H1196">
        <v>2</v>
      </c>
      <c r="I1196">
        <v>12490</v>
      </c>
      <c r="J1196">
        <v>16</v>
      </c>
      <c r="K1196">
        <v>3</v>
      </c>
      <c r="L1196">
        <v>2</v>
      </c>
      <c r="M1196">
        <v>16</v>
      </c>
      <c r="N1196">
        <v>5</v>
      </c>
      <c r="O1196">
        <v>1</v>
      </c>
      <c r="P1196">
        <v>10</v>
      </c>
      <c r="Q1196">
        <v>9</v>
      </c>
      <c r="R1196">
        <v>4</v>
      </c>
      <c r="S1196" t="s">
        <v>23</v>
      </c>
      <c r="T1196" t="s">
        <v>37</v>
      </c>
      <c r="U1196" t="str">
        <f>IF(Table1[[#This Row],[YearsSince
LastPromotion]]&gt; 4, "Delayed", "Normal")</f>
        <v>Normal</v>
      </c>
      <c r="V1196" t="str">
        <f>IF(Table1[[#This Row],[Years
InCurrentRole]]&gt;4, "Role Stagnent", "Normal")</f>
        <v>Role Stagnent</v>
      </c>
      <c r="W1196" t="str">
        <f>IF(AND(Table1[[#This Row],[Years
InCurrentRole]]&gt; 4, Table1[[#This Row],[Performance
Rating]]&gt;=3), "High Risk", "Normal")</f>
        <v>High Risk</v>
      </c>
      <c r="X1196" t="str">
        <f>IF(Table1[[#This Row],[Performance
Rating]]&gt;=4, "High Performer", "Low Performer")</f>
        <v>Low Performer</v>
      </c>
    </row>
    <row r="1197" spans="2:24" x14ac:dyDescent="0.3">
      <c r="B1197" t="s">
        <v>19</v>
      </c>
      <c r="C1197" t="s">
        <v>36</v>
      </c>
      <c r="D1197">
        <v>1</v>
      </c>
      <c r="E1197" t="s">
        <v>28</v>
      </c>
      <c r="F1197">
        <v>2</v>
      </c>
      <c r="G1197" t="s">
        <v>36</v>
      </c>
      <c r="H1197">
        <v>4</v>
      </c>
      <c r="I1197">
        <v>6347</v>
      </c>
      <c r="J1197">
        <v>19</v>
      </c>
      <c r="K1197">
        <v>3</v>
      </c>
      <c r="L1197">
        <v>0</v>
      </c>
      <c r="M1197">
        <v>12</v>
      </c>
      <c r="N1197">
        <v>2</v>
      </c>
      <c r="O1197">
        <v>1</v>
      </c>
      <c r="P1197">
        <v>11</v>
      </c>
      <c r="Q1197">
        <v>9</v>
      </c>
      <c r="R1197">
        <v>4</v>
      </c>
      <c r="S1197" t="s">
        <v>23</v>
      </c>
      <c r="T1197" t="s">
        <v>37</v>
      </c>
      <c r="U1197" t="str">
        <f>IF(Table1[[#This Row],[YearsSince
LastPromotion]]&gt; 4, "Delayed", "Normal")</f>
        <v>Normal</v>
      </c>
      <c r="V1197" t="str">
        <f>IF(Table1[[#This Row],[Years
InCurrentRole]]&gt;4, "Role Stagnent", "Normal")</f>
        <v>Role Stagnent</v>
      </c>
      <c r="W1197" t="str">
        <f>IF(AND(Table1[[#This Row],[Years
InCurrentRole]]&gt; 4, Table1[[#This Row],[Performance
Rating]]&gt;=3), "High Risk", "Normal")</f>
        <v>High Risk</v>
      </c>
      <c r="X1197" t="str">
        <f>IF(Table1[[#This Row],[Performance
Rating]]&gt;=4, "High Performer", "Low Performer")</f>
        <v>Low Performer</v>
      </c>
    </row>
    <row r="1198" spans="2:24" x14ac:dyDescent="0.3">
      <c r="B1198" t="s">
        <v>19</v>
      </c>
      <c r="C1198" t="s">
        <v>25</v>
      </c>
      <c r="D1198">
        <v>1</v>
      </c>
      <c r="E1198" t="s">
        <v>21</v>
      </c>
      <c r="F1198">
        <v>3</v>
      </c>
      <c r="G1198" t="s">
        <v>33</v>
      </c>
      <c r="H1198">
        <v>4</v>
      </c>
      <c r="I1198">
        <v>7143</v>
      </c>
      <c r="J1198">
        <v>14</v>
      </c>
      <c r="K1198">
        <v>3</v>
      </c>
      <c r="L1198">
        <v>0</v>
      </c>
      <c r="M1198">
        <v>11</v>
      </c>
      <c r="N1198">
        <v>2</v>
      </c>
      <c r="O1198">
        <v>2</v>
      </c>
      <c r="P1198">
        <v>11</v>
      </c>
      <c r="Q1198">
        <v>9</v>
      </c>
      <c r="R1198">
        <v>4</v>
      </c>
      <c r="S1198" t="s">
        <v>23</v>
      </c>
      <c r="T1198" t="s">
        <v>37</v>
      </c>
      <c r="U1198" t="str">
        <f>IF(Table1[[#This Row],[YearsSince
LastPromotion]]&gt; 4, "Delayed", "Normal")</f>
        <v>Normal</v>
      </c>
      <c r="V1198" t="str">
        <f>IF(Table1[[#This Row],[Years
InCurrentRole]]&gt;4, "Role Stagnent", "Normal")</f>
        <v>Role Stagnent</v>
      </c>
      <c r="W1198" t="str">
        <f>IF(AND(Table1[[#This Row],[Years
InCurrentRole]]&gt; 4, Table1[[#This Row],[Performance
Rating]]&gt;=3), "High Risk", "Normal")</f>
        <v>High Risk</v>
      </c>
      <c r="X1198" t="str">
        <f>IF(Table1[[#This Row],[Performance
Rating]]&gt;=4, "High Performer", "Low Performer")</f>
        <v>Low Performer</v>
      </c>
    </row>
    <row r="1199" spans="2:24" x14ac:dyDescent="0.3">
      <c r="B1199" t="s">
        <v>19</v>
      </c>
      <c r="C1199" t="s">
        <v>20</v>
      </c>
      <c r="D1199">
        <v>1</v>
      </c>
      <c r="E1199" t="s">
        <v>28</v>
      </c>
      <c r="F1199">
        <v>4</v>
      </c>
      <c r="G1199" t="s">
        <v>22</v>
      </c>
      <c r="H1199">
        <v>3</v>
      </c>
      <c r="I1199">
        <v>17465</v>
      </c>
      <c r="J1199">
        <v>12</v>
      </c>
      <c r="K1199">
        <v>3</v>
      </c>
      <c r="L1199">
        <v>1</v>
      </c>
      <c r="M1199">
        <v>23</v>
      </c>
      <c r="N1199">
        <v>3</v>
      </c>
      <c r="O1199">
        <v>3</v>
      </c>
      <c r="P1199">
        <v>12</v>
      </c>
      <c r="Q1199">
        <v>9</v>
      </c>
      <c r="R1199">
        <v>4</v>
      </c>
      <c r="S1199" t="s">
        <v>34</v>
      </c>
      <c r="T1199" t="s">
        <v>37</v>
      </c>
      <c r="U1199" t="str">
        <f>IF(Table1[[#This Row],[YearsSince
LastPromotion]]&gt; 4, "Delayed", "Normal")</f>
        <v>Normal</v>
      </c>
      <c r="V1199" t="str">
        <f>IF(Table1[[#This Row],[Years
InCurrentRole]]&gt;4, "Role Stagnent", "Normal")</f>
        <v>Role Stagnent</v>
      </c>
      <c r="W1199" t="str">
        <f>IF(AND(Table1[[#This Row],[Years
InCurrentRole]]&gt; 4, Table1[[#This Row],[Performance
Rating]]&gt;=3), "High Risk", "Normal")</f>
        <v>High Risk</v>
      </c>
      <c r="X1199" t="str">
        <f>IF(Table1[[#This Row],[Performance
Rating]]&gt;=4, "High Performer", "Low Performer")</f>
        <v>Low Performer</v>
      </c>
    </row>
    <row r="1200" spans="2:24" x14ac:dyDescent="0.3">
      <c r="B1200" t="s">
        <v>19</v>
      </c>
      <c r="C1200" t="s">
        <v>25</v>
      </c>
      <c r="D1200">
        <v>1</v>
      </c>
      <c r="E1200" t="s">
        <v>28</v>
      </c>
      <c r="F1200">
        <v>2</v>
      </c>
      <c r="G1200" t="s">
        <v>31</v>
      </c>
      <c r="H1200">
        <v>1</v>
      </c>
      <c r="I1200">
        <v>5343</v>
      </c>
      <c r="J1200">
        <v>20</v>
      </c>
      <c r="K1200">
        <v>4</v>
      </c>
      <c r="L1200">
        <v>0</v>
      </c>
      <c r="M1200">
        <v>14</v>
      </c>
      <c r="N1200">
        <v>3</v>
      </c>
      <c r="O1200">
        <v>3</v>
      </c>
      <c r="P1200">
        <v>13</v>
      </c>
      <c r="Q1200">
        <v>9</v>
      </c>
      <c r="R1200">
        <v>4</v>
      </c>
      <c r="S1200" t="s">
        <v>34</v>
      </c>
      <c r="T1200" t="s">
        <v>37</v>
      </c>
      <c r="U1200" t="str">
        <f>IF(Table1[[#This Row],[YearsSince
LastPromotion]]&gt; 4, "Delayed", "Normal")</f>
        <v>Normal</v>
      </c>
      <c r="V1200" t="str">
        <f>IF(Table1[[#This Row],[Years
InCurrentRole]]&gt;4, "Role Stagnent", "Normal")</f>
        <v>Role Stagnent</v>
      </c>
      <c r="W1200" t="str">
        <f>IF(AND(Table1[[#This Row],[Years
InCurrentRole]]&gt; 4, Table1[[#This Row],[Performance
Rating]]&gt;=3), "High Risk", "Normal")</f>
        <v>High Risk</v>
      </c>
      <c r="X1200" t="str">
        <f>IF(Table1[[#This Row],[Performance
Rating]]&gt;=4, "High Performer", "Low Performer")</f>
        <v>High Performer</v>
      </c>
    </row>
    <row r="1201" spans="2:24" x14ac:dyDescent="0.3">
      <c r="B1201" t="s">
        <v>19</v>
      </c>
      <c r="C1201" t="s">
        <v>20</v>
      </c>
      <c r="D1201">
        <v>1</v>
      </c>
      <c r="E1201" t="s">
        <v>21</v>
      </c>
      <c r="F1201">
        <v>3</v>
      </c>
      <c r="G1201" t="s">
        <v>32</v>
      </c>
      <c r="H1201">
        <v>4</v>
      </c>
      <c r="I1201">
        <v>7918</v>
      </c>
      <c r="J1201">
        <v>14</v>
      </c>
      <c r="K1201">
        <v>3</v>
      </c>
      <c r="L1201">
        <v>1</v>
      </c>
      <c r="M1201">
        <v>11</v>
      </c>
      <c r="N1201">
        <v>5</v>
      </c>
      <c r="O1201">
        <v>3</v>
      </c>
      <c r="P1201">
        <v>11</v>
      </c>
      <c r="Q1201">
        <v>10</v>
      </c>
      <c r="R1201">
        <v>4</v>
      </c>
      <c r="S1201" t="s">
        <v>34</v>
      </c>
      <c r="T1201" t="s">
        <v>37</v>
      </c>
      <c r="U1201" t="str">
        <f>IF(Table1[[#This Row],[YearsSince
LastPromotion]]&gt; 4, "Delayed", "Normal")</f>
        <v>Normal</v>
      </c>
      <c r="V1201" t="str">
        <f>IF(Table1[[#This Row],[Years
InCurrentRole]]&gt;4, "Role Stagnent", "Normal")</f>
        <v>Role Stagnent</v>
      </c>
      <c r="W1201" t="str">
        <f>IF(AND(Table1[[#This Row],[Years
InCurrentRole]]&gt; 4, Table1[[#This Row],[Performance
Rating]]&gt;=3), "High Risk", "Normal")</f>
        <v>High Risk</v>
      </c>
      <c r="X1201" t="str">
        <f>IF(Table1[[#This Row],[Performance
Rating]]&gt;=4, "High Performer", "Low Performer")</f>
        <v>Low Performer</v>
      </c>
    </row>
    <row r="1202" spans="2:24" x14ac:dyDescent="0.3">
      <c r="B1202" t="s">
        <v>19</v>
      </c>
      <c r="C1202" t="s">
        <v>25</v>
      </c>
      <c r="D1202">
        <v>1</v>
      </c>
      <c r="E1202" t="s">
        <v>28</v>
      </c>
      <c r="F1202">
        <v>3</v>
      </c>
      <c r="G1202" t="s">
        <v>33</v>
      </c>
      <c r="H1202">
        <v>2</v>
      </c>
      <c r="I1202">
        <v>10903</v>
      </c>
      <c r="J1202">
        <v>16</v>
      </c>
      <c r="K1202">
        <v>3</v>
      </c>
      <c r="L1202">
        <v>0</v>
      </c>
      <c r="M1202">
        <v>16</v>
      </c>
      <c r="N1202">
        <v>2</v>
      </c>
      <c r="O1202">
        <v>3</v>
      </c>
      <c r="P1202">
        <v>13</v>
      </c>
      <c r="Q1202">
        <v>10</v>
      </c>
      <c r="R1202">
        <v>4</v>
      </c>
      <c r="S1202" t="s">
        <v>34</v>
      </c>
      <c r="T1202" t="s">
        <v>37</v>
      </c>
      <c r="U1202" t="str">
        <f>IF(Table1[[#This Row],[YearsSince
LastPromotion]]&gt; 4, "Delayed", "Normal")</f>
        <v>Normal</v>
      </c>
      <c r="V1202" t="str">
        <f>IF(Table1[[#This Row],[Years
InCurrentRole]]&gt;4, "Role Stagnent", "Normal")</f>
        <v>Role Stagnent</v>
      </c>
      <c r="W1202" t="str">
        <f>IF(AND(Table1[[#This Row],[Years
InCurrentRole]]&gt; 4, Table1[[#This Row],[Performance
Rating]]&gt;=3), "High Risk", "Normal")</f>
        <v>High Risk</v>
      </c>
      <c r="X1202" t="str">
        <f>IF(Table1[[#This Row],[Performance
Rating]]&gt;=4, "High Performer", "Low Performer")</f>
        <v>Low Performer</v>
      </c>
    </row>
    <row r="1203" spans="2:24" x14ac:dyDescent="0.3">
      <c r="B1203" t="s">
        <v>19</v>
      </c>
      <c r="C1203" t="s">
        <v>25</v>
      </c>
      <c r="D1203">
        <v>1</v>
      </c>
      <c r="E1203" t="s">
        <v>28</v>
      </c>
      <c r="F1203">
        <v>1</v>
      </c>
      <c r="G1203" t="s">
        <v>26</v>
      </c>
      <c r="H1203">
        <v>4</v>
      </c>
      <c r="I1203">
        <v>2781</v>
      </c>
      <c r="J1203">
        <v>13</v>
      </c>
      <c r="K1203">
        <v>3</v>
      </c>
      <c r="L1203">
        <v>1</v>
      </c>
      <c r="M1203">
        <v>15</v>
      </c>
      <c r="N1203">
        <v>5</v>
      </c>
      <c r="O1203">
        <v>3</v>
      </c>
      <c r="P1203">
        <v>14</v>
      </c>
      <c r="Q1203">
        <v>10</v>
      </c>
      <c r="R1203">
        <v>4</v>
      </c>
      <c r="S1203" t="s">
        <v>34</v>
      </c>
      <c r="T1203" t="s">
        <v>37</v>
      </c>
      <c r="U1203" t="str">
        <f>IF(Table1[[#This Row],[YearsSince
LastPromotion]]&gt; 4, "Delayed", "Normal")</f>
        <v>Normal</v>
      </c>
      <c r="V1203" t="str">
        <f>IF(Table1[[#This Row],[Years
InCurrentRole]]&gt;4, "Role Stagnent", "Normal")</f>
        <v>Role Stagnent</v>
      </c>
      <c r="W1203" t="str">
        <f>IF(AND(Table1[[#This Row],[Years
InCurrentRole]]&gt; 4, Table1[[#This Row],[Performance
Rating]]&gt;=3), "High Risk", "Normal")</f>
        <v>High Risk</v>
      </c>
      <c r="X1203" t="str">
        <f>IF(Table1[[#This Row],[Performance
Rating]]&gt;=4, "High Performer", "Low Performer")</f>
        <v>Low Performer</v>
      </c>
    </row>
    <row r="1204" spans="2:24" x14ac:dyDescent="0.3">
      <c r="B1204" t="s">
        <v>19</v>
      </c>
      <c r="C1204" t="s">
        <v>20</v>
      </c>
      <c r="D1204">
        <v>1</v>
      </c>
      <c r="E1204" t="s">
        <v>21</v>
      </c>
      <c r="F1204">
        <v>2</v>
      </c>
      <c r="G1204" t="s">
        <v>32</v>
      </c>
      <c r="H1204">
        <v>3</v>
      </c>
      <c r="I1204">
        <v>5593</v>
      </c>
      <c r="J1204">
        <v>13</v>
      </c>
      <c r="K1204">
        <v>3</v>
      </c>
      <c r="L1204">
        <v>1</v>
      </c>
      <c r="M1204">
        <v>15</v>
      </c>
      <c r="N1204">
        <v>2</v>
      </c>
      <c r="O1204">
        <v>3</v>
      </c>
      <c r="P1204">
        <v>15</v>
      </c>
      <c r="Q1204">
        <v>10</v>
      </c>
      <c r="R1204">
        <v>4</v>
      </c>
      <c r="S1204" t="s">
        <v>34</v>
      </c>
      <c r="T1204" t="s">
        <v>37</v>
      </c>
      <c r="U1204" t="str">
        <f>IF(Table1[[#This Row],[YearsSince
LastPromotion]]&gt; 4, "Delayed", "Normal")</f>
        <v>Normal</v>
      </c>
      <c r="V1204" t="str">
        <f>IF(Table1[[#This Row],[Years
InCurrentRole]]&gt;4, "Role Stagnent", "Normal")</f>
        <v>Role Stagnent</v>
      </c>
      <c r="W1204" t="str">
        <f>IF(AND(Table1[[#This Row],[Years
InCurrentRole]]&gt; 4, Table1[[#This Row],[Performance
Rating]]&gt;=3), "High Risk", "Normal")</f>
        <v>High Risk</v>
      </c>
      <c r="X1204" t="str">
        <f>IF(Table1[[#This Row],[Performance
Rating]]&gt;=4, "High Performer", "Low Performer")</f>
        <v>Low Performer</v>
      </c>
    </row>
    <row r="1205" spans="2:24" x14ac:dyDescent="0.3">
      <c r="B1205" t="s">
        <v>19</v>
      </c>
      <c r="C1205" t="s">
        <v>25</v>
      </c>
      <c r="D1205">
        <v>1</v>
      </c>
      <c r="E1205" t="s">
        <v>28</v>
      </c>
      <c r="F1205">
        <v>2</v>
      </c>
      <c r="G1205" t="s">
        <v>29</v>
      </c>
      <c r="H1205">
        <v>4</v>
      </c>
      <c r="I1205">
        <v>3986</v>
      </c>
      <c r="J1205">
        <v>14</v>
      </c>
      <c r="K1205">
        <v>3</v>
      </c>
      <c r="L1205">
        <v>1</v>
      </c>
      <c r="M1205">
        <v>15</v>
      </c>
      <c r="N1205">
        <v>3</v>
      </c>
      <c r="O1205">
        <v>4</v>
      </c>
      <c r="P1205">
        <v>15</v>
      </c>
      <c r="Q1205">
        <v>10</v>
      </c>
      <c r="R1205">
        <v>4</v>
      </c>
      <c r="S1205" t="s">
        <v>34</v>
      </c>
      <c r="T1205" t="s">
        <v>37</v>
      </c>
      <c r="U1205" t="str">
        <f>IF(Table1[[#This Row],[YearsSince
LastPromotion]]&gt; 4, "Delayed", "Normal")</f>
        <v>Normal</v>
      </c>
      <c r="V1205" t="str">
        <f>IF(Table1[[#This Row],[Years
InCurrentRole]]&gt;4, "Role Stagnent", "Normal")</f>
        <v>Role Stagnent</v>
      </c>
      <c r="W1205" t="str">
        <f>IF(AND(Table1[[#This Row],[Years
InCurrentRole]]&gt; 4, Table1[[#This Row],[Performance
Rating]]&gt;=3), "High Risk", "Normal")</f>
        <v>High Risk</v>
      </c>
      <c r="X1205" t="str">
        <f>IF(Table1[[#This Row],[Performance
Rating]]&gt;=4, "High Performer", "Low Performer")</f>
        <v>Low Performer</v>
      </c>
    </row>
    <row r="1206" spans="2:24" x14ac:dyDescent="0.3">
      <c r="B1206" t="s">
        <v>19</v>
      </c>
      <c r="C1206" t="s">
        <v>25</v>
      </c>
      <c r="D1206">
        <v>1</v>
      </c>
      <c r="E1206" t="s">
        <v>28</v>
      </c>
      <c r="F1206">
        <v>5</v>
      </c>
      <c r="G1206" t="s">
        <v>22</v>
      </c>
      <c r="H1206">
        <v>1</v>
      </c>
      <c r="I1206">
        <v>19045</v>
      </c>
      <c r="J1206">
        <v>14</v>
      </c>
      <c r="K1206">
        <v>3</v>
      </c>
      <c r="L1206">
        <v>0</v>
      </c>
      <c r="M1206">
        <v>37</v>
      </c>
      <c r="N1206">
        <v>2</v>
      </c>
      <c r="O1206">
        <v>3</v>
      </c>
      <c r="P1206">
        <v>36</v>
      </c>
      <c r="Q1206">
        <v>10</v>
      </c>
      <c r="R1206">
        <v>4</v>
      </c>
      <c r="S1206" t="s">
        <v>34</v>
      </c>
      <c r="T1206" t="s">
        <v>37</v>
      </c>
      <c r="U1206" t="str">
        <f>IF(Table1[[#This Row],[YearsSince
LastPromotion]]&gt; 4, "Delayed", "Normal")</f>
        <v>Normal</v>
      </c>
      <c r="V1206" t="str">
        <f>IF(Table1[[#This Row],[Years
InCurrentRole]]&gt;4, "Role Stagnent", "Normal")</f>
        <v>Role Stagnent</v>
      </c>
      <c r="W1206" t="str">
        <f>IF(AND(Table1[[#This Row],[Years
InCurrentRole]]&gt; 4, Table1[[#This Row],[Performance
Rating]]&gt;=3), "High Risk", "Normal")</f>
        <v>High Risk</v>
      </c>
      <c r="X1206" t="str">
        <f>IF(Table1[[#This Row],[Performance
Rating]]&gt;=4, "High Performer", "Low Performer")</f>
        <v>Low Performer</v>
      </c>
    </row>
    <row r="1207" spans="2:24" x14ac:dyDescent="0.3">
      <c r="B1207" t="s">
        <v>19</v>
      </c>
      <c r="C1207" t="s">
        <v>25</v>
      </c>
      <c r="D1207">
        <v>1</v>
      </c>
      <c r="E1207" t="s">
        <v>28</v>
      </c>
      <c r="F1207">
        <v>2</v>
      </c>
      <c r="G1207" t="s">
        <v>31</v>
      </c>
      <c r="H1207">
        <v>4</v>
      </c>
      <c r="I1207">
        <v>7725</v>
      </c>
      <c r="J1207">
        <v>23</v>
      </c>
      <c r="K1207">
        <v>4</v>
      </c>
      <c r="L1207">
        <v>1</v>
      </c>
      <c r="M1207">
        <v>15</v>
      </c>
      <c r="N1207">
        <v>2</v>
      </c>
      <c r="O1207">
        <v>1</v>
      </c>
      <c r="P1207">
        <v>13</v>
      </c>
      <c r="Q1207">
        <v>11</v>
      </c>
      <c r="R1207">
        <v>4</v>
      </c>
      <c r="S1207" t="s">
        <v>23</v>
      </c>
      <c r="T1207" t="s">
        <v>37</v>
      </c>
      <c r="U1207" t="str">
        <f>IF(Table1[[#This Row],[YearsSince
LastPromotion]]&gt; 4, "Delayed", "Normal")</f>
        <v>Normal</v>
      </c>
      <c r="V1207" t="str">
        <f>IF(Table1[[#This Row],[Years
InCurrentRole]]&gt;4, "Role Stagnent", "Normal")</f>
        <v>Role Stagnent</v>
      </c>
      <c r="W1207" t="str">
        <f>IF(AND(Table1[[#This Row],[Years
InCurrentRole]]&gt; 4, Table1[[#This Row],[Performance
Rating]]&gt;=3), "High Risk", "Normal")</f>
        <v>High Risk</v>
      </c>
      <c r="X1207" t="str">
        <f>IF(Table1[[#This Row],[Performance
Rating]]&gt;=4, "High Performer", "Low Performer")</f>
        <v>High Performer</v>
      </c>
    </row>
    <row r="1208" spans="2:24" x14ac:dyDescent="0.3">
      <c r="B1208" t="s">
        <v>19</v>
      </c>
      <c r="C1208" t="s">
        <v>25</v>
      </c>
      <c r="D1208">
        <v>1</v>
      </c>
      <c r="E1208" t="s">
        <v>21</v>
      </c>
      <c r="F1208">
        <v>2</v>
      </c>
      <c r="G1208" t="s">
        <v>31</v>
      </c>
      <c r="H1208">
        <v>4</v>
      </c>
      <c r="I1208">
        <v>6687</v>
      </c>
      <c r="J1208">
        <v>11</v>
      </c>
      <c r="K1208">
        <v>3</v>
      </c>
      <c r="L1208">
        <v>0</v>
      </c>
      <c r="M1208">
        <v>14</v>
      </c>
      <c r="N1208">
        <v>2</v>
      </c>
      <c r="O1208">
        <v>4</v>
      </c>
      <c r="P1208">
        <v>14</v>
      </c>
      <c r="Q1208">
        <v>11</v>
      </c>
      <c r="R1208">
        <v>4</v>
      </c>
      <c r="S1208" t="s">
        <v>34</v>
      </c>
      <c r="T1208" t="s">
        <v>37</v>
      </c>
      <c r="U1208" t="str">
        <f>IF(Table1[[#This Row],[YearsSince
LastPromotion]]&gt; 4, "Delayed", "Normal")</f>
        <v>Normal</v>
      </c>
      <c r="V1208" t="str">
        <f>IF(Table1[[#This Row],[Years
InCurrentRole]]&gt;4, "Role Stagnent", "Normal")</f>
        <v>Role Stagnent</v>
      </c>
      <c r="W1208" t="str">
        <f>IF(AND(Table1[[#This Row],[Years
InCurrentRole]]&gt; 4, Table1[[#This Row],[Performance
Rating]]&gt;=3), "High Risk", "Normal")</f>
        <v>High Risk</v>
      </c>
      <c r="X1208" t="str">
        <f>IF(Table1[[#This Row],[Performance
Rating]]&gt;=4, "High Performer", "Low Performer")</f>
        <v>Low Performer</v>
      </c>
    </row>
    <row r="1209" spans="2:24" x14ac:dyDescent="0.3">
      <c r="B1209" t="s">
        <v>19</v>
      </c>
      <c r="C1209" t="s">
        <v>25</v>
      </c>
      <c r="D1209">
        <v>1</v>
      </c>
      <c r="E1209" t="s">
        <v>28</v>
      </c>
      <c r="F1209">
        <v>3</v>
      </c>
      <c r="G1209" t="s">
        <v>31</v>
      </c>
      <c r="H1209">
        <v>3</v>
      </c>
      <c r="I1209">
        <v>10999</v>
      </c>
      <c r="J1209">
        <v>14</v>
      </c>
      <c r="K1209">
        <v>3</v>
      </c>
      <c r="L1209">
        <v>0</v>
      </c>
      <c r="M1209">
        <v>27</v>
      </c>
      <c r="N1209">
        <v>3</v>
      </c>
      <c r="O1209">
        <v>3</v>
      </c>
      <c r="P1209">
        <v>15</v>
      </c>
      <c r="Q1209">
        <v>11</v>
      </c>
      <c r="R1209">
        <v>4</v>
      </c>
      <c r="S1209" t="s">
        <v>34</v>
      </c>
      <c r="T1209" t="s">
        <v>37</v>
      </c>
      <c r="U1209" t="str">
        <f>IF(Table1[[#This Row],[YearsSince
LastPromotion]]&gt; 4, "Delayed", "Normal")</f>
        <v>Normal</v>
      </c>
      <c r="V1209" t="str">
        <f>IF(Table1[[#This Row],[Years
InCurrentRole]]&gt;4, "Role Stagnent", "Normal")</f>
        <v>Role Stagnent</v>
      </c>
      <c r="W1209" t="str">
        <f>IF(AND(Table1[[#This Row],[Years
InCurrentRole]]&gt; 4, Table1[[#This Row],[Performance
Rating]]&gt;=3), "High Risk", "Normal")</f>
        <v>High Risk</v>
      </c>
      <c r="X1209" t="str">
        <f>IF(Table1[[#This Row],[Performance
Rating]]&gt;=4, "High Performer", "Low Performer")</f>
        <v>Low Performer</v>
      </c>
    </row>
    <row r="1210" spans="2:24" x14ac:dyDescent="0.3">
      <c r="B1210" t="s">
        <v>19</v>
      </c>
      <c r="C1210" t="s">
        <v>20</v>
      </c>
      <c r="D1210">
        <v>1</v>
      </c>
      <c r="E1210" t="s">
        <v>28</v>
      </c>
      <c r="F1210">
        <v>4</v>
      </c>
      <c r="G1210" t="s">
        <v>22</v>
      </c>
      <c r="H1210">
        <v>4</v>
      </c>
      <c r="I1210">
        <v>16959</v>
      </c>
      <c r="J1210">
        <v>12</v>
      </c>
      <c r="K1210">
        <v>3</v>
      </c>
      <c r="L1210">
        <v>2</v>
      </c>
      <c r="M1210">
        <v>25</v>
      </c>
      <c r="N1210">
        <v>3</v>
      </c>
      <c r="O1210">
        <v>4</v>
      </c>
      <c r="P1210">
        <v>25</v>
      </c>
      <c r="Q1210">
        <v>12</v>
      </c>
      <c r="R1210">
        <v>4</v>
      </c>
      <c r="S1210" t="s">
        <v>34</v>
      </c>
      <c r="T1210" t="s">
        <v>37</v>
      </c>
      <c r="U1210" t="str">
        <f>IF(Table1[[#This Row],[YearsSince
LastPromotion]]&gt; 4, "Delayed", "Normal")</f>
        <v>Normal</v>
      </c>
      <c r="V1210" t="str">
        <f>IF(Table1[[#This Row],[Years
InCurrentRole]]&gt;4, "Role Stagnent", "Normal")</f>
        <v>Role Stagnent</v>
      </c>
      <c r="W1210" t="str">
        <f>IF(AND(Table1[[#This Row],[Years
InCurrentRole]]&gt; 4, Table1[[#This Row],[Performance
Rating]]&gt;=3), "High Risk", "Normal")</f>
        <v>High Risk</v>
      </c>
      <c r="X1210" t="str">
        <f>IF(Table1[[#This Row],[Performance
Rating]]&gt;=4, "High Performer", "Low Performer")</f>
        <v>Low Performer</v>
      </c>
    </row>
    <row r="1211" spans="2:24" x14ac:dyDescent="0.3">
      <c r="B1211" t="s">
        <v>19</v>
      </c>
      <c r="C1211" t="s">
        <v>25</v>
      </c>
      <c r="D1211">
        <v>1</v>
      </c>
      <c r="E1211" t="s">
        <v>21</v>
      </c>
      <c r="F1211">
        <v>5</v>
      </c>
      <c r="G1211" t="s">
        <v>22</v>
      </c>
      <c r="H1211">
        <v>3</v>
      </c>
      <c r="I1211">
        <v>19094</v>
      </c>
      <c r="J1211">
        <v>11</v>
      </c>
      <c r="K1211">
        <v>3</v>
      </c>
      <c r="L1211">
        <v>1</v>
      </c>
      <c r="M1211">
        <v>26</v>
      </c>
      <c r="N1211">
        <v>3</v>
      </c>
      <c r="O1211">
        <v>2</v>
      </c>
      <c r="P1211">
        <v>14</v>
      </c>
      <c r="Q1211">
        <v>13</v>
      </c>
      <c r="R1211">
        <v>4</v>
      </c>
      <c r="S1211" t="s">
        <v>23</v>
      </c>
      <c r="T1211" t="s">
        <v>37</v>
      </c>
      <c r="U1211" t="str">
        <f>IF(Table1[[#This Row],[YearsSince
LastPromotion]]&gt; 4, "Delayed", "Normal")</f>
        <v>Normal</v>
      </c>
      <c r="V1211" t="str">
        <f>IF(Table1[[#This Row],[Years
InCurrentRole]]&gt;4, "Role Stagnent", "Normal")</f>
        <v>Role Stagnent</v>
      </c>
      <c r="W1211" t="str">
        <f>IF(AND(Table1[[#This Row],[Years
InCurrentRole]]&gt; 4, Table1[[#This Row],[Performance
Rating]]&gt;=3), "High Risk", "Normal")</f>
        <v>High Risk</v>
      </c>
      <c r="X1211" t="str">
        <f>IF(Table1[[#This Row],[Performance
Rating]]&gt;=4, "High Performer", "Low Performer")</f>
        <v>Low Performer</v>
      </c>
    </row>
    <row r="1212" spans="2:24" x14ac:dyDescent="0.3">
      <c r="B1212" t="s">
        <v>19</v>
      </c>
      <c r="C1212" t="s">
        <v>20</v>
      </c>
      <c r="D1212">
        <v>1</v>
      </c>
      <c r="E1212" t="s">
        <v>28</v>
      </c>
      <c r="F1212">
        <v>2</v>
      </c>
      <c r="G1212" t="s">
        <v>32</v>
      </c>
      <c r="H1212">
        <v>4</v>
      </c>
      <c r="I1212">
        <v>6201</v>
      </c>
      <c r="J1212">
        <v>14</v>
      </c>
      <c r="K1212">
        <v>3</v>
      </c>
      <c r="L1212">
        <v>1</v>
      </c>
      <c r="M1212">
        <v>18</v>
      </c>
      <c r="N1212">
        <v>1</v>
      </c>
      <c r="O1212">
        <v>2</v>
      </c>
      <c r="P1212">
        <v>18</v>
      </c>
      <c r="Q1212">
        <v>14</v>
      </c>
      <c r="R1212">
        <v>4</v>
      </c>
      <c r="S1212" t="s">
        <v>23</v>
      </c>
      <c r="T1212" t="s">
        <v>37</v>
      </c>
      <c r="U1212" t="str">
        <f>IF(Table1[[#This Row],[YearsSince
LastPromotion]]&gt; 4, "Delayed", "Normal")</f>
        <v>Normal</v>
      </c>
      <c r="V1212" t="str">
        <f>IF(Table1[[#This Row],[Years
InCurrentRole]]&gt;4, "Role Stagnent", "Normal")</f>
        <v>Role Stagnent</v>
      </c>
      <c r="W1212" t="str">
        <f>IF(AND(Table1[[#This Row],[Years
InCurrentRole]]&gt; 4, Table1[[#This Row],[Performance
Rating]]&gt;=3), "High Risk", "Normal")</f>
        <v>High Risk</v>
      </c>
      <c r="X1212" t="str">
        <f>IF(Table1[[#This Row],[Performance
Rating]]&gt;=4, "High Performer", "Low Performer")</f>
        <v>Low Performer</v>
      </c>
    </row>
    <row r="1213" spans="2:24" x14ac:dyDescent="0.3">
      <c r="B1213" t="s">
        <v>19</v>
      </c>
      <c r="C1213" t="s">
        <v>25</v>
      </c>
      <c r="D1213">
        <v>1</v>
      </c>
      <c r="E1213" t="s">
        <v>21</v>
      </c>
      <c r="F1213">
        <v>4</v>
      </c>
      <c r="G1213" t="s">
        <v>22</v>
      </c>
      <c r="H1213">
        <v>4</v>
      </c>
      <c r="I1213">
        <v>17174</v>
      </c>
      <c r="J1213">
        <v>11</v>
      </c>
      <c r="K1213">
        <v>3</v>
      </c>
      <c r="L1213">
        <v>1</v>
      </c>
      <c r="M1213">
        <v>24</v>
      </c>
      <c r="N1213">
        <v>3</v>
      </c>
      <c r="O1213">
        <v>3</v>
      </c>
      <c r="P1213">
        <v>22</v>
      </c>
      <c r="Q1213">
        <v>17</v>
      </c>
      <c r="R1213">
        <v>4</v>
      </c>
      <c r="S1213" t="s">
        <v>34</v>
      </c>
      <c r="T1213" t="s">
        <v>37</v>
      </c>
      <c r="U1213" t="str">
        <f>IF(Table1[[#This Row],[YearsSince
LastPromotion]]&gt; 4, "Delayed", "Normal")</f>
        <v>Normal</v>
      </c>
      <c r="V1213" t="str">
        <f>IF(Table1[[#This Row],[Years
InCurrentRole]]&gt;4, "Role Stagnent", "Normal")</f>
        <v>Role Stagnent</v>
      </c>
      <c r="W1213" t="str">
        <f>IF(AND(Table1[[#This Row],[Years
InCurrentRole]]&gt; 4, Table1[[#This Row],[Performance
Rating]]&gt;=3), "High Risk", "Normal")</f>
        <v>High Risk</v>
      </c>
      <c r="X1213" t="str">
        <f>IF(Table1[[#This Row],[Performance
Rating]]&gt;=4, "High Performer", "Low Performer")</f>
        <v>Low Performer</v>
      </c>
    </row>
    <row r="1214" spans="2:24" x14ac:dyDescent="0.3">
      <c r="B1214" t="s">
        <v>19</v>
      </c>
      <c r="C1214" t="s">
        <v>25</v>
      </c>
      <c r="D1214">
        <v>1</v>
      </c>
      <c r="E1214" t="s">
        <v>28</v>
      </c>
      <c r="F1214">
        <v>1</v>
      </c>
      <c r="G1214" t="s">
        <v>26</v>
      </c>
      <c r="H1214">
        <v>3</v>
      </c>
      <c r="I1214">
        <v>2768</v>
      </c>
      <c r="J1214">
        <v>12</v>
      </c>
      <c r="K1214">
        <v>3</v>
      </c>
      <c r="L1214">
        <v>1</v>
      </c>
      <c r="M1214">
        <v>14</v>
      </c>
      <c r="N1214">
        <v>3</v>
      </c>
      <c r="O1214">
        <v>3</v>
      </c>
      <c r="P1214">
        <v>7</v>
      </c>
      <c r="Q1214">
        <v>3</v>
      </c>
      <c r="R1214">
        <v>5</v>
      </c>
      <c r="S1214" t="s">
        <v>34</v>
      </c>
      <c r="T1214" t="s">
        <v>37</v>
      </c>
      <c r="U1214" t="str">
        <f>IF(Table1[[#This Row],[YearsSince
LastPromotion]]&gt; 4, "Delayed", "Normal")</f>
        <v>Delayed</v>
      </c>
      <c r="V1214" t="str">
        <f>IF(Table1[[#This Row],[Years
InCurrentRole]]&gt;4, "Role Stagnent", "Normal")</f>
        <v>Normal</v>
      </c>
      <c r="W1214" t="str">
        <f>IF(AND(Table1[[#This Row],[Years
InCurrentRole]]&gt; 4, Table1[[#This Row],[Performance
Rating]]&gt;=3), "High Risk", "Normal")</f>
        <v>Normal</v>
      </c>
      <c r="X1214" t="str">
        <f>IF(Table1[[#This Row],[Performance
Rating]]&gt;=4, "High Performer", "Low Performer")</f>
        <v>Low Performer</v>
      </c>
    </row>
    <row r="1215" spans="2:24" x14ac:dyDescent="0.3">
      <c r="B1215" t="s">
        <v>19</v>
      </c>
      <c r="C1215" t="s">
        <v>36</v>
      </c>
      <c r="D1215">
        <v>1</v>
      </c>
      <c r="E1215" t="s">
        <v>28</v>
      </c>
      <c r="F1215">
        <v>1</v>
      </c>
      <c r="G1215" t="s">
        <v>36</v>
      </c>
      <c r="H1215">
        <v>3</v>
      </c>
      <c r="I1215">
        <v>2844</v>
      </c>
      <c r="J1215">
        <v>13</v>
      </c>
      <c r="K1215">
        <v>3</v>
      </c>
      <c r="L1215">
        <v>1</v>
      </c>
      <c r="M1215">
        <v>7</v>
      </c>
      <c r="N1215">
        <v>2</v>
      </c>
      <c r="O1215">
        <v>4</v>
      </c>
      <c r="P1215">
        <v>7</v>
      </c>
      <c r="Q1215">
        <v>6</v>
      </c>
      <c r="R1215">
        <v>5</v>
      </c>
      <c r="S1215" t="s">
        <v>34</v>
      </c>
      <c r="T1215" t="s">
        <v>37</v>
      </c>
      <c r="U1215" t="str">
        <f>IF(Table1[[#This Row],[YearsSince
LastPromotion]]&gt; 4, "Delayed", "Normal")</f>
        <v>Delayed</v>
      </c>
      <c r="V1215" t="str">
        <f>IF(Table1[[#This Row],[Years
InCurrentRole]]&gt;4, "Role Stagnent", "Normal")</f>
        <v>Role Stagnent</v>
      </c>
      <c r="W1215" t="str">
        <f>IF(AND(Table1[[#This Row],[Years
InCurrentRole]]&gt; 4, Table1[[#This Row],[Performance
Rating]]&gt;=3), "High Risk", "Normal")</f>
        <v>High Risk</v>
      </c>
      <c r="X1215" t="str">
        <f>IF(Table1[[#This Row],[Performance
Rating]]&gt;=4, "High Performer", "Low Performer")</f>
        <v>Low Performer</v>
      </c>
    </row>
    <row r="1216" spans="2:24" x14ac:dyDescent="0.3">
      <c r="B1216" t="s">
        <v>19</v>
      </c>
      <c r="C1216" t="s">
        <v>36</v>
      </c>
      <c r="D1216">
        <v>1</v>
      </c>
      <c r="E1216" t="s">
        <v>21</v>
      </c>
      <c r="F1216">
        <v>1</v>
      </c>
      <c r="G1216" t="s">
        <v>36</v>
      </c>
      <c r="H1216">
        <v>1</v>
      </c>
      <c r="I1216">
        <v>3423</v>
      </c>
      <c r="J1216">
        <v>12</v>
      </c>
      <c r="K1216">
        <v>3</v>
      </c>
      <c r="L1216">
        <v>0</v>
      </c>
      <c r="M1216">
        <v>10</v>
      </c>
      <c r="N1216">
        <v>3</v>
      </c>
      <c r="O1216">
        <v>4</v>
      </c>
      <c r="P1216">
        <v>7</v>
      </c>
      <c r="Q1216">
        <v>6</v>
      </c>
      <c r="R1216">
        <v>5</v>
      </c>
      <c r="S1216" t="s">
        <v>34</v>
      </c>
      <c r="T1216" t="s">
        <v>37</v>
      </c>
      <c r="U1216" t="str">
        <f>IF(Table1[[#This Row],[YearsSince
LastPromotion]]&gt; 4, "Delayed", "Normal")</f>
        <v>Delayed</v>
      </c>
      <c r="V1216" t="str">
        <f>IF(Table1[[#This Row],[Years
InCurrentRole]]&gt;4, "Role Stagnent", "Normal")</f>
        <v>Role Stagnent</v>
      </c>
      <c r="W1216" t="str">
        <f>IF(AND(Table1[[#This Row],[Years
InCurrentRole]]&gt; 4, Table1[[#This Row],[Performance
Rating]]&gt;=3), "High Risk", "Normal")</f>
        <v>High Risk</v>
      </c>
      <c r="X1216" t="str">
        <f>IF(Table1[[#This Row],[Performance
Rating]]&gt;=4, "High Performer", "Low Performer")</f>
        <v>Low Performer</v>
      </c>
    </row>
    <row r="1217" spans="2:24" x14ac:dyDescent="0.3">
      <c r="B1217" t="s">
        <v>19</v>
      </c>
      <c r="C1217" t="s">
        <v>25</v>
      </c>
      <c r="D1217">
        <v>1</v>
      </c>
      <c r="E1217" t="s">
        <v>21</v>
      </c>
      <c r="F1217">
        <v>4</v>
      </c>
      <c r="G1217" t="s">
        <v>33</v>
      </c>
      <c r="H1217">
        <v>3</v>
      </c>
      <c r="I1217">
        <v>13237</v>
      </c>
      <c r="J1217">
        <v>15</v>
      </c>
      <c r="K1217">
        <v>3</v>
      </c>
      <c r="L1217">
        <v>0</v>
      </c>
      <c r="M1217">
        <v>22</v>
      </c>
      <c r="N1217">
        <v>3</v>
      </c>
      <c r="O1217">
        <v>3</v>
      </c>
      <c r="P1217">
        <v>20</v>
      </c>
      <c r="Q1217">
        <v>6</v>
      </c>
      <c r="R1217">
        <v>5</v>
      </c>
      <c r="S1217" t="s">
        <v>34</v>
      </c>
      <c r="T1217" t="s">
        <v>37</v>
      </c>
      <c r="U1217" t="str">
        <f>IF(Table1[[#This Row],[YearsSince
LastPromotion]]&gt; 4, "Delayed", "Normal")</f>
        <v>Delayed</v>
      </c>
      <c r="V1217" t="str">
        <f>IF(Table1[[#This Row],[Years
InCurrentRole]]&gt;4, "Role Stagnent", "Normal")</f>
        <v>Role Stagnent</v>
      </c>
      <c r="W1217" t="str">
        <f>IF(AND(Table1[[#This Row],[Years
InCurrentRole]]&gt; 4, Table1[[#This Row],[Performance
Rating]]&gt;=3), "High Risk", "Normal")</f>
        <v>High Risk</v>
      </c>
      <c r="X1217" t="str">
        <f>IF(Table1[[#This Row],[Performance
Rating]]&gt;=4, "High Performer", "Low Performer")</f>
        <v>Low Performer</v>
      </c>
    </row>
    <row r="1218" spans="2:24" x14ac:dyDescent="0.3">
      <c r="B1218" t="s">
        <v>19</v>
      </c>
      <c r="C1218" t="s">
        <v>25</v>
      </c>
      <c r="D1218">
        <v>1</v>
      </c>
      <c r="E1218" t="s">
        <v>21</v>
      </c>
      <c r="F1218">
        <v>3</v>
      </c>
      <c r="G1218" t="s">
        <v>31</v>
      </c>
      <c r="H1218">
        <v>4</v>
      </c>
      <c r="I1218">
        <v>10248</v>
      </c>
      <c r="J1218">
        <v>14</v>
      </c>
      <c r="K1218">
        <v>3</v>
      </c>
      <c r="L1218">
        <v>1</v>
      </c>
      <c r="M1218">
        <v>24</v>
      </c>
      <c r="N1218">
        <v>4</v>
      </c>
      <c r="O1218">
        <v>3</v>
      </c>
      <c r="P1218">
        <v>22</v>
      </c>
      <c r="Q1218">
        <v>6</v>
      </c>
      <c r="R1218">
        <v>5</v>
      </c>
      <c r="S1218" t="s">
        <v>34</v>
      </c>
      <c r="T1218" t="s">
        <v>37</v>
      </c>
      <c r="U1218" t="str">
        <f>IF(Table1[[#This Row],[YearsSince
LastPromotion]]&gt; 4, "Delayed", "Normal")</f>
        <v>Delayed</v>
      </c>
      <c r="V1218" t="str">
        <f>IF(Table1[[#This Row],[Years
InCurrentRole]]&gt;4, "Role Stagnent", "Normal")</f>
        <v>Role Stagnent</v>
      </c>
      <c r="W1218" t="str">
        <f>IF(AND(Table1[[#This Row],[Years
InCurrentRole]]&gt; 4, Table1[[#This Row],[Performance
Rating]]&gt;=3), "High Risk", "Normal")</f>
        <v>High Risk</v>
      </c>
      <c r="X1218" t="str">
        <f>IF(Table1[[#This Row],[Performance
Rating]]&gt;=4, "High Performer", "Low Performer")</f>
        <v>Low Performer</v>
      </c>
    </row>
    <row r="1219" spans="2:24" x14ac:dyDescent="0.3">
      <c r="B1219" t="s">
        <v>19</v>
      </c>
      <c r="C1219" t="s">
        <v>25</v>
      </c>
      <c r="D1219">
        <v>1</v>
      </c>
      <c r="E1219" t="s">
        <v>28</v>
      </c>
      <c r="F1219">
        <v>1</v>
      </c>
      <c r="G1219" t="s">
        <v>29</v>
      </c>
      <c r="H1219">
        <v>4</v>
      </c>
      <c r="I1219">
        <v>2570</v>
      </c>
      <c r="J1219">
        <v>20</v>
      </c>
      <c r="K1219">
        <v>4</v>
      </c>
      <c r="L1219">
        <v>0</v>
      </c>
      <c r="M1219">
        <v>7</v>
      </c>
      <c r="N1219">
        <v>5</v>
      </c>
      <c r="O1219">
        <v>3</v>
      </c>
      <c r="P1219">
        <v>7</v>
      </c>
      <c r="Q1219">
        <v>7</v>
      </c>
      <c r="R1219">
        <v>5</v>
      </c>
      <c r="S1219" t="s">
        <v>34</v>
      </c>
      <c r="T1219" t="s">
        <v>37</v>
      </c>
      <c r="U1219" t="str">
        <f>IF(Table1[[#This Row],[YearsSince
LastPromotion]]&gt; 4, "Delayed", "Normal")</f>
        <v>Delayed</v>
      </c>
      <c r="V1219" t="str">
        <f>IF(Table1[[#This Row],[Years
InCurrentRole]]&gt;4, "Role Stagnent", "Normal")</f>
        <v>Role Stagnent</v>
      </c>
      <c r="W1219" t="str">
        <f>IF(AND(Table1[[#This Row],[Years
InCurrentRole]]&gt; 4, Table1[[#This Row],[Performance
Rating]]&gt;=3), "High Risk", "Normal")</f>
        <v>High Risk</v>
      </c>
      <c r="X1219" t="str">
        <f>IF(Table1[[#This Row],[Performance
Rating]]&gt;=4, "High Performer", "Low Performer")</f>
        <v>High Performer</v>
      </c>
    </row>
    <row r="1220" spans="2:24" x14ac:dyDescent="0.3">
      <c r="B1220" t="s">
        <v>19</v>
      </c>
      <c r="C1220" t="s">
        <v>20</v>
      </c>
      <c r="D1220">
        <v>1</v>
      </c>
      <c r="E1220" t="s">
        <v>28</v>
      </c>
      <c r="F1220">
        <v>1</v>
      </c>
      <c r="G1220" t="s">
        <v>30</v>
      </c>
      <c r="H1220">
        <v>3</v>
      </c>
      <c r="I1220">
        <v>2329</v>
      </c>
      <c r="J1220">
        <v>15</v>
      </c>
      <c r="K1220">
        <v>3</v>
      </c>
      <c r="L1220">
        <v>0</v>
      </c>
      <c r="M1220">
        <v>13</v>
      </c>
      <c r="N1220">
        <v>2</v>
      </c>
      <c r="O1220">
        <v>4</v>
      </c>
      <c r="P1220">
        <v>7</v>
      </c>
      <c r="Q1220">
        <v>7</v>
      </c>
      <c r="R1220">
        <v>5</v>
      </c>
      <c r="S1220" t="s">
        <v>34</v>
      </c>
      <c r="T1220" t="s">
        <v>37</v>
      </c>
      <c r="U1220" t="str">
        <f>IF(Table1[[#This Row],[YearsSince
LastPromotion]]&gt; 4, "Delayed", "Normal")</f>
        <v>Delayed</v>
      </c>
      <c r="V1220" t="str">
        <f>IF(Table1[[#This Row],[Years
InCurrentRole]]&gt;4, "Role Stagnent", "Normal")</f>
        <v>Role Stagnent</v>
      </c>
      <c r="W1220" t="str">
        <f>IF(AND(Table1[[#This Row],[Years
InCurrentRole]]&gt; 4, Table1[[#This Row],[Performance
Rating]]&gt;=3), "High Risk", "Normal")</f>
        <v>High Risk</v>
      </c>
      <c r="X1220" t="str">
        <f>IF(Table1[[#This Row],[Performance
Rating]]&gt;=4, "High Performer", "Low Performer")</f>
        <v>Low Performer</v>
      </c>
    </row>
    <row r="1221" spans="2:24" x14ac:dyDescent="0.3">
      <c r="B1221" t="s">
        <v>27</v>
      </c>
      <c r="C1221" t="s">
        <v>25</v>
      </c>
      <c r="D1221">
        <v>1</v>
      </c>
      <c r="E1221" t="s">
        <v>28</v>
      </c>
      <c r="F1221">
        <v>1</v>
      </c>
      <c r="G1221" t="s">
        <v>29</v>
      </c>
      <c r="H1221">
        <v>4</v>
      </c>
      <c r="I1221">
        <v>3691</v>
      </c>
      <c r="J1221">
        <v>15</v>
      </c>
      <c r="K1221">
        <v>3</v>
      </c>
      <c r="L1221">
        <v>1</v>
      </c>
      <c r="M1221">
        <v>7</v>
      </c>
      <c r="N1221">
        <v>3</v>
      </c>
      <c r="O1221">
        <v>4</v>
      </c>
      <c r="P1221">
        <v>7</v>
      </c>
      <c r="Q1221">
        <v>7</v>
      </c>
      <c r="R1221">
        <v>5</v>
      </c>
      <c r="S1221" t="s">
        <v>34</v>
      </c>
      <c r="T1221" t="s">
        <v>37</v>
      </c>
      <c r="U1221" t="str">
        <f>IF(Table1[[#This Row],[YearsSince
LastPromotion]]&gt; 4, "Delayed", "Normal")</f>
        <v>Delayed</v>
      </c>
      <c r="V1221" t="str">
        <f>IF(Table1[[#This Row],[Years
InCurrentRole]]&gt;4, "Role Stagnent", "Normal")</f>
        <v>Role Stagnent</v>
      </c>
      <c r="W1221" t="str">
        <f>IF(AND(Table1[[#This Row],[Years
InCurrentRole]]&gt; 4, Table1[[#This Row],[Performance
Rating]]&gt;=3), "High Risk", "Normal")</f>
        <v>High Risk</v>
      </c>
      <c r="X1221" t="str">
        <f>IF(Table1[[#This Row],[Performance
Rating]]&gt;=4, "High Performer", "Low Performer")</f>
        <v>Low Performer</v>
      </c>
    </row>
    <row r="1222" spans="2:24" x14ac:dyDescent="0.3">
      <c r="B1222" t="s">
        <v>19</v>
      </c>
      <c r="C1222" t="s">
        <v>20</v>
      </c>
      <c r="D1222">
        <v>1</v>
      </c>
      <c r="E1222" t="s">
        <v>28</v>
      </c>
      <c r="F1222">
        <v>2</v>
      </c>
      <c r="G1222" t="s">
        <v>32</v>
      </c>
      <c r="H1222">
        <v>4</v>
      </c>
      <c r="I1222">
        <v>5460</v>
      </c>
      <c r="J1222">
        <v>22</v>
      </c>
      <c r="K1222">
        <v>4</v>
      </c>
      <c r="L1222">
        <v>2</v>
      </c>
      <c r="M1222">
        <v>13</v>
      </c>
      <c r="N1222">
        <v>4</v>
      </c>
      <c r="O1222">
        <v>4</v>
      </c>
      <c r="P1222">
        <v>7</v>
      </c>
      <c r="Q1222">
        <v>7</v>
      </c>
      <c r="R1222">
        <v>5</v>
      </c>
      <c r="S1222" t="s">
        <v>34</v>
      </c>
      <c r="T1222" t="s">
        <v>37</v>
      </c>
      <c r="U1222" t="str">
        <f>IF(Table1[[#This Row],[YearsSince
LastPromotion]]&gt; 4, "Delayed", "Normal")</f>
        <v>Delayed</v>
      </c>
      <c r="V1222" t="str">
        <f>IF(Table1[[#This Row],[Years
InCurrentRole]]&gt;4, "Role Stagnent", "Normal")</f>
        <v>Role Stagnent</v>
      </c>
      <c r="W1222" t="str">
        <f>IF(AND(Table1[[#This Row],[Years
InCurrentRole]]&gt; 4, Table1[[#This Row],[Performance
Rating]]&gt;=3), "High Risk", "Normal")</f>
        <v>High Risk</v>
      </c>
      <c r="X1222" t="str">
        <f>IF(Table1[[#This Row],[Performance
Rating]]&gt;=4, "High Performer", "Low Performer")</f>
        <v>High Performer</v>
      </c>
    </row>
    <row r="1223" spans="2:24" x14ac:dyDescent="0.3">
      <c r="B1223" t="s">
        <v>19</v>
      </c>
      <c r="C1223" t="s">
        <v>36</v>
      </c>
      <c r="D1223">
        <v>1</v>
      </c>
      <c r="E1223" t="s">
        <v>21</v>
      </c>
      <c r="F1223">
        <v>1</v>
      </c>
      <c r="G1223" t="s">
        <v>36</v>
      </c>
      <c r="H1223">
        <v>3</v>
      </c>
      <c r="I1223">
        <v>2942</v>
      </c>
      <c r="J1223">
        <v>23</v>
      </c>
      <c r="K1223">
        <v>4</v>
      </c>
      <c r="L1223">
        <v>1</v>
      </c>
      <c r="M1223">
        <v>8</v>
      </c>
      <c r="N1223">
        <v>3</v>
      </c>
      <c r="O1223">
        <v>3</v>
      </c>
      <c r="P1223">
        <v>8</v>
      </c>
      <c r="Q1223">
        <v>7</v>
      </c>
      <c r="R1223">
        <v>5</v>
      </c>
      <c r="S1223" t="s">
        <v>34</v>
      </c>
      <c r="T1223" t="s">
        <v>37</v>
      </c>
      <c r="U1223" t="str">
        <f>IF(Table1[[#This Row],[YearsSince
LastPromotion]]&gt; 4, "Delayed", "Normal")</f>
        <v>Delayed</v>
      </c>
      <c r="V1223" t="str">
        <f>IF(Table1[[#This Row],[Years
InCurrentRole]]&gt;4, "Role Stagnent", "Normal")</f>
        <v>Role Stagnent</v>
      </c>
      <c r="W1223" t="str">
        <f>IF(AND(Table1[[#This Row],[Years
InCurrentRole]]&gt; 4, Table1[[#This Row],[Performance
Rating]]&gt;=3), "High Risk", "Normal")</f>
        <v>High Risk</v>
      </c>
      <c r="X1223" t="str">
        <f>IF(Table1[[#This Row],[Performance
Rating]]&gt;=4, "High Performer", "Low Performer")</f>
        <v>High Performer</v>
      </c>
    </row>
    <row r="1224" spans="2:24" x14ac:dyDescent="0.3">
      <c r="B1224" t="s">
        <v>19</v>
      </c>
      <c r="C1224" t="s">
        <v>20</v>
      </c>
      <c r="D1224">
        <v>1</v>
      </c>
      <c r="E1224" t="s">
        <v>21</v>
      </c>
      <c r="F1224">
        <v>2</v>
      </c>
      <c r="G1224" t="s">
        <v>32</v>
      </c>
      <c r="H1224">
        <v>3</v>
      </c>
      <c r="I1224">
        <v>5154</v>
      </c>
      <c r="J1224">
        <v>22</v>
      </c>
      <c r="K1224">
        <v>4</v>
      </c>
      <c r="L1224">
        <v>2</v>
      </c>
      <c r="M1224">
        <v>10</v>
      </c>
      <c r="N1224">
        <v>3</v>
      </c>
      <c r="O1224">
        <v>4</v>
      </c>
      <c r="P1224">
        <v>8</v>
      </c>
      <c r="Q1224">
        <v>7</v>
      </c>
      <c r="R1224">
        <v>5</v>
      </c>
      <c r="S1224" t="s">
        <v>34</v>
      </c>
      <c r="T1224" t="s">
        <v>37</v>
      </c>
      <c r="U1224" t="str">
        <f>IF(Table1[[#This Row],[YearsSince
LastPromotion]]&gt; 4, "Delayed", "Normal")</f>
        <v>Delayed</v>
      </c>
      <c r="V1224" t="str">
        <f>IF(Table1[[#This Row],[Years
InCurrentRole]]&gt;4, "Role Stagnent", "Normal")</f>
        <v>Role Stagnent</v>
      </c>
      <c r="W1224" t="str">
        <f>IF(AND(Table1[[#This Row],[Years
InCurrentRole]]&gt; 4, Table1[[#This Row],[Performance
Rating]]&gt;=3), "High Risk", "Normal")</f>
        <v>High Risk</v>
      </c>
      <c r="X1224" t="str">
        <f>IF(Table1[[#This Row],[Performance
Rating]]&gt;=4, "High Performer", "Low Performer")</f>
        <v>High Performer</v>
      </c>
    </row>
    <row r="1225" spans="2:24" x14ac:dyDescent="0.3">
      <c r="B1225" t="s">
        <v>19</v>
      </c>
      <c r="C1225" t="s">
        <v>25</v>
      </c>
      <c r="D1225">
        <v>1</v>
      </c>
      <c r="E1225" t="s">
        <v>28</v>
      </c>
      <c r="F1225">
        <v>3</v>
      </c>
      <c r="G1225" t="s">
        <v>33</v>
      </c>
      <c r="H1225">
        <v>4</v>
      </c>
      <c r="I1225">
        <v>10512</v>
      </c>
      <c r="J1225">
        <v>12</v>
      </c>
      <c r="K1225">
        <v>3</v>
      </c>
      <c r="L1225">
        <v>0</v>
      </c>
      <c r="M1225">
        <v>25</v>
      </c>
      <c r="N1225">
        <v>6</v>
      </c>
      <c r="O1225">
        <v>2</v>
      </c>
      <c r="P1225">
        <v>9</v>
      </c>
      <c r="Q1225">
        <v>7</v>
      </c>
      <c r="R1225">
        <v>5</v>
      </c>
      <c r="S1225" t="s">
        <v>23</v>
      </c>
      <c r="T1225" t="s">
        <v>37</v>
      </c>
      <c r="U1225" t="str">
        <f>IF(Table1[[#This Row],[YearsSince
LastPromotion]]&gt; 4, "Delayed", "Normal")</f>
        <v>Delayed</v>
      </c>
      <c r="V1225" t="str">
        <f>IF(Table1[[#This Row],[Years
InCurrentRole]]&gt;4, "Role Stagnent", "Normal")</f>
        <v>Role Stagnent</v>
      </c>
      <c r="W1225" t="str">
        <f>IF(AND(Table1[[#This Row],[Years
InCurrentRole]]&gt; 4, Table1[[#This Row],[Performance
Rating]]&gt;=3), "High Risk", "Normal")</f>
        <v>High Risk</v>
      </c>
      <c r="X1225" t="str">
        <f>IF(Table1[[#This Row],[Performance
Rating]]&gt;=4, "High Performer", "Low Performer")</f>
        <v>Low Performer</v>
      </c>
    </row>
    <row r="1226" spans="2:24" x14ac:dyDescent="0.3">
      <c r="B1226" t="s">
        <v>19</v>
      </c>
      <c r="C1226" t="s">
        <v>20</v>
      </c>
      <c r="D1226">
        <v>1</v>
      </c>
      <c r="E1226" t="s">
        <v>28</v>
      </c>
      <c r="F1226">
        <v>2</v>
      </c>
      <c r="G1226" t="s">
        <v>32</v>
      </c>
      <c r="H1226">
        <v>4</v>
      </c>
      <c r="I1226">
        <v>5337</v>
      </c>
      <c r="J1226">
        <v>12</v>
      </c>
      <c r="K1226">
        <v>3</v>
      </c>
      <c r="L1226">
        <v>0</v>
      </c>
      <c r="M1226">
        <v>10</v>
      </c>
      <c r="N1226">
        <v>3</v>
      </c>
      <c r="O1226">
        <v>3</v>
      </c>
      <c r="P1226">
        <v>10</v>
      </c>
      <c r="Q1226">
        <v>7</v>
      </c>
      <c r="R1226">
        <v>5</v>
      </c>
      <c r="S1226" t="s">
        <v>34</v>
      </c>
      <c r="T1226" t="s">
        <v>37</v>
      </c>
      <c r="U1226" t="str">
        <f>IF(Table1[[#This Row],[YearsSince
LastPromotion]]&gt; 4, "Delayed", "Normal")</f>
        <v>Delayed</v>
      </c>
      <c r="V1226" t="str">
        <f>IF(Table1[[#This Row],[Years
InCurrentRole]]&gt;4, "Role Stagnent", "Normal")</f>
        <v>Role Stagnent</v>
      </c>
      <c r="W1226" t="str">
        <f>IF(AND(Table1[[#This Row],[Years
InCurrentRole]]&gt; 4, Table1[[#This Row],[Performance
Rating]]&gt;=3), "High Risk", "Normal")</f>
        <v>High Risk</v>
      </c>
      <c r="X1226" t="str">
        <f>IF(Table1[[#This Row],[Performance
Rating]]&gt;=4, "High Performer", "Low Performer")</f>
        <v>Low Performer</v>
      </c>
    </row>
    <row r="1227" spans="2:24" x14ac:dyDescent="0.3">
      <c r="B1227" t="s">
        <v>19</v>
      </c>
      <c r="C1227" t="s">
        <v>20</v>
      </c>
      <c r="D1227">
        <v>1</v>
      </c>
      <c r="E1227" t="s">
        <v>21</v>
      </c>
      <c r="F1227">
        <v>2</v>
      </c>
      <c r="G1227" t="s">
        <v>32</v>
      </c>
      <c r="H1227">
        <v>4</v>
      </c>
      <c r="I1227">
        <v>5468</v>
      </c>
      <c r="J1227">
        <v>14</v>
      </c>
      <c r="K1227">
        <v>3</v>
      </c>
      <c r="L1227">
        <v>2</v>
      </c>
      <c r="M1227">
        <v>13</v>
      </c>
      <c r="N1227">
        <v>3</v>
      </c>
      <c r="O1227">
        <v>3</v>
      </c>
      <c r="P1227">
        <v>12</v>
      </c>
      <c r="Q1227">
        <v>7</v>
      </c>
      <c r="R1227">
        <v>5</v>
      </c>
      <c r="S1227" t="s">
        <v>34</v>
      </c>
      <c r="T1227" t="s">
        <v>37</v>
      </c>
      <c r="U1227" t="str">
        <f>IF(Table1[[#This Row],[YearsSince
LastPromotion]]&gt; 4, "Delayed", "Normal")</f>
        <v>Delayed</v>
      </c>
      <c r="V1227" t="str">
        <f>IF(Table1[[#This Row],[Years
InCurrentRole]]&gt;4, "Role Stagnent", "Normal")</f>
        <v>Role Stagnent</v>
      </c>
      <c r="W1227" t="str">
        <f>IF(AND(Table1[[#This Row],[Years
InCurrentRole]]&gt; 4, Table1[[#This Row],[Performance
Rating]]&gt;=3), "High Risk", "Normal")</f>
        <v>High Risk</v>
      </c>
      <c r="X1227" t="str">
        <f>IF(Table1[[#This Row],[Performance
Rating]]&gt;=4, "High Performer", "Low Performer")</f>
        <v>Low Performer</v>
      </c>
    </row>
    <row r="1228" spans="2:24" x14ac:dyDescent="0.3">
      <c r="B1228" t="s">
        <v>19</v>
      </c>
      <c r="C1228" t="s">
        <v>25</v>
      </c>
      <c r="D1228">
        <v>1</v>
      </c>
      <c r="E1228" t="s">
        <v>28</v>
      </c>
      <c r="F1228">
        <v>3</v>
      </c>
      <c r="G1228" t="s">
        <v>35</v>
      </c>
      <c r="H1228">
        <v>1</v>
      </c>
      <c r="I1228">
        <v>13348</v>
      </c>
      <c r="J1228">
        <v>13</v>
      </c>
      <c r="K1228">
        <v>3</v>
      </c>
      <c r="L1228">
        <v>1</v>
      </c>
      <c r="M1228">
        <v>18</v>
      </c>
      <c r="N1228">
        <v>3</v>
      </c>
      <c r="O1228">
        <v>4</v>
      </c>
      <c r="P1228">
        <v>13</v>
      </c>
      <c r="Q1228">
        <v>7</v>
      </c>
      <c r="R1228">
        <v>5</v>
      </c>
      <c r="S1228" t="s">
        <v>34</v>
      </c>
      <c r="T1228" t="s">
        <v>37</v>
      </c>
      <c r="U1228" t="str">
        <f>IF(Table1[[#This Row],[YearsSince
LastPromotion]]&gt; 4, "Delayed", "Normal")</f>
        <v>Delayed</v>
      </c>
      <c r="V1228" t="str">
        <f>IF(Table1[[#This Row],[Years
InCurrentRole]]&gt;4, "Role Stagnent", "Normal")</f>
        <v>Role Stagnent</v>
      </c>
      <c r="W1228" t="str">
        <f>IF(AND(Table1[[#This Row],[Years
InCurrentRole]]&gt; 4, Table1[[#This Row],[Performance
Rating]]&gt;=3), "High Risk", "Normal")</f>
        <v>High Risk</v>
      </c>
      <c r="X1228" t="str">
        <f>IF(Table1[[#This Row],[Performance
Rating]]&gt;=4, "High Performer", "Low Performer")</f>
        <v>Low Performer</v>
      </c>
    </row>
    <row r="1229" spans="2:24" x14ac:dyDescent="0.3">
      <c r="B1229" t="s">
        <v>19</v>
      </c>
      <c r="C1229" t="s">
        <v>25</v>
      </c>
      <c r="D1229">
        <v>1</v>
      </c>
      <c r="E1229" t="s">
        <v>28</v>
      </c>
      <c r="F1229">
        <v>2</v>
      </c>
      <c r="G1229" t="s">
        <v>29</v>
      </c>
      <c r="H1229">
        <v>4</v>
      </c>
      <c r="I1229">
        <v>6472</v>
      </c>
      <c r="J1229">
        <v>15</v>
      </c>
      <c r="K1229">
        <v>3</v>
      </c>
      <c r="L1229">
        <v>1</v>
      </c>
      <c r="M1229">
        <v>9</v>
      </c>
      <c r="N1229">
        <v>2</v>
      </c>
      <c r="O1229">
        <v>3</v>
      </c>
      <c r="P1229">
        <v>9</v>
      </c>
      <c r="Q1229">
        <v>8</v>
      </c>
      <c r="R1229">
        <v>5</v>
      </c>
      <c r="S1229" t="s">
        <v>34</v>
      </c>
      <c r="T1229" t="s">
        <v>37</v>
      </c>
      <c r="U1229" t="str">
        <f>IF(Table1[[#This Row],[YearsSince
LastPromotion]]&gt; 4, "Delayed", "Normal")</f>
        <v>Delayed</v>
      </c>
      <c r="V1229" t="str">
        <f>IF(Table1[[#This Row],[Years
InCurrentRole]]&gt;4, "Role Stagnent", "Normal")</f>
        <v>Role Stagnent</v>
      </c>
      <c r="W1229" t="str">
        <f>IF(AND(Table1[[#This Row],[Years
InCurrentRole]]&gt; 4, Table1[[#This Row],[Performance
Rating]]&gt;=3), "High Risk", "Normal")</f>
        <v>High Risk</v>
      </c>
      <c r="X1229" t="str">
        <f>IF(Table1[[#This Row],[Performance
Rating]]&gt;=4, "High Performer", "Low Performer")</f>
        <v>Low Performer</v>
      </c>
    </row>
    <row r="1230" spans="2:24" x14ac:dyDescent="0.3">
      <c r="B1230" t="s">
        <v>19</v>
      </c>
      <c r="C1230" t="s">
        <v>20</v>
      </c>
      <c r="D1230">
        <v>1</v>
      </c>
      <c r="E1230" t="s">
        <v>28</v>
      </c>
      <c r="F1230">
        <v>1</v>
      </c>
      <c r="G1230" t="s">
        <v>30</v>
      </c>
      <c r="H1230">
        <v>4</v>
      </c>
      <c r="I1230">
        <v>2793</v>
      </c>
      <c r="J1230">
        <v>17</v>
      </c>
      <c r="K1230">
        <v>3</v>
      </c>
      <c r="L1230">
        <v>1</v>
      </c>
      <c r="M1230">
        <v>13</v>
      </c>
      <c r="N1230">
        <v>2</v>
      </c>
      <c r="O1230">
        <v>3</v>
      </c>
      <c r="P1230">
        <v>9</v>
      </c>
      <c r="Q1230">
        <v>8</v>
      </c>
      <c r="R1230">
        <v>5</v>
      </c>
      <c r="S1230" t="s">
        <v>34</v>
      </c>
      <c r="T1230" t="s">
        <v>37</v>
      </c>
      <c r="U1230" t="str">
        <f>IF(Table1[[#This Row],[YearsSince
LastPromotion]]&gt; 4, "Delayed", "Normal")</f>
        <v>Delayed</v>
      </c>
      <c r="V1230" t="str">
        <f>IF(Table1[[#This Row],[Years
InCurrentRole]]&gt;4, "Role Stagnent", "Normal")</f>
        <v>Role Stagnent</v>
      </c>
      <c r="W1230" t="str">
        <f>IF(AND(Table1[[#This Row],[Years
InCurrentRole]]&gt; 4, Table1[[#This Row],[Performance
Rating]]&gt;=3), "High Risk", "Normal")</f>
        <v>High Risk</v>
      </c>
      <c r="X1230" t="str">
        <f>IF(Table1[[#This Row],[Performance
Rating]]&gt;=4, "High Performer", "Low Performer")</f>
        <v>Low Performer</v>
      </c>
    </row>
    <row r="1231" spans="2:24" x14ac:dyDescent="0.3">
      <c r="B1231" t="s">
        <v>19</v>
      </c>
      <c r="C1231" t="s">
        <v>20</v>
      </c>
      <c r="D1231">
        <v>1</v>
      </c>
      <c r="E1231" t="s">
        <v>21</v>
      </c>
      <c r="F1231">
        <v>2</v>
      </c>
      <c r="G1231" t="s">
        <v>30</v>
      </c>
      <c r="H1231">
        <v>3</v>
      </c>
      <c r="I1231">
        <v>3540</v>
      </c>
      <c r="J1231">
        <v>21</v>
      </c>
      <c r="K1231">
        <v>4</v>
      </c>
      <c r="L1231">
        <v>1</v>
      </c>
      <c r="M1231">
        <v>9</v>
      </c>
      <c r="N1231">
        <v>5</v>
      </c>
      <c r="O1231">
        <v>3</v>
      </c>
      <c r="P1231">
        <v>9</v>
      </c>
      <c r="Q1231">
        <v>8</v>
      </c>
      <c r="R1231">
        <v>5</v>
      </c>
      <c r="S1231" t="s">
        <v>34</v>
      </c>
      <c r="T1231" t="s">
        <v>37</v>
      </c>
      <c r="U1231" t="str">
        <f>IF(Table1[[#This Row],[YearsSince
LastPromotion]]&gt; 4, "Delayed", "Normal")</f>
        <v>Delayed</v>
      </c>
      <c r="V1231" t="str">
        <f>IF(Table1[[#This Row],[Years
InCurrentRole]]&gt;4, "Role Stagnent", "Normal")</f>
        <v>Role Stagnent</v>
      </c>
      <c r="W1231" t="str">
        <f>IF(AND(Table1[[#This Row],[Years
InCurrentRole]]&gt; 4, Table1[[#This Row],[Performance
Rating]]&gt;=3), "High Risk", "Normal")</f>
        <v>High Risk</v>
      </c>
      <c r="X1231" t="str">
        <f>IF(Table1[[#This Row],[Performance
Rating]]&gt;=4, "High Performer", "Low Performer")</f>
        <v>High Performer</v>
      </c>
    </row>
    <row r="1232" spans="2:24" x14ac:dyDescent="0.3">
      <c r="B1232" t="s">
        <v>19</v>
      </c>
      <c r="C1232" t="s">
        <v>20</v>
      </c>
      <c r="D1232">
        <v>1</v>
      </c>
      <c r="E1232" t="s">
        <v>28</v>
      </c>
      <c r="F1232">
        <v>2</v>
      </c>
      <c r="G1232" t="s">
        <v>32</v>
      </c>
      <c r="H1232">
        <v>2</v>
      </c>
      <c r="I1232">
        <v>6524</v>
      </c>
      <c r="J1232">
        <v>14</v>
      </c>
      <c r="K1232">
        <v>3</v>
      </c>
      <c r="L1232">
        <v>1</v>
      </c>
      <c r="M1232">
        <v>10</v>
      </c>
      <c r="N1232">
        <v>3</v>
      </c>
      <c r="O1232">
        <v>3</v>
      </c>
      <c r="P1232">
        <v>10</v>
      </c>
      <c r="Q1232">
        <v>8</v>
      </c>
      <c r="R1232">
        <v>5</v>
      </c>
      <c r="S1232" t="s">
        <v>34</v>
      </c>
      <c r="T1232" t="s">
        <v>37</v>
      </c>
      <c r="U1232" t="str">
        <f>IF(Table1[[#This Row],[YearsSince
LastPromotion]]&gt; 4, "Delayed", "Normal")</f>
        <v>Delayed</v>
      </c>
      <c r="V1232" t="str">
        <f>IF(Table1[[#This Row],[Years
InCurrentRole]]&gt;4, "Role Stagnent", "Normal")</f>
        <v>Role Stagnent</v>
      </c>
      <c r="W1232" t="str">
        <f>IF(AND(Table1[[#This Row],[Years
InCurrentRole]]&gt; 4, Table1[[#This Row],[Performance
Rating]]&gt;=3), "High Risk", "Normal")</f>
        <v>High Risk</v>
      </c>
      <c r="X1232" t="str">
        <f>IF(Table1[[#This Row],[Performance
Rating]]&gt;=4, "High Performer", "Low Performer")</f>
        <v>Low Performer</v>
      </c>
    </row>
    <row r="1233" spans="2:24" x14ac:dyDescent="0.3">
      <c r="B1233" t="s">
        <v>19</v>
      </c>
      <c r="C1233" t="s">
        <v>20</v>
      </c>
      <c r="D1233">
        <v>1</v>
      </c>
      <c r="E1233" t="s">
        <v>28</v>
      </c>
      <c r="F1233">
        <v>2</v>
      </c>
      <c r="G1233" t="s">
        <v>32</v>
      </c>
      <c r="H1233">
        <v>3</v>
      </c>
      <c r="I1233">
        <v>5010</v>
      </c>
      <c r="J1233">
        <v>16</v>
      </c>
      <c r="K1233">
        <v>3</v>
      </c>
      <c r="L1233">
        <v>0</v>
      </c>
      <c r="M1233">
        <v>12</v>
      </c>
      <c r="N1233">
        <v>0</v>
      </c>
      <c r="O1233">
        <v>3</v>
      </c>
      <c r="P1233">
        <v>11</v>
      </c>
      <c r="Q1233">
        <v>8</v>
      </c>
      <c r="R1233">
        <v>5</v>
      </c>
      <c r="S1233" t="s">
        <v>34</v>
      </c>
      <c r="T1233" t="s">
        <v>37</v>
      </c>
      <c r="U1233" t="str">
        <f>IF(Table1[[#This Row],[YearsSince
LastPromotion]]&gt; 4, "Delayed", "Normal")</f>
        <v>Delayed</v>
      </c>
      <c r="V1233" t="str">
        <f>IF(Table1[[#This Row],[Years
InCurrentRole]]&gt;4, "Role Stagnent", "Normal")</f>
        <v>Role Stagnent</v>
      </c>
      <c r="W1233" t="str">
        <f>IF(AND(Table1[[#This Row],[Years
InCurrentRole]]&gt; 4, Table1[[#This Row],[Performance
Rating]]&gt;=3), "High Risk", "Normal")</f>
        <v>High Risk</v>
      </c>
      <c r="X1233" t="str">
        <f>IF(Table1[[#This Row],[Performance
Rating]]&gt;=4, "High Performer", "Low Performer")</f>
        <v>Low Performer</v>
      </c>
    </row>
    <row r="1234" spans="2:24" x14ac:dyDescent="0.3">
      <c r="B1234" t="s">
        <v>19</v>
      </c>
      <c r="C1234" t="s">
        <v>25</v>
      </c>
      <c r="D1234">
        <v>1</v>
      </c>
      <c r="E1234" t="s">
        <v>28</v>
      </c>
      <c r="F1234">
        <v>3</v>
      </c>
      <c r="G1234" t="s">
        <v>33</v>
      </c>
      <c r="H1234">
        <v>3</v>
      </c>
      <c r="I1234">
        <v>8474</v>
      </c>
      <c r="J1234">
        <v>22</v>
      </c>
      <c r="K1234">
        <v>4</v>
      </c>
      <c r="L1234">
        <v>0</v>
      </c>
      <c r="M1234">
        <v>12</v>
      </c>
      <c r="N1234">
        <v>2</v>
      </c>
      <c r="O1234">
        <v>3</v>
      </c>
      <c r="P1234">
        <v>11</v>
      </c>
      <c r="Q1234">
        <v>8</v>
      </c>
      <c r="R1234">
        <v>5</v>
      </c>
      <c r="S1234" t="s">
        <v>34</v>
      </c>
      <c r="T1234" t="s">
        <v>37</v>
      </c>
      <c r="U1234" t="str">
        <f>IF(Table1[[#This Row],[YearsSince
LastPromotion]]&gt; 4, "Delayed", "Normal")</f>
        <v>Delayed</v>
      </c>
      <c r="V1234" t="str">
        <f>IF(Table1[[#This Row],[Years
InCurrentRole]]&gt;4, "Role Stagnent", "Normal")</f>
        <v>Role Stagnent</v>
      </c>
      <c r="W1234" t="str">
        <f>IF(AND(Table1[[#This Row],[Years
InCurrentRole]]&gt; 4, Table1[[#This Row],[Performance
Rating]]&gt;=3), "High Risk", "Normal")</f>
        <v>High Risk</v>
      </c>
      <c r="X1234" t="str">
        <f>IF(Table1[[#This Row],[Performance
Rating]]&gt;=4, "High Performer", "Low Performer")</f>
        <v>High Performer</v>
      </c>
    </row>
    <row r="1235" spans="2:24" x14ac:dyDescent="0.3">
      <c r="B1235" t="s">
        <v>19</v>
      </c>
      <c r="C1235" t="s">
        <v>20</v>
      </c>
      <c r="D1235">
        <v>1</v>
      </c>
      <c r="E1235" t="s">
        <v>21</v>
      </c>
      <c r="F1235">
        <v>2</v>
      </c>
      <c r="G1235" t="s">
        <v>32</v>
      </c>
      <c r="H1235">
        <v>2</v>
      </c>
      <c r="I1235">
        <v>5677</v>
      </c>
      <c r="J1235">
        <v>14</v>
      </c>
      <c r="K1235">
        <v>3</v>
      </c>
      <c r="L1235">
        <v>1</v>
      </c>
      <c r="M1235">
        <v>15</v>
      </c>
      <c r="N1235">
        <v>4</v>
      </c>
      <c r="O1235">
        <v>3</v>
      </c>
      <c r="P1235">
        <v>11</v>
      </c>
      <c r="Q1235">
        <v>8</v>
      </c>
      <c r="R1235">
        <v>5</v>
      </c>
      <c r="S1235" t="s">
        <v>34</v>
      </c>
      <c r="T1235" t="s">
        <v>37</v>
      </c>
      <c r="U1235" t="str">
        <f>IF(Table1[[#This Row],[YearsSince
LastPromotion]]&gt; 4, "Delayed", "Normal")</f>
        <v>Delayed</v>
      </c>
      <c r="V1235" t="str">
        <f>IF(Table1[[#This Row],[Years
InCurrentRole]]&gt;4, "Role Stagnent", "Normal")</f>
        <v>Role Stagnent</v>
      </c>
      <c r="W1235" t="str">
        <f>IF(AND(Table1[[#This Row],[Years
InCurrentRole]]&gt; 4, Table1[[#This Row],[Performance
Rating]]&gt;=3), "High Risk", "Normal")</f>
        <v>High Risk</v>
      </c>
      <c r="X1235" t="str">
        <f>IF(Table1[[#This Row],[Performance
Rating]]&gt;=4, "High Performer", "Low Performer")</f>
        <v>Low Performer</v>
      </c>
    </row>
    <row r="1236" spans="2:24" x14ac:dyDescent="0.3">
      <c r="B1236" t="s">
        <v>19</v>
      </c>
      <c r="C1236" t="s">
        <v>25</v>
      </c>
      <c r="D1236">
        <v>1</v>
      </c>
      <c r="E1236" t="s">
        <v>21</v>
      </c>
      <c r="F1236">
        <v>2</v>
      </c>
      <c r="G1236" t="s">
        <v>29</v>
      </c>
      <c r="H1236">
        <v>2</v>
      </c>
      <c r="I1236">
        <v>4444</v>
      </c>
      <c r="J1236">
        <v>13</v>
      </c>
      <c r="K1236">
        <v>3</v>
      </c>
      <c r="L1236">
        <v>2</v>
      </c>
      <c r="M1236">
        <v>15</v>
      </c>
      <c r="N1236">
        <v>2</v>
      </c>
      <c r="O1236">
        <v>4</v>
      </c>
      <c r="P1236">
        <v>11</v>
      </c>
      <c r="Q1236">
        <v>8</v>
      </c>
      <c r="R1236">
        <v>5</v>
      </c>
      <c r="S1236" t="s">
        <v>34</v>
      </c>
      <c r="T1236" t="s">
        <v>37</v>
      </c>
      <c r="U1236" t="str">
        <f>IF(Table1[[#This Row],[YearsSince
LastPromotion]]&gt; 4, "Delayed", "Normal")</f>
        <v>Delayed</v>
      </c>
      <c r="V1236" t="str">
        <f>IF(Table1[[#This Row],[Years
InCurrentRole]]&gt;4, "Role Stagnent", "Normal")</f>
        <v>Role Stagnent</v>
      </c>
      <c r="W1236" t="str">
        <f>IF(AND(Table1[[#This Row],[Years
InCurrentRole]]&gt; 4, Table1[[#This Row],[Performance
Rating]]&gt;=3), "High Risk", "Normal")</f>
        <v>High Risk</v>
      </c>
      <c r="X1236" t="str">
        <f>IF(Table1[[#This Row],[Performance
Rating]]&gt;=4, "High Performer", "Low Performer")</f>
        <v>Low Performer</v>
      </c>
    </row>
    <row r="1237" spans="2:24" x14ac:dyDescent="0.3">
      <c r="B1237" t="s">
        <v>19</v>
      </c>
      <c r="C1237" t="s">
        <v>25</v>
      </c>
      <c r="D1237">
        <v>1</v>
      </c>
      <c r="E1237" t="s">
        <v>28</v>
      </c>
      <c r="F1237">
        <v>3</v>
      </c>
      <c r="G1237" t="s">
        <v>31</v>
      </c>
      <c r="H1237">
        <v>1</v>
      </c>
      <c r="I1237">
        <v>8321</v>
      </c>
      <c r="J1237">
        <v>13</v>
      </c>
      <c r="K1237">
        <v>3</v>
      </c>
      <c r="L1237">
        <v>1</v>
      </c>
      <c r="M1237">
        <v>15</v>
      </c>
      <c r="N1237">
        <v>1</v>
      </c>
      <c r="O1237">
        <v>3</v>
      </c>
      <c r="P1237">
        <v>12</v>
      </c>
      <c r="Q1237">
        <v>8</v>
      </c>
      <c r="R1237">
        <v>5</v>
      </c>
      <c r="S1237" t="s">
        <v>34</v>
      </c>
      <c r="T1237" t="s">
        <v>37</v>
      </c>
      <c r="U1237" t="str">
        <f>IF(Table1[[#This Row],[YearsSince
LastPromotion]]&gt; 4, "Delayed", "Normal")</f>
        <v>Delayed</v>
      </c>
      <c r="V1237" t="str">
        <f>IF(Table1[[#This Row],[Years
InCurrentRole]]&gt;4, "Role Stagnent", "Normal")</f>
        <v>Role Stagnent</v>
      </c>
      <c r="W1237" t="str">
        <f>IF(AND(Table1[[#This Row],[Years
InCurrentRole]]&gt; 4, Table1[[#This Row],[Performance
Rating]]&gt;=3), "High Risk", "Normal")</f>
        <v>High Risk</v>
      </c>
      <c r="X1237" t="str">
        <f>IF(Table1[[#This Row],[Performance
Rating]]&gt;=4, "High Performer", "Low Performer")</f>
        <v>Low Performer</v>
      </c>
    </row>
    <row r="1238" spans="2:24" x14ac:dyDescent="0.3">
      <c r="B1238" t="s">
        <v>19</v>
      </c>
      <c r="C1238" t="s">
        <v>25</v>
      </c>
      <c r="D1238">
        <v>1</v>
      </c>
      <c r="E1238" t="s">
        <v>21</v>
      </c>
      <c r="F1238">
        <v>3</v>
      </c>
      <c r="G1238" t="s">
        <v>35</v>
      </c>
      <c r="H1238">
        <v>2</v>
      </c>
      <c r="I1238">
        <v>11957</v>
      </c>
      <c r="J1238">
        <v>18</v>
      </c>
      <c r="K1238">
        <v>3</v>
      </c>
      <c r="L1238">
        <v>2</v>
      </c>
      <c r="M1238">
        <v>14</v>
      </c>
      <c r="N1238">
        <v>3</v>
      </c>
      <c r="O1238">
        <v>1</v>
      </c>
      <c r="P1238">
        <v>13</v>
      </c>
      <c r="Q1238">
        <v>8</v>
      </c>
      <c r="R1238">
        <v>5</v>
      </c>
      <c r="S1238" t="s">
        <v>23</v>
      </c>
      <c r="T1238" t="s">
        <v>37</v>
      </c>
      <c r="U1238" t="str">
        <f>IF(Table1[[#This Row],[YearsSince
LastPromotion]]&gt; 4, "Delayed", "Normal")</f>
        <v>Delayed</v>
      </c>
      <c r="V1238" t="str">
        <f>IF(Table1[[#This Row],[Years
InCurrentRole]]&gt;4, "Role Stagnent", "Normal")</f>
        <v>Role Stagnent</v>
      </c>
      <c r="W1238" t="str">
        <f>IF(AND(Table1[[#This Row],[Years
InCurrentRole]]&gt; 4, Table1[[#This Row],[Performance
Rating]]&gt;=3), "High Risk", "Normal")</f>
        <v>High Risk</v>
      </c>
      <c r="X1238" t="str">
        <f>IF(Table1[[#This Row],[Performance
Rating]]&gt;=4, "High Performer", "Low Performer")</f>
        <v>Low Performer</v>
      </c>
    </row>
    <row r="1239" spans="2:24" x14ac:dyDescent="0.3">
      <c r="B1239" t="s">
        <v>27</v>
      </c>
      <c r="C1239" t="s">
        <v>25</v>
      </c>
      <c r="D1239">
        <v>1</v>
      </c>
      <c r="E1239" t="s">
        <v>21</v>
      </c>
      <c r="F1239">
        <v>3</v>
      </c>
      <c r="G1239" t="s">
        <v>33</v>
      </c>
      <c r="H1239">
        <v>1</v>
      </c>
      <c r="I1239">
        <v>10008</v>
      </c>
      <c r="J1239">
        <v>14</v>
      </c>
      <c r="K1239">
        <v>3</v>
      </c>
      <c r="L1239">
        <v>0</v>
      </c>
      <c r="M1239">
        <v>31</v>
      </c>
      <c r="N1239">
        <v>0</v>
      </c>
      <c r="O1239">
        <v>2</v>
      </c>
      <c r="P1239">
        <v>10</v>
      </c>
      <c r="Q1239">
        <v>9</v>
      </c>
      <c r="R1239">
        <v>5</v>
      </c>
      <c r="S1239" t="s">
        <v>23</v>
      </c>
      <c r="T1239" t="s">
        <v>37</v>
      </c>
      <c r="U1239" t="str">
        <f>IF(Table1[[#This Row],[YearsSince
LastPromotion]]&gt; 4, "Delayed", "Normal")</f>
        <v>Delayed</v>
      </c>
      <c r="V1239" t="str">
        <f>IF(Table1[[#This Row],[Years
InCurrentRole]]&gt;4, "Role Stagnent", "Normal")</f>
        <v>Role Stagnent</v>
      </c>
      <c r="W1239" t="str">
        <f>IF(AND(Table1[[#This Row],[Years
InCurrentRole]]&gt; 4, Table1[[#This Row],[Performance
Rating]]&gt;=3), "High Risk", "Normal")</f>
        <v>High Risk</v>
      </c>
      <c r="X1239" t="str">
        <f>IF(Table1[[#This Row],[Performance
Rating]]&gt;=4, "High Performer", "Low Performer")</f>
        <v>Low Performer</v>
      </c>
    </row>
    <row r="1240" spans="2:24" x14ac:dyDescent="0.3">
      <c r="B1240" t="s">
        <v>19</v>
      </c>
      <c r="C1240" t="s">
        <v>25</v>
      </c>
      <c r="D1240">
        <v>1</v>
      </c>
      <c r="E1240" t="s">
        <v>28</v>
      </c>
      <c r="F1240">
        <v>3</v>
      </c>
      <c r="G1240" t="s">
        <v>33</v>
      </c>
      <c r="H1240">
        <v>1</v>
      </c>
      <c r="I1240">
        <v>7406</v>
      </c>
      <c r="J1240">
        <v>21</v>
      </c>
      <c r="K1240">
        <v>4</v>
      </c>
      <c r="L1240">
        <v>1</v>
      </c>
      <c r="M1240">
        <v>10</v>
      </c>
      <c r="N1240">
        <v>5</v>
      </c>
      <c r="O1240">
        <v>2</v>
      </c>
      <c r="P1240">
        <v>10</v>
      </c>
      <c r="Q1240">
        <v>9</v>
      </c>
      <c r="R1240">
        <v>5</v>
      </c>
      <c r="S1240" t="s">
        <v>23</v>
      </c>
      <c r="T1240" t="s">
        <v>37</v>
      </c>
      <c r="U1240" t="str">
        <f>IF(Table1[[#This Row],[YearsSince
LastPromotion]]&gt; 4, "Delayed", "Normal")</f>
        <v>Delayed</v>
      </c>
      <c r="V1240" t="str">
        <f>IF(Table1[[#This Row],[Years
InCurrentRole]]&gt;4, "Role Stagnent", "Normal")</f>
        <v>Role Stagnent</v>
      </c>
      <c r="W1240" t="str">
        <f>IF(AND(Table1[[#This Row],[Years
InCurrentRole]]&gt; 4, Table1[[#This Row],[Performance
Rating]]&gt;=3), "High Risk", "Normal")</f>
        <v>High Risk</v>
      </c>
      <c r="X1240" t="str">
        <f>IF(Table1[[#This Row],[Performance
Rating]]&gt;=4, "High Performer", "Low Performer")</f>
        <v>High Performer</v>
      </c>
    </row>
    <row r="1241" spans="2:24" x14ac:dyDescent="0.3">
      <c r="B1241" t="s">
        <v>19</v>
      </c>
      <c r="C1241" t="s">
        <v>25</v>
      </c>
      <c r="D1241">
        <v>1</v>
      </c>
      <c r="E1241" t="s">
        <v>28</v>
      </c>
      <c r="F1241">
        <v>1</v>
      </c>
      <c r="G1241" t="s">
        <v>26</v>
      </c>
      <c r="H1241">
        <v>2</v>
      </c>
      <c r="I1241">
        <v>3579</v>
      </c>
      <c r="J1241">
        <v>21</v>
      </c>
      <c r="K1241">
        <v>4</v>
      </c>
      <c r="L1241">
        <v>1</v>
      </c>
      <c r="M1241">
        <v>12</v>
      </c>
      <c r="N1241">
        <v>2</v>
      </c>
      <c r="O1241">
        <v>3</v>
      </c>
      <c r="P1241">
        <v>11</v>
      </c>
      <c r="Q1241">
        <v>9</v>
      </c>
      <c r="R1241">
        <v>5</v>
      </c>
      <c r="S1241" t="s">
        <v>34</v>
      </c>
      <c r="T1241" t="s">
        <v>37</v>
      </c>
      <c r="U1241" t="str">
        <f>IF(Table1[[#This Row],[YearsSince
LastPromotion]]&gt; 4, "Delayed", "Normal")</f>
        <v>Delayed</v>
      </c>
      <c r="V1241" t="str">
        <f>IF(Table1[[#This Row],[Years
InCurrentRole]]&gt;4, "Role Stagnent", "Normal")</f>
        <v>Role Stagnent</v>
      </c>
      <c r="W1241" t="str">
        <f>IF(AND(Table1[[#This Row],[Years
InCurrentRole]]&gt; 4, Table1[[#This Row],[Performance
Rating]]&gt;=3), "High Risk", "Normal")</f>
        <v>High Risk</v>
      </c>
      <c r="X1241" t="str">
        <f>IF(Table1[[#This Row],[Performance
Rating]]&gt;=4, "High Performer", "Low Performer")</f>
        <v>High Performer</v>
      </c>
    </row>
    <row r="1242" spans="2:24" x14ac:dyDescent="0.3">
      <c r="B1242" t="s">
        <v>19</v>
      </c>
      <c r="C1242" t="s">
        <v>25</v>
      </c>
      <c r="D1242">
        <v>1</v>
      </c>
      <c r="E1242" t="s">
        <v>28</v>
      </c>
      <c r="F1242">
        <v>2</v>
      </c>
      <c r="G1242" t="s">
        <v>33</v>
      </c>
      <c r="H1242">
        <v>1</v>
      </c>
      <c r="I1242">
        <v>5957</v>
      </c>
      <c r="J1242">
        <v>13</v>
      </c>
      <c r="K1242">
        <v>3</v>
      </c>
      <c r="L1242">
        <v>1</v>
      </c>
      <c r="M1242">
        <v>13</v>
      </c>
      <c r="N1242">
        <v>3</v>
      </c>
      <c r="O1242">
        <v>3</v>
      </c>
      <c r="P1242">
        <v>11</v>
      </c>
      <c r="Q1242">
        <v>9</v>
      </c>
      <c r="R1242">
        <v>5</v>
      </c>
      <c r="S1242" t="s">
        <v>34</v>
      </c>
      <c r="T1242" t="s">
        <v>37</v>
      </c>
      <c r="U1242" t="str">
        <f>IF(Table1[[#This Row],[YearsSince
LastPromotion]]&gt; 4, "Delayed", "Normal")</f>
        <v>Delayed</v>
      </c>
      <c r="V1242" t="str">
        <f>IF(Table1[[#This Row],[Years
InCurrentRole]]&gt;4, "Role Stagnent", "Normal")</f>
        <v>Role Stagnent</v>
      </c>
      <c r="W1242" t="str">
        <f>IF(AND(Table1[[#This Row],[Years
InCurrentRole]]&gt; 4, Table1[[#This Row],[Performance
Rating]]&gt;=3), "High Risk", "Normal")</f>
        <v>High Risk</v>
      </c>
      <c r="X1242" t="str">
        <f>IF(Table1[[#This Row],[Performance
Rating]]&gt;=4, "High Performer", "Low Performer")</f>
        <v>Low Performer</v>
      </c>
    </row>
    <row r="1243" spans="2:24" x14ac:dyDescent="0.3">
      <c r="B1243" t="s">
        <v>19</v>
      </c>
      <c r="C1243" t="s">
        <v>25</v>
      </c>
      <c r="D1243">
        <v>1</v>
      </c>
      <c r="E1243" t="s">
        <v>21</v>
      </c>
      <c r="F1243">
        <v>1</v>
      </c>
      <c r="G1243" t="s">
        <v>29</v>
      </c>
      <c r="H1243">
        <v>4</v>
      </c>
      <c r="I1243">
        <v>3673</v>
      </c>
      <c r="J1243">
        <v>13</v>
      </c>
      <c r="K1243">
        <v>3</v>
      </c>
      <c r="L1243">
        <v>0</v>
      </c>
      <c r="M1243">
        <v>12</v>
      </c>
      <c r="N1243">
        <v>3</v>
      </c>
      <c r="O1243">
        <v>3</v>
      </c>
      <c r="P1243">
        <v>12</v>
      </c>
      <c r="Q1243">
        <v>9</v>
      </c>
      <c r="R1243">
        <v>5</v>
      </c>
      <c r="S1243" t="s">
        <v>34</v>
      </c>
      <c r="T1243" t="s">
        <v>37</v>
      </c>
      <c r="U1243" t="str">
        <f>IF(Table1[[#This Row],[YearsSince
LastPromotion]]&gt; 4, "Delayed", "Normal")</f>
        <v>Delayed</v>
      </c>
      <c r="V1243" t="str">
        <f>IF(Table1[[#This Row],[Years
InCurrentRole]]&gt;4, "Role Stagnent", "Normal")</f>
        <v>Role Stagnent</v>
      </c>
      <c r="W1243" t="str">
        <f>IF(AND(Table1[[#This Row],[Years
InCurrentRole]]&gt; 4, Table1[[#This Row],[Performance
Rating]]&gt;=3), "High Risk", "Normal")</f>
        <v>High Risk</v>
      </c>
      <c r="X1243" t="str">
        <f>IF(Table1[[#This Row],[Performance
Rating]]&gt;=4, "High Performer", "Low Performer")</f>
        <v>Low Performer</v>
      </c>
    </row>
    <row r="1244" spans="2:24" x14ac:dyDescent="0.3">
      <c r="B1244" t="s">
        <v>19</v>
      </c>
      <c r="C1244" t="s">
        <v>20</v>
      </c>
      <c r="D1244">
        <v>1</v>
      </c>
      <c r="E1244" t="s">
        <v>28</v>
      </c>
      <c r="F1244">
        <v>1</v>
      </c>
      <c r="G1244" t="s">
        <v>30</v>
      </c>
      <c r="H1244">
        <v>3</v>
      </c>
      <c r="I1244">
        <v>2308</v>
      </c>
      <c r="J1244">
        <v>25</v>
      </c>
      <c r="K1244">
        <v>4</v>
      </c>
      <c r="L1244">
        <v>1</v>
      </c>
      <c r="M1244">
        <v>12</v>
      </c>
      <c r="N1244">
        <v>4</v>
      </c>
      <c r="O1244">
        <v>3</v>
      </c>
      <c r="P1244">
        <v>11</v>
      </c>
      <c r="Q1244">
        <v>10</v>
      </c>
      <c r="R1244">
        <v>5</v>
      </c>
      <c r="S1244" t="s">
        <v>34</v>
      </c>
      <c r="T1244" t="s">
        <v>37</v>
      </c>
      <c r="U1244" t="str">
        <f>IF(Table1[[#This Row],[YearsSince
LastPromotion]]&gt; 4, "Delayed", "Normal")</f>
        <v>Delayed</v>
      </c>
      <c r="V1244" t="str">
        <f>IF(Table1[[#This Row],[Years
InCurrentRole]]&gt;4, "Role Stagnent", "Normal")</f>
        <v>Role Stagnent</v>
      </c>
      <c r="W1244" t="str">
        <f>IF(AND(Table1[[#This Row],[Years
InCurrentRole]]&gt; 4, Table1[[#This Row],[Performance
Rating]]&gt;=3), "High Risk", "Normal")</f>
        <v>High Risk</v>
      </c>
      <c r="X1244" t="str">
        <f>IF(Table1[[#This Row],[Performance
Rating]]&gt;=4, "High Performer", "Low Performer")</f>
        <v>High Performer</v>
      </c>
    </row>
    <row r="1245" spans="2:24" x14ac:dyDescent="0.3">
      <c r="B1245" t="s">
        <v>19</v>
      </c>
      <c r="C1245" t="s">
        <v>25</v>
      </c>
      <c r="D1245">
        <v>1</v>
      </c>
      <c r="E1245" t="s">
        <v>21</v>
      </c>
      <c r="F1245">
        <v>3</v>
      </c>
      <c r="G1245" t="s">
        <v>22</v>
      </c>
      <c r="H1245">
        <v>1</v>
      </c>
      <c r="I1245">
        <v>11631</v>
      </c>
      <c r="J1245">
        <v>12</v>
      </c>
      <c r="K1245">
        <v>3</v>
      </c>
      <c r="L1245">
        <v>0</v>
      </c>
      <c r="M1245">
        <v>14</v>
      </c>
      <c r="N1245">
        <v>6</v>
      </c>
      <c r="O1245">
        <v>3</v>
      </c>
      <c r="P1245">
        <v>11</v>
      </c>
      <c r="Q1245">
        <v>10</v>
      </c>
      <c r="R1245">
        <v>5</v>
      </c>
      <c r="S1245" t="s">
        <v>34</v>
      </c>
      <c r="T1245" t="s">
        <v>37</v>
      </c>
      <c r="U1245" t="str">
        <f>IF(Table1[[#This Row],[YearsSince
LastPromotion]]&gt; 4, "Delayed", "Normal")</f>
        <v>Delayed</v>
      </c>
      <c r="V1245" t="str">
        <f>IF(Table1[[#This Row],[Years
InCurrentRole]]&gt;4, "Role Stagnent", "Normal")</f>
        <v>Role Stagnent</v>
      </c>
      <c r="W1245" t="str">
        <f>IF(AND(Table1[[#This Row],[Years
InCurrentRole]]&gt; 4, Table1[[#This Row],[Performance
Rating]]&gt;=3), "High Risk", "Normal")</f>
        <v>High Risk</v>
      </c>
      <c r="X1245" t="str">
        <f>IF(Table1[[#This Row],[Performance
Rating]]&gt;=4, "High Performer", "Low Performer")</f>
        <v>Low Performer</v>
      </c>
    </row>
    <row r="1246" spans="2:24" x14ac:dyDescent="0.3">
      <c r="B1246" t="s">
        <v>19</v>
      </c>
      <c r="C1246" t="s">
        <v>20</v>
      </c>
      <c r="D1246">
        <v>1</v>
      </c>
      <c r="E1246" t="s">
        <v>21</v>
      </c>
      <c r="F1246">
        <v>3</v>
      </c>
      <c r="G1246" t="s">
        <v>32</v>
      </c>
      <c r="H1246">
        <v>4</v>
      </c>
      <c r="I1246">
        <v>10422</v>
      </c>
      <c r="J1246">
        <v>19</v>
      </c>
      <c r="K1246">
        <v>3</v>
      </c>
      <c r="L1246">
        <v>2</v>
      </c>
      <c r="M1246">
        <v>14</v>
      </c>
      <c r="N1246">
        <v>3</v>
      </c>
      <c r="O1246">
        <v>3</v>
      </c>
      <c r="P1246">
        <v>14</v>
      </c>
      <c r="Q1246">
        <v>10</v>
      </c>
      <c r="R1246">
        <v>5</v>
      </c>
      <c r="S1246" t="s">
        <v>34</v>
      </c>
      <c r="T1246" t="s">
        <v>37</v>
      </c>
      <c r="U1246" t="str">
        <f>IF(Table1[[#This Row],[YearsSince
LastPromotion]]&gt; 4, "Delayed", "Normal")</f>
        <v>Delayed</v>
      </c>
      <c r="V1246" t="str">
        <f>IF(Table1[[#This Row],[Years
InCurrentRole]]&gt;4, "Role Stagnent", "Normal")</f>
        <v>Role Stagnent</v>
      </c>
      <c r="W1246" t="str">
        <f>IF(AND(Table1[[#This Row],[Years
InCurrentRole]]&gt; 4, Table1[[#This Row],[Performance
Rating]]&gt;=3), "High Risk", "Normal")</f>
        <v>High Risk</v>
      </c>
      <c r="X1246" t="str">
        <f>IF(Table1[[#This Row],[Performance
Rating]]&gt;=4, "High Performer", "Low Performer")</f>
        <v>Low Performer</v>
      </c>
    </row>
    <row r="1247" spans="2:24" x14ac:dyDescent="0.3">
      <c r="B1247" t="s">
        <v>19</v>
      </c>
      <c r="C1247" t="s">
        <v>20</v>
      </c>
      <c r="D1247">
        <v>1</v>
      </c>
      <c r="E1247" t="s">
        <v>28</v>
      </c>
      <c r="F1247">
        <v>3</v>
      </c>
      <c r="G1247" t="s">
        <v>32</v>
      </c>
      <c r="H1247">
        <v>3</v>
      </c>
      <c r="I1247">
        <v>10609</v>
      </c>
      <c r="J1247">
        <v>12</v>
      </c>
      <c r="K1247">
        <v>3</v>
      </c>
      <c r="L1247">
        <v>2</v>
      </c>
      <c r="M1247">
        <v>17</v>
      </c>
      <c r="N1247">
        <v>6</v>
      </c>
      <c r="O1247">
        <v>2</v>
      </c>
      <c r="P1247">
        <v>16</v>
      </c>
      <c r="Q1247">
        <v>10</v>
      </c>
      <c r="R1247">
        <v>5</v>
      </c>
      <c r="S1247" t="s">
        <v>23</v>
      </c>
      <c r="T1247" t="s">
        <v>37</v>
      </c>
      <c r="U1247" t="str">
        <f>IF(Table1[[#This Row],[YearsSince
LastPromotion]]&gt; 4, "Delayed", "Normal")</f>
        <v>Delayed</v>
      </c>
      <c r="V1247" t="str">
        <f>IF(Table1[[#This Row],[Years
InCurrentRole]]&gt;4, "Role Stagnent", "Normal")</f>
        <v>Role Stagnent</v>
      </c>
      <c r="W1247" t="str">
        <f>IF(AND(Table1[[#This Row],[Years
InCurrentRole]]&gt; 4, Table1[[#This Row],[Performance
Rating]]&gt;=3), "High Risk", "Normal")</f>
        <v>High Risk</v>
      </c>
      <c r="X1247" t="str">
        <f>IF(Table1[[#This Row],[Performance
Rating]]&gt;=4, "High Performer", "Low Performer")</f>
        <v>Low Performer</v>
      </c>
    </row>
    <row r="1248" spans="2:24" x14ac:dyDescent="0.3">
      <c r="B1248" t="s">
        <v>19</v>
      </c>
      <c r="C1248" t="s">
        <v>25</v>
      </c>
      <c r="D1248">
        <v>1</v>
      </c>
      <c r="E1248" t="s">
        <v>21</v>
      </c>
      <c r="F1248">
        <v>2</v>
      </c>
      <c r="G1248" t="s">
        <v>33</v>
      </c>
      <c r="H1248">
        <v>1</v>
      </c>
      <c r="I1248">
        <v>6567</v>
      </c>
      <c r="J1248">
        <v>14</v>
      </c>
      <c r="K1248">
        <v>3</v>
      </c>
      <c r="L1248">
        <v>0</v>
      </c>
      <c r="M1248">
        <v>16</v>
      </c>
      <c r="N1248">
        <v>2</v>
      </c>
      <c r="O1248">
        <v>2</v>
      </c>
      <c r="P1248">
        <v>15</v>
      </c>
      <c r="Q1248">
        <v>11</v>
      </c>
      <c r="R1248">
        <v>5</v>
      </c>
      <c r="S1248" t="s">
        <v>23</v>
      </c>
      <c r="T1248" t="s">
        <v>37</v>
      </c>
      <c r="U1248" t="str">
        <f>IF(Table1[[#This Row],[YearsSince
LastPromotion]]&gt; 4, "Delayed", "Normal")</f>
        <v>Delayed</v>
      </c>
      <c r="V1248" t="str">
        <f>IF(Table1[[#This Row],[Years
InCurrentRole]]&gt;4, "Role Stagnent", "Normal")</f>
        <v>Role Stagnent</v>
      </c>
      <c r="W1248" t="str">
        <f>IF(AND(Table1[[#This Row],[Years
InCurrentRole]]&gt; 4, Table1[[#This Row],[Performance
Rating]]&gt;=3), "High Risk", "Normal")</f>
        <v>High Risk</v>
      </c>
      <c r="X1248" t="str">
        <f>IF(Table1[[#This Row],[Performance
Rating]]&gt;=4, "High Performer", "Low Performer")</f>
        <v>Low Performer</v>
      </c>
    </row>
    <row r="1249" spans="2:24" x14ac:dyDescent="0.3">
      <c r="B1249" t="s">
        <v>19</v>
      </c>
      <c r="C1249" t="s">
        <v>20</v>
      </c>
      <c r="D1249">
        <v>1</v>
      </c>
      <c r="E1249" t="s">
        <v>21</v>
      </c>
      <c r="F1249">
        <v>2</v>
      </c>
      <c r="G1249" t="s">
        <v>32</v>
      </c>
      <c r="H1249">
        <v>3</v>
      </c>
      <c r="I1249">
        <v>5902</v>
      </c>
      <c r="J1249">
        <v>14</v>
      </c>
      <c r="K1249">
        <v>3</v>
      </c>
      <c r="L1249">
        <v>1</v>
      </c>
      <c r="M1249">
        <v>17</v>
      </c>
      <c r="N1249">
        <v>1</v>
      </c>
      <c r="O1249">
        <v>4</v>
      </c>
      <c r="P1249">
        <v>15</v>
      </c>
      <c r="Q1249">
        <v>11</v>
      </c>
      <c r="R1249">
        <v>5</v>
      </c>
      <c r="S1249" t="s">
        <v>34</v>
      </c>
      <c r="T1249" t="s">
        <v>37</v>
      </c>
      <c r="U1249" t="str">
        <f>IF(Table1[[#This Row],[YearsSince
LastPromotion]]&gt; 4, "Delayed", "Normal")</f>
        <v>Delayed</v>
      </c>
      <c r="V1249" t="str">
        <f>IF(Table1[[#This Row],[Years
InCurrentRole]]&gt;4, "Role Stagnent", "Normal")</f>
        <v>Role Stagnent</v>
      </c>
      <c r="W1249" t="str">
        <f>IF(AND(Table1[[#This Row],[Years
InCurrentRole]]&gt; 4, Table1[[#This Row],[Performance
Rating]]&gt;=3), "High Risk", "Normal")</f>
        <v>High Risk</v>
      </c>
      <c r="X1249" t="str">
        <f>IF(Table1[[#This Row],[Performance
Rating]]&gt;=4, "High Performer", "Low Performer")</f>
        <v>Low Performer</v>
      </c>
    </row>
    <row r="1250" spans="2:24" x14ac:dyDescent="0.3">
      <c r="B1250" t="s">
        <v>19</v>
      </c>
      <c r="C1250" t="s">
        <v>20</v>
      </c>
      <c r="D1250">
        <v>1</v>
      </c>
      <c r="E1250" t="s">
        <v>21</v>
      </c>
      <c r="F1250">
        <v>4</v>
      </c>
      <c r="G1250" t="s">
        <v>22</v>
      </c>
      <c r="H1250">
        <v>2</v>
      </c>
      <c r="I1250">
        <v>16606</v>
      </c>
      <c r="J1250">
        <v>12</v>
      </c>
      <c r="K1250">
        <v>3</v>
      </c>
      <c r="L1250">
        <v>1</v>
      </c>
      <c r="M1250">
        <v>23</v>
      </c>
      <c r="N1250">
        <v>2</v>
      </c>
      <c r="O1250">
        <v>4</v>
      </c>
      <c r="P1250">
        <v>13</v>
      </c>
      <c r="Q1250">
        <v>12</v>
      </c>
      <c r="R1250">
        <v>5</v>
      </c>
      <c r="S1250" t="s">
        <v>34</v>
      </c>
      <c r="T1250" t="s">
        <v>37</v>
      </c>
      <c r="U1250" t="str">
        <f>IF(Table1[[#This Row],[YearsSince
LastPromotion]]&gt; 4, "Delayed", "Normal")</f>
        <v>Delayed</v>
      </c>
      <c r="V1250" t="str">
        <f>IF(Table1[[#This Row],[Years
InCurrentRole]]&gt;4, "Role Stagnent", "Normal")</f>
        <v>Role Stagnent</v>
      </c>
      <c r="W1250" t="str">
        <f>IF(AND(Table1[[#This Row],[Years
InCurrentRole]]&gt; 4, Table1[[#This Row],[Performance
Rating]]&gt;=3), "High Risk", "Normal")</f>
        <v>High Risk</v>
      </c>
      <c r="X1250" t="str">
        <f>IF(Table1[[#This Row],[Performance
Rating]]&gt;=4, "High Performer", "Low Performer")</f>
        <v>Low Performer</v>
      </c>
    </row>
    <row r="1251" spans="2:24" x14ac:dyDescent="0.3">
      <c r="B1251" t="s">
        <v>19</v>
      </c>
      <c r="C1251" t="s">
        <v>25</v>
      </c>
      <c r="D1251">
        <v>1</v>
      </c>
      <c r="E1251" t="s">
        <v>21</v>
      </c>
      <c r="F1251">
        <v>3</v>
      </c>
      <c r="G1251" t="s">
        <v>35</v>
      </c>
      <c r="H1251">
        <v>1</v>
      </c>
      <c r="I1251">
        <v>13582</v>
      </c>
      <c r="J1251">
        <v>13</v>
      </c>
      <c r="K1251">
        <v>3</v>
      </c>
      <c r="L1251">
        <v>1</v>
      </c>
      <c r="M1251">
        <v>15</v>
      </c>
      <c r="N1251">
        <v>3</v>
      </c>
      <c r="O1251">
        <v>3</v>
      </c>
      <c r="P1251">
        <v>15</v>
      </c>
      <c r="Q1251">
        <v>12</v>
      </c>
      <c r="R1251">
        <v>5</v>
      </c>
      <c r="S1251" t="s">
        <v>34</v>
      </c>
      <c r="T1251" t="s">
        <v>37</v>
      </c>
      <c r="U1251" t="str">
        <f>IF(Table1[[#This Row],[YearsSince
LastPromotion]]&gt; 4, "Delayed", "Normal")</f>
        <v>Delayed</v>
      </c>
      <c r="V1251" t="str">
        <f>IF(Table1[[#This Row],[Years
InCurrentRole]]&gt;4, "Role Stagnent", "Normal")</f>
        <v>Role Stagnent</v>
      </c>
      <c r="W1251" t="str">
        <f>IF(AND(Table1[[#This Row],[Years
InCurrentRole]]&gt; 4, Table1[[#This Row],[Performance
Rating]]&gt;=3), "High Risk", "Normal")</f>
        <v>High Risk</v>
      </c>
      <c r="X1251" t="str">
        <f>IF(Table1[[#This Row],[Performance
Rating]]&gt;=4, "High Performer", "Low Performer")</f>
        <v>Low Performer</v>
      </c>
    </row>
    <row r="1252" spans="2:24" x14ac:dyDescent="0.3">
      <c r="B1252" t="s">
        <v>19</v>
      </c>
      <c r="C1252" t="s">
        <v>25</v>
      </c>
      <c r="D1252">
        <v>1</v>
      </c>
      <c r="E1252" t="s">
        <v>21</v>
      </c>
      <c r="F1252">
        <v>1</v>
      </c>
      <c r="G1252" t="s">
        <v>26</v>
      </c>
      <c r="H1252">
        <v>4</v>
      </c>
      <c r="I1252">
        <v>2115</v>
      </c>
      <c r="J1252">
        <v>12</v>
      </c>
      <c r="K1252">
        <v>3</v>
      </c>
      <c r="L1252">
        <v>0</v>
      </c>
      <c r="M1252">
        <v>17</v>
      </c>
      <c r="N1252">
        <v>3</v>
      </c>
      <c r="O1252">
        <v>3</v>
      </c>
      <c r="P1252">
        <v>17</v>
      </c>
      <c r="Q1252">
        <v>12</v>
      </c>
      <c r="R1252">
        <v>5</v>
      </c>
      <c r="S1252" t="s">
        <v>34</v>
      </c>
      <c r="T1252" t="s">
        <v>37</v>
      </c>
      <c r="U1252" t="str">
        <f>IF(Table1[[#This Row],[YearsSince
LastPromotion]]&gt; 4, "Delayed", "Normal")</f>
        <v>Delayed</v>
      </c>
      <c r="V1252" t="str">
        <f>IF(Table1[[#This Row],[Years
InCurrentRole]]&gt;4, "Role Stagnent", "Normal")</f>
        <v>Role Stagnent</v>
      </c>
      <c r="W1252" t="str">
        <f>IF(AND(Table1[[#This Row],[Years
InCurrentRole]]&gt; 4, Table1[[#This Row],[Performance
Rating]]&gt;=3), "High Risk", "Normal")</f>
        <v>High Risk</v>
      </c>
      <c r="X1252" t="str">
        <f>IF(Table1[[#This Row],[Performance
Rating]]&gt;=4, "High Performer", "Low Performer")</f>
        <v>Low Performer</v>
      </c>
    </row>
    <row r="1253" spans="2:24" x14ac:dyDescent="0.3">
      <c r="B1253" t="s">
        <v>19</v>
      </c>
      <c r="C1253" t="s">
        <v>20</v>
      </c>
      <c r="D1253">
        <v>1</v>
      </c>
      <c r="E1253" t="s">
        <v>28</v>
      </c>
      <c r="F1253">
        <v>2</v>
      </c>
      <c r="G1253" t="s">
        <v>32</v>
      </c>
      <c r="H1253">
        <v>2</v>
      </c>
      <c r="I1253">
        <v>4440</v>
      </c>
      <c r="J1253">
        <v>15</v>
      </c>
      <c r="K1253">
        <v>3</v>
      </c>
      <c r="L1253">
        <v>2</v>
      </c>
      <c r="M1253">
        <v>16</v>
      </c>
      <c r="N1253">
        <v>3</v>
      </c>
      <c r="O1253">
        <v>3</v>
      </c>
      <c r="P1253">
        <v>15</v>
      </c>
      <c r="Q1253">
        <v>13</v>
      </c>
      <c r="R1253">
        <v>5</v>
      </c>
      <c r="S1253" t="s">
        <v>34</v>
      </c>
      <c r="T1253" t="s">
        <v>37</v>
      </c>
      <c r="U1253" t="str">
        <f>IF(Table1[[#This Row],[YearsSince
LastPromotion]]&gt; 4, "Delayed", "Normal")</f>
        <v>Delayed</v>
      </c>
      <c r="V1253" t="str">
        <f>IF(Table1[[#This Row],[Years
InCurrentRole]]&gt;4, "Role Stagnent", "Normal")</f>
        <v>Role Stagnent</v>
      </c>
      <c r="W1253" t="str">
        <f>IF(AND(Table1[[#This Row],[Years
InCurrentRole]]&gt; 4, Table1[[#This Row],[Performance
Rating]]&gt;=3), "High Risk", "Normal")</f>
        <v>High Risk</v>
      </c>
      <c r="X1253" t="str">
        <f>IF(Table1[[#This Row],[Performance
Rating]]&gt;=4, "High Performer", "Low Performer")</f>
        <v>Low Performer</v>
      </c>
    </row>
    <row r="1254" spans="2:24" x14ac:dyDescent="0.3">
      <c r="B1254" t="s">
        <v>19</v>
      </c>
      <c r="C1254" t="s">
        <v>25</v>
      </c>
      <c r="D1254">
        <v>1</v>
      </c>
      <c r="E1254" t="s">
        <v>28</v>
      </c>
      <c r="F1254">
        <v>2</v>
      </c>
      <c r="G1254" t="s">
        <v>29</v>
      </c>
      <c r="H1254">
        <v>3</v>
      </c>
      <c r="I1254">
        <v>5207</v>
      </c>
      <c r="J1254">
        <v>12</v>
      </c>
      <c r="K1254">
        <v>3</v>
      </c>
      <c r="L1254">
        <v>1</v>
      </c>
      <c r="M1254">
        <v>15</v>
      </c>
      <c r="N1254">
        <v>3</v>
      </c>
      <c r="O1254">
        <v>3</v>
      </c>
      <c r="P1254">
        <v>15</v>
      </c>
      <c r="Q1254">
        <v>14</v>
      </c>
      <c r="R1254">
        <v>5</v>
      </c>
      <c r="S1254" t="s">
        <v>34</v>
      </c>
      <c r="T1254" t="s">
        <v>37</v>
      </c>
      <c r="U1254" t="str">
        <f>IF(Table1[[#This Row],[YearsSince
LastPromotion]]&gt; 4, "Delayed", "Normal")</f>
        <v>Delayed</v>
      </c>
      <c r="V1254" t="str">
        <f>IF(Table1[[#This Row],[Years
InCurrentRole]]&gt;4, "Role Stagnent", "Normal")</f>
        <v>Role Stagnent</v>
      </c>
      <c r="W1254" t="str">
        <f>IF(AND(Table1[[#This Row],[Years
InCurrentRole]]&gt; 4, Table1[[#This Row],[Performance
Rating]]&gt;=3), "High Risk", "Normal")</f>
        <v>High Risk</v>
      </c>
      <c r="X1254" t="str">
        <f>IF(Table1[[#This Row],[Performance
Rating]]&gt;=4, "High Performer", "Low Performer")</f>
        <v>Low Performer</v>
      </c>
    </row>
    <row r="1255" spans="2:24" x14ac:dyDescent="0.3">
      <c r="B1255" t="s">
        <v>19</v>
      </c>
      <c r="C1255" t="s">
        <v>25</v>
      </c>
      <c r="D1255">
        <v>1</v>
      </c>
      <c r="E1255" t="s">
        <v>21</v>
      </c>
      <c r="F1255">
        <v>2</v>
      </c>
      <c r="G1255" t="s">
        <v>33</v>
      </c>
      <c r="H1255">
        <v>2</v>
      </c>
      <c r="I1255">
        <v>5410</v>
      </c>
      <c r="J1255">
        <v>11</v>
      </c>
      <c r="K1255">
        <v>3</v>
      </c>
      <c r="L1255">
        <v>0</v>
      </c>
      <c r="M1255">
        <v>18</v>
      </c>
      <c r="N1255">
        <v>2</v>
      </c>
      <c r="O1255">
        <v>3</v>
      </c>
      <c r="P1255">
        <v>16</v>
      </c>
      <c r="Q1255">
        <v>14</v>
      </c>
      <c r="R1255">
        <v>5</v>
      </c>
      <c r="S1255" t="s">
        <v>34</v>
      </c>
      <c r="T1255" t="s">
        <v>37</v>
      </c>
      <c r="U1255" t="str">
        <f>IF(Table1[[#This Row],[YearsSince
LastPromotion]]&gt; 4, "Delayed", "Normal")</f>
        <v>Delayed</v>
      </c>
      <c r="V1255" t="str">
        <f>IF(Table1[[#This Row],[Years
InCurrentRole]]&gt;4, "Role Stagnent", "Normal")</f>
        <v>Role Stagnent</v>
      </c>
      <c r="W1255" t="str">
        <f>IF(AND(Table1[[#This Row],[Years
InCurrentRole]]&gt; 4, Table1[[#This Row],[Performance
Rating]]&gt;=3), "High Risk", "Normal")</f>
        <v>High Risk</v>
      </c>
      <c r="X1255" t="str">
        <f>IF(Table1[[#This Row],[Performance
Rating]]&gt;=4, "High Performer", "Low Performer")</f>
        <v>Low Performer</v>
      </c>
    </row>
    <row r="1256" spans="2:24" x14ac:dyDescent="0.3">
      <c r="B1256" t="s">
        <v>19</v>
      </c>
      <c r="C1256" t="s">
        <v>25</v>
      </c>
      <c r="D1256">
        <v>1</v>
      </c>
      <c r="E1256" t="s">
        <v>21</v>
      </c>
      <c r="F1256">
        <v>3</v>
      </c>
      <c r="G1256" t="s">
        <v>33</v>
      </c>
      <c r="H1256">
        <v>3</v>
      </c>
      <c r="I1256">
        <v>10685</v>
      </c>
      <c r="J1256">
        <v>20</v>
      </c>
      <c r="K1256">
        <v>4</v>
      </c>
      <c r="L1256">
        <v>1</v>
      </c>
      <c r="M1256">
        <v>17</v>
      </c>
      <c r="N1256">
        <v>2</v>
      </c>
      <c r="O1256">
        <v>3</v>
      </c>
      <c r="P1256">
        <v>17</v>
      </c>
      <c r="Q1256">
        <v>14</v>
      </c>
      <c r="R1256">
        <v>5</v>
      </c>
      <c r="S1256" t="s">
        <v>34</v>
      </c>
      <c r="T1256" t="s">
        <v>37</v>
      </c>
      <c r="U1256" t="str">
        <f>IF(Table1[[#This Row],[YearsSince
LastPromotion]]&gt; 4, "Delayed", "Normal")</f>
        <v>Delayed</v>
      </c>
      <c r="V1256" t="str">
        <f>IF(Table1[[#This Row],[Years
InCurrentRole]]&gt;4, "Role Stagnent", "Normal")</f>
        <v>Role Stagnent</v>
      </c>
      <c r="W1256" t="str">
        <f>IF(AND(Table1[[#This Row],[Years
InCurrentRole]]&gt; 4, Table1[[#This Row],[Performance
Rating]]&gt;=3), "High Risk", "Normal")</f>
        <v>High Risk</v>
      </c>
      <c r="X1256" t="str">
        <f>IF(Table1[[#This Row],[Performance
Rating]]&gt;=4, "High Performer", "Low Performer")</f>
        <v>High Performer</v>
      </c>
    </row>
    <row r="1257" spans="2:24" x14ac:dyDescent="0.3">
      <c r="B1257" t="s">
        <v>19</v>
      </c>
      <c r="C1257" t="s">
        <v>25</v>
      </c>
      <c r="D1257">
        <v>1</v>
      </c>
      <c r="E1257" t="s">
        <v>21</v>
      </c>
      <c r="F1257">
        <v>5</v>
      </c>
      <c r="G1257" t="s">
        <v>35</v>
      </c>
      <c r="H1257">
        <v>3</v>
      </c>
      <c r="I1257">
        <v>19973</v>
      </c>
      <c r="J1257">
        <v>22</v>
      </c>
      <c r="K1257">
        <v>4</v>
      </c>
      <c r="L1257">
        <v>2</v>
      </c>
      <c r="M1257">
        <v>21</v>
      </c>
      <c r="N1257">
        <v>3</v>
      </c>
      <c r="O1257">
        <v>3</v>
      </c>
      <c r="P1257">
        <v>21</v>
      </c>
      <c r="Q1257">
        <v>16</v>
      </c>
      <c r="R1257">
        <v>5</v>
      </c>
      <c r="S1257" t="s">
        <v>34</v>
      </c>
      <c r="T1257" t="s">
        <v>37</v>
      </c>
      <c r="U1257" t="str">
        <f>IF(Table1[[#This Row],[YearsSince
LastPromotion]]&gt; 4, "Delayed", "Normal")</f>
        <v>Delayed</v>
      </c>
      <c r="V1257" t="str">
        <f>IF(Table1[[#This Row],[Years
InCurrentRole]]&gt;4, "Role Stagnent", "Normal")</f>
        <v>Role Stagnent</v>
      </c>
      <c r="W1257" t="str">
        <f>IF(AND(Table1[[#This Row],[Years
InCurrentRole]]&gt; 4, Table1[[#This Row],[Performance
Rating]]&gt;=3), "High Risk", "Normal")</f>
        <v>High Risk</v>
      </c>
      <c r="X1257" t="str">
        <f>IF(Table1[[#This Row],[Performance
Rating]]&gt;=4, "High Performer", "Low Performer")</f>
        <v>High Performer</v>
      </c>
    </row>
    <row r="1258" spans="2:24" x14ac:dyDescent="0.3">
      <c r="B1258" t="s">
        <v>19</v>
      </c>
      <c r="C1258" t="s">
        <v>25</v>
      </c>
      <c r="D1258">
        <v>1</v>
      </c>
      <c r="E1258" t="s">
        <v>21</v>
      </c>
      <c r="F1258">
        <v>4</v>
      </c>
      <c r="G1258" t="s">
        <v>35</v>
      </c>
      <c r="H1258">
        <v>3</v>
      </c>
      <c r="I1258">
        <v>17169</v>
      </c>
      <c r="J1258">
        <v>19</v>
      </c>
      <c r="K1258">
        <v>3</v>
      </c>
      <c r="L1258">
        <v>2</v>
      </c>
      <c r="M1258">
        <v>26</v>
      </c>
      <c r="N1258">
        <v>2</v>
      </c>
      <c r="O1258">
        <v>4</v>
      </c>
      <c r="P1258">
        <v>20</v>
      </c>
      <c r="Q1258">
        <v>17</v>
      </c>
      <c r="R1258">
        <v>5</v>
      </c>
      <c r="S1258" t="s">
        <v>34</v>
      </c>
      <c r="T1258" t="s">
        <v>37</v>
      </c>
      <c r="U1258" t="str">
        <f>IF(Table1[[#This Row],[YearsSince
LastPromotion]]&gt; 4, "Delayed", "Normal")</f>
        <v>Delayed</v>
      </c>
      <c r="V1258" t="str">
        <f>IF(Table1[[#This Row],[Years
InCurrentRole]]&gt;4, "Role Stagnent", "Normal")</f>
        <v>Role Stagnent</v>
      </c>
      <c r="W1258" t="str">
        <f>IF(AND(Table1[[#This Row],[Years
InCurrentRole]]&gt; 4, Table1[[#This Row],[Performance
Rating]]&gt;=3), "High Risk", "Normal")</f>
        <v>High Risk</v>
      </c>
      <c r="X1258" t="str">
        <f>IF(Table1[[#This Row],[Performance
Rating]]&gt;=4, "High Performer", "Low Performer")</f>
        <v>Low Performer</v>
      </c>
    </row>
    <row r="1259" spans="2:24" x14ac:dyDescent="0.3">
      <c r="B1259" t="s">
        <v>19</v>
      </c>
      <c r="C1259" t="s">
        <v>25</v>
      </c>
      <c r="D1259">
        <v>1</v>
      </c>
      <c r="E1259" t="s">
        <v>21</v>
      </c>
      <c r="F1259">
        <v>2</v>
      </c>
      <c r="G1259" t="s">
        <v>29</v>
      </c>
      <c r="H1259">
        <v>4</v>
      </c>
      <c r="I1259">
        <v>4627</v>
      </c>
      <c r="J1259">
        <v>12</v>
      </c>
      <c r="K1259">
        <v>3</v>
      </c>
      <c r="L1259">
        <v>1</v>
      </c>
      <c r="M1259">
        <v>10</v>
      </c>
      <c r="N1259">
        <v>6</v>
      </c>
      <c r="O1259">
        <v>3</v>
      </c>
      <c r="P1259">
        <v>9</v>
      </c>
      <c r="Q1259">
        <v>2</v>
      </c>
      <c r="R1259">
        <v>6</v>
      </c>
      <c r="S1259" t="s">
        <v>34</v>
      </c>
      <c r="T1259" t="s">
        <v>37</v>
      </c>
      <c r="U1259" t="str">
        <f>IF(Table1[[#This Row],[YearsSince
LastPromotion]]&gt; 4, "Delayed", "Normal")</f>
        <v>Delayed</v>
      </c>
      <c r="V1259" t="str">
        <f>IF(Table1[[#This Row],[Years
InCurrentRole]]&gt;4, "Role Stagnent", "Normal")</f>
        <v>Normal</v>
      </c>
      <c r="W1259" t="str">
        <f>IF(AND(Table1[[#This Row],[Years
InCurrentRole]]&gt; 4, Table1[[#This Row],[Performance
Rating]]&gt;=3), "High Risk", "Normal")</f>
        <v>Normal</v>
      </c>
      <c r="X1259" t="str">
        <f>IF(Table1[[#This Row],[Performance
Rating]]&gt;=4, "High Performer", "Low Performer")</f>
        <v>Low Performer</v>
      </c>
    </row>
    <row r="1260" spans="2:24" x14ac:dyDescent="0.3">
      <c r="B1260" t="s">
        <v>27</v>
      </c>
      <c r="C1260" t="s">
        <v>25</v>
      </c>
      <c r="D1260">
        <v>1</v>
      </c>
      <c r="E1260" t="s">
        <v>28</v>
      </c>
      <c r="F1260">
        <v>2</v>
      </c>
      <c r="G1260" t="s">
        <v>33</v>
      </c>
      <c r="H1260">
        <v>3</v>
      </c>
      <c r="I1260">
        <v>6179</v>
      </c>
      <c r="J1260">
        <v>15</v>
      </c>
      <c r="K1260">
        <v>3</v>
      </c>
      <c r="L1260">
        <v>2</v>
      </c>
      <c r="M1260">
        <v>10</v>
      </c>
      <c r="N1260">
        <v>3</v>
      </c>
      <c r="O1260">
        <v>2</v>
      </c>
      <c r="P1260">
        <v>10</v>
      </c>
      <c r="Q1260">
        <v>2</v>
      </c>
      <c r="R1260">
        <v>6</v>
      </c>
      <c r="S1260" t="s">
        <v>23</v>
      </c>
      <c r="T1260" t="s">
        <v>37</v>
      </c>
      <c r="U1260" t="str">
        <f>IF(Table1[[#This Row],[YearsSince
LastPromotion]]&gt; 4, "Delayed", "Normal")</f>
        <v>Delayed</v>
      </c>
      <c r="V1260" t="str">
        <f>IF(Table1[[#This Row],[Years
InCurrentRole]]&gt;4, "Role Stagnent", "Normal")</f>
        <v>Normal</v>
      </c>
      <c r="W1260" t="str">
        <f>IF(AND(Table1[[#This Row],[Years
InCurrentRole]]&gt; 4, Table1[[#This Row],[Performance
Rating]]&gt;=3), "High Risk", "Normal")</f>
        <v>Normal</v>
      </c>
      <c r="X1260" t="str">
        <f>IF(Table1[[#This Row],[Performance
Rating]]&gt;=4, "High Performer", "Low Performer")</f>
        <v>Low Performer</v>
      </c>
    </row>
    <row r="1261" spans="2:24" x14ac:dyDescent="0.3">
      <c r="B1261" t="s">
        <v>27</v>
      </c>
      <c r="C1261" t="s">
        <v>25</v>
      </c>
      <c r="D1261">
        <v>1</v>
      </c>
      <c r="E1261" t="s">
        <v>21</v>
      </c>
      <c r="F1261">
        <v>1</v>
      </c>
      <c r="G1261" t="s">
        <v>26</v>
      </c>
      <c r="H1261">
        <v>1</v>
      </c>
      <c r="I1261">
        <v>3919</v>
      </c>
      <c r="J1261">
        <v>22</v>
      </c>
      <c r="K1261">
        <v>4</v>
      </c>
      <c r="L1261">
        <v>0</v>
      </c>
      <c r="M1261">
        <v>10</v>
      </c>
      <c r="N1261">
        <v>5</v>
      </c>
      <c r="O1261">
        <v>3</v>
      </c>
      <c r="P1261">
        <v>10</v>
      </c>
      <c r="Q1261">
        <v>2</v>
      </c>
      <c r="R1261">
        <v>6</v>
      </c>
      <c r="S1261" t="s">
        <v>34</v>
      </c>
      <c r="T1261" t="s">
        <v>37</v>
      </c>
      <c r="U1261" t="str">
        <f>IF(Table1[[#This Row],[YearsSince
LastPromotion]]&gt; 4, "Delayed", "Normal")</f>
        <v>Delayed</v>
      </c>
      <c r="V1261" t="str">
        <f>IF(Table1[[#This Row],[Years
InCurrentRole]]&gt;4, "Role Stagnent", "Normal")</f>
        <v>Normal</v>
      </c>
      <c r="W1261" t="str">
        <f>IF(AND(Table1[[#This Row],[Years
InCurrentRole]]&gt; 4, Table1[[#This Row],[Performance
Rating]]&gt;=3), "High Risk", "Normal")</f>
        <v>Normal</v>
      </c>
      <c r="X1261" t="str">
        <f>IF(Table1[[#This Row],[Performance
Rating]]&gt;=4, "High Performer", "Low Performer")</f>
        <v>High Performer</v>
      </c>
    </row>
    <row r="1262" spans="2:24" x14ac:dyDescent="0.3">
      <c r="B1262" t="s">
        <v>19</v>
      </c>
      <c r="C1262" t="s">
        <v>25</v>
      </c>
      <c r="D1262">
        <v>1</v>
      </c>
      <c r="E1262" t="s">
        <v>21</v>
      </c>
      <c r="F1262">
        <v>3</v>
      </c>
      <c r="G1262" t="s">
        <v>22</v>
      </c>
      <c r="H1262">
        <v>2</v>
      </c>
      <c r="I1262">
        <v>11996</v>
      </c>
      <c r="J1262">
        <v>18</v>
      </c>
      <c r="K1262">
        <v>3</v>
      </c>
      <c r="L1262">
        <v>1</v>
      </c>
      <c r="M1262">
        <v>10</v>
      </c>
      <c r="N1262">
        <v>6</v>
      </c>
      <c r="O1262">
        <v>2</v>
      </c>
      <c r="P1262">
        <v>7</v>
      </c>
      <c r="Q1262">
        <v>7</v>
      </c>
      <c r="R1262">
        <v>6</v>
      </c>
      <c r="S1262" t="s">
        <v>23</v>
      </c>
      <c r="T1262" t="s">
        <v>37</v>
      </c>
      <c r="U1262" t="str">
        <f>IF(Table1[[#This Row],[YearsSince
LastPromotion]]&gt; 4, "Delayed", "Normal")</f>
        <v>Delayed</v>
      </c>
      <c r="V1262" t="str">
        <f>IF(Table1[[#This Row],[Years
InCurrentRole]]&gt;4, "Role Stagnent", "Normal")</f>
        <v>Role Stagnent</v>
      </c>
      <c r="W1262" t="str">
        <f>IF(AND(Table1[[#This Row],[Years
InCurrentRole]]&gt; 4, Table1[[#This Row],[Performance
Rating]]&gt;=3), "High Risk", "Normal")</f>
        <v>High Risk</v>
      </c>
      <c r="X1262" t="str">
        <f>IF(Table1[[#This Row],[Performance
Rating]]&gt;=4, "High Performer", "Low Performer")</f>
        <v>Low Performer</v>
      </c>
    </row>
    <row r="1263" spans="2:24" x14ac:dyDescent="0.3">
      <c r="B1263" t="s">
        <v>19</v>
      </c>
      <c r="C1263" t="s">
        <v>25</v>
      </c>
      <c r="D1263">
        <v>1</v>
      </c>
      <c r="E1263" t="s">
        <v>28</v>
      </c>
      <c r="F1263">
        <v>2</v>
      </c>
      <c r="G1263" t="s">
        <v>26</v>
      </c>
      <c r="H1263">
        <v>1</v>
      </c>
      <c r="I1263">
        <v>5974</v>
      </c>
      <c r="J1263">
        <v>13</v>
      </c>
      <c r="K1263">
        <v>3</v>
      </c>
      <c r="L1263">
        <v>2</v>
      </c>
      <c r="M1263">
        <v>13</v>
      </c>
      <c r="N1263">
        <v>2</v>
      </c>
      <c r="O1263">
        <v>3</v>
      </c>
      <c r="P1263">
        <v>7</v>
      </c>
      <c r="Q1263">
        <v>7</v>
      </c>
      <c r="R1263">
        <v>6</v>
      </c>
      <c r="S1263" t="s">
        <v>34</v>
      </c>
      <c r="T1263" t="s">
        <v>37</v>
      </c>
      <c r="U1263" t="str">
        <f>IF(Table1[[#This Row],[YearsSince
LastPromotion]]&gt; 4, "Delayed", "Normal")</f>
        <v>Delayed</v>
      </c>
      <c r="V1263" t="str">
        <f>IF(Table1[[#This Row],[Years
InCurrentRole]]&gt;4, "Role Stagnent", "Normal")</f>
        <v>Role Stagnent</v>
      </c>
      <c r="W1263" t="str">
        <f>IF(AND(Table1[[#This Row],[Years
InCurrentRole]]&gt; 4, Table1[[#This Row],[Performance
Rating]]&gt;=3), "High Risk", "Normal")</f>
        <v>High Risk</v>
      </c>
      <c r="X1263" t="str">
        <f>IF(Table1[[#This Row],[Performance
Rating]]&gt;=4, "High Performer", "Low Performer")</f>
        <v>Low Performer</v>
      </c>
    </row>
    <row r="1264" spans="2:24" x14ac:dyDescent="0.3">
      <c r="B1264" t="s">
        <v>19</v>
      </c>
      <c r="C1264" t="s">
        <v>25</v>
      </c>
      <c r="D1264">
        <v>1</v>
      </c>
      <c r="E1264" t="s">
        <v>28</v>
      </c>
      <c r="F1264">
        <v>3</v>
      </c>
      <c r="G1264" t="s">
        <v>33</v>
      </c>
      <c r="H1264">
        <v>2</v>
      </c>
      <c r="I1264">
        <v>10274</v>
      </c>
      <c r="J1264">
        <v>18</v>
      </c>
      <c r="K1264">
        <v>3</v>
      </c>
      <c r="L1264">
        <v>1</v>
      </c>
      <c r="M1264">
        <v>15</v>
      </c>
      <c r="N1264">
        <v>2</v>
      </c>
      <c r="O1264">
        <v>4</v>
      </c>
      <c r="P1264">
        <v>7</v>
      </c>
      <c r="Q1264">
        <v>7</v>
      </c>
      <c r="R1264">
        <v>6</v>
      </c>
      <c r="S1264" t="s">
        <v>34</v>
      </c>
      <c r="T1264" t="s">
        <v>37</v>
      </c>
      <c r="U1264" t="str">
        <f>IF(Table1[[#This Row],[YearsSince
LastPromotion]]&gt; 4, "Delayed", "Normal")</f>
        <v>Delayed</v>
      </c>
      <c r="V1264" t="str">
        <f>IF(Table1[[#This Row],[Years
InCurrentRole]]&gt;4, "Role Stagnent", "Normal")</f>
        <v>Role Stagnent</v>
      </c>
      <c r="W1264" t="str">
        <f>IF(AND(Table1[[#This Row],[Years
InCurrentRole]]&gt; 4, Table1[[#This Row],[Performance
Rating]]&gt;=3), "High Risk", "Normal")</f>
        <v>High Risk</v>
      </c>
      <c r="X1264" t="str">
        <f>IF(Table1[[#This Row],[Performance
Rating]]&gt;=4, "High Performer", "Low Performer")</f>
        <v>Low Performer</v>
      </c>
    </row>
    <row r="1265" spans="2:24" x14ac:dyDescent="0.3">
      <c r="B1265" t="s">
        <v>19</v>
      </c>
      <c r="C1265" t="s">
        <v>25</v>
      </c>
      <c r="D1265">
        <v>1</v>
      </c>
      <c r="E1265" t="s">
        <v>21</v>
      </c>
      <c r="F1265">
        <v>3</v>
      </c>
      <c r="G1265" t="s">
        <v>31</v>
      </c>
      <c r="H1265">
        <v>4</v>
      </c>
      <c r="I1265">
        <v>7879</v>
      </c>
      <c r="J1265">
        <v>19</v>
      </c>
      <c r="K1265">
        <v>3</v>
      </c>
      <c r="L1265">
        <v>1</v>
      </c>
      <c r="M1265">
        <v>9</v>
      </c>
      <c r="N1265">
        <v>2</v>
      </c>
      <c r="O1265">
        <v>3</v>
      </c>
      <c r="P1265">
        <v>8</v>
      </c>
      <c r="Q1265">
        <v>7</v>
      </c>
      <c r="R1265">
        <v>6</v>
      </c>
      <c r="S1265" t="s">
        <v>34</v>
      </c>
      <c r="T1265" t="s">
        <v>37</v>
      </c>
      <c r="U1265" t="str">
        <f>IF(Table1[[#This Row],[YearsSince
LastPromotion]]&gt; 4, "Delayed", "Normal")</f>
        <v>Delayed</v>
      </c>
      <c r="V1265" t="str">
        <f>IF(Table1[[#This Row],[Years
InCurrentRole]]&gt;4, "Role Stagnent", "Normal")</f>
        <v>Role Stagnent</v>
      </c>
      <c r="W1265" t="str">
        <f>IF(AND(Table1[[#This Row],[Years
InCurrentRole]]&gt; 4, Table1[[#This Row],[Performance
Rating]]&gt;=3), "High Risk", "Normal")</f>
        <v>High Risk</v>
      </c>
      <c r="X1265" t="str">
        <f>IF(Table1[[#This Row],[Performance
Rating]]&gt;=4, "High Performer", "Low Performer")</f>
        <v>Low Performer</v>
      </c>
    </row>
    <row r="1266" spans="2:24" x14ac:dyDescent="0.3">
      <c r="B1266" t="s">
        <v>19</v>
      </c>
      <c r="C1266" t="s">
        <v>25</v>
      </c>
      <c r="D1266">
        <v>1</v>
      </c>
      <c r="E1266" t="s">
        <v>28</v>
      </c>
      <c r="F1266">
        <v>2</v>
      </c>
      <c r="G1266" t="s">
        <v>31</v>
      </c>
      <c r="H1266">
        <v>2</v>
      </c>
      <c r="I1266">
        <v>6385</v>
      </c>
      <c r="J1266">
        <v>14</v>
      </c>
      <c r="K1266">
        <v>3</v>
      </c>
      <c r="L1266">
        <v>2</v>
      </c>
      <c r="M1266">
        <v>17</v>
      </c>
      <c r="N1266">
        <v>3</v>
      </c>
      <c r="O1266">
        <v>3</v>
      </c>
      <c r="P1266">
        <v>8</v>
      </c>
      <c r="Q1266">
        <v>7</v>
      </c>
      <c r="R1266">
        <v>6</v>
      </c>
      <c r="S1266" t="s">
        <v>34</v>
      </c>
      <c r="T1266" t="s">
        <v>37</v>
      </c>
      <c r="U1266" t="str">
        <f>IF(Table1[[#This Row],[YearsSince
LastPromotion]]&gt; 4, "Delayed", "Normal")</f>
        <v>Delayed</v>
      </c>
      <c r="V1266" t="str">
        <f>IF(Table1[[#This Row],[Years
InCurrentRole]]&gt;4, "Role Stagnent", "Normal")</f>
        <v>Role Stagnent</v>
      </c>
      <c r="W1266" t="str">
        <f>IF(AND(Table1[[#This Row],[Years
InCurrentRole]]&gt; 4, Table1[[#This Row],[Performance
Rating]]&gt;=3), "High Risk", "Normal")</f>
        <v>High Risk</v>
      </c>
      <c r="X1266" t="str">
        <f>IF(Table1[[#This Row],[Performance
Rating]]&gt;=4, "High Performer", "Low Performer")</f>
        <v>Low Performer</v>
      </c>
    </row>
    <row r="1267" spans="2:24" x14ac:dyDescent="0.3">
      <c r="B1267" t="s">
        <v>19</v>
      </c>
      <c r="C1267" t="s">
        <v>25</v>
      </c>
      <c r="D1267">
        <v>1</v>
      </c>
      <c r="E1267" t="s">
        <v>21</v>
      </c>
      <c r="F1267">
        <v>2</v>
      </c>
      <c r="G1267" t="s">
        <v>33</v>
      </c>
      <c r="H1267">
        <v>1</v>
      </c>
      <c r="I1267">
        <v>6725</v>
      </c>
      <c r="J1267">
        <v>12</v>
      </c>
      <c r="K1267">
        <v>3</v>
      </c>
      <c r="L1267">
        <v>1</v>
      </c>
      <c r="M1267">
        <v>8</v>
      </c>
      <c r="N1267">
        <v>2</v>
      </c>
      <c r="O1267">
        <v>4</v>
      </c>
      <c r="P1267">
        <v>8</v>
      </c>
      <c r="Q1267">
        <v>7</v>
      </c>
      <c r="R1267">
        <v>6</v>
      </c>
      <c r="S1267" t="s">
        <v>34</v>
      </c>
      <c r="T1267" t="s">
        <v>37</v>
      </c>
      <c r="U1267" t="str">
        <f>IF(Table1[[#This Row],[YearsSince
LastPromotion]]&gt; 4, "Delayed", "Normal")</f>
        <v>Delayed</v>
      </c>
      <c r="V1267" t="str">
        <f>IF(Table1[[#This Row],[Years
InCurrentRole]]&gt;4, "Role Stagnent", "Normal")</f>
        <v>Role Stagnent</v>
      </c>
      <c r="W1267" t="str">
        <f>IF(AND(Table1[[#This Row],[Years
InCurrentRole]]&gt; 4, Table1[[#This Row],[Performance
Rating]]&gt;=3), "High Risk", "Normal")</f>
        <v>High Risk</v>
      </c>
      <c r="X1267" t="str">
        <f>IF(Table1[[#This Row],[Performance
Rating]]&gt;=4, "High Performer", "Low Performer")</f>
        <v>Low Performer</v>
      </c>
    </row>
    <row r="1268" spans="2:24" x14ac:dyDescent="0.3">
      <c r="B1268" t="s">
        <v>19</v>
      </c>
      <c r="C1268" t="s">
        <v>25</v>
      </c>
      <c r="D1268">
        <v>1</v>
      </c>
      <c r="E1268" t="s">
        <v>28</v>
      </c>
      <c r="F1268">
        <v>1</v>
      </c>
      <c r="G1268" t="s">
        <v>26</v>
      </c>
      <c r="H1268">
        <v>1</v>
      </c>
      <c r="I1268">
        <v>2235</v>
      </c>
      <c r="J1268">
        <v>14</v>
      </c>
      <c r="K1268">
        <v>3</v>
      </c>
      <c r="L1268">
        <v>2</v>
      </c>
      <c r="M1268">
        <v>9</v>
      </c>
      <c r="N1268">
        <v>3</v>
      </c>
      <c r="O1268">
        <v>2</v>
      </c>
      <c r="P1268">
        <v>9</v>
      </c>
      <c r="Q1268">
        <v>7</v>
      </c>
      <c r="R1268">
        <v>6</v>
      </c>
      <c r="S1268" t="s">
        <v>23</v>
      </c>
      <c r="T1268" t="s">
        <v>37</v>
      </c>
      <c r="U1268" t="str">
        <f>IF(Table1[[#This Row],[YearsSince
LastPromotion]]&gt; 4, "Delayed", "Normal")</f>
        <v>Delayed</v>
      </c>
      <c r="V1268" t="str">
        <f>IF(Table1[[#This Row],[Years
InCurrentRole]]&gt;4, "Role Stagnent", "Normal")</f>
        <v>Role Stagnent</v>
      </c>
      <c r="W1268" t="str">
        <f>IF(AND(Table1[[#This Row],[Years
InCurrentRole]]&gt; 4, Table1[[#This Row],[Performance
Rating]]&gt;=3), "High Risk", "Normal")</f>
        <v>High Risk</v>
      </c>
      <c r="X1268" t="str">
        <f>IF(Table1[[#This Row],[Performance
Rating]]&gt;=4, "High Performer", "Low Performer")</f>
        <v>Low Performer</v>
      </c>
    </row>
    <row r="1269" spans="2:24" x14ac:dyDescent="0.3">
      <c r="B1269" t="s">
        <v>19</v>
      </c>
      <c r="C1269" t="s">
        <v>20</v>
      </c>
      <c r="D1269">
        <v>1</v>
      </c>
      <c r="E1269" t="s">
        <v>21</v>
      </c>
      <c r="F1269">
        <v>2</v>
      </c>
      <c r="G1269" t="s">
        <v>32</v>
      </c>
      <c r="H1269">
        <v>4</v>
      </c>
      <c r="I1269">
        <v>4051</v>
      </c>
      <c r="J1269">
        <v>14</v>
      </c>
      <c r="K1269">
        <v>3</v>
      </c>
      <c r="L1269">
        <v>1</v>
      </c>
      <c r="M1269">
        <v>14</v>
      </c>
      <c r="N1269">
        <v>2</v>
      </c>
      <c r="O1269">
        <v>3</v>
      </c>
      <c r="P1269">
        <v>9</v>
      </c>
      <c r="Q1269">
        <v>7</v>
      </c>
      <c r="R1269">
        <v>6</v>
      </c>
      <c r="S1269" t="s">
        <v>34</v>
      </c>
      <c r="T1269" t="s">
        <v>37</v>
      </c>
      <c r="U1269" t="str">
        <f>IF(Table1[[#This Row],[YearsSince
LastPromotion]]&gt; 4, "Delayed", "Normal")</f>
        <v>Delayed</v>
      </c>
      <c r="V1269" t="str">
        <f>IF(Table1[[#This Row],[Years
InCurrentRole]]&gt;4, "Role Stagnent", "Normal")</f>
        <v>Role Stagnent</v>
      </c>
      <c r="W1269" t="str">
        <f>IF(AND(Table1[[#This Row],[Years
InCurrentRole]]&gt; 4, Table1[[#This Row],[Performance
Rating]]&gt;=3), "High Risk", "Normal")</f>
        <v>High Risk</v>
      </c>
      <c r="X1269" t="str">
        <f>IF(Table1[[#This Row],[Performance
Rating]]&gt;=4, "High Performer", "Low Performer")</f>
        <v>Low Performer</v>
      </c>
    </row>
    <row r="1270" spans="2:24" x14ac:dyDescent="0.3">
      <c r="B1270" t="s">
        <v>19</v>
      </c>
      <c r="C1270" t="s">
        <v>25</v>
      </c>
      <c r="D1270">
        <v>1</v>
      </c>
      <c r="E1270" t="s">
        <v>28</v>
      </c>
      <c r="F1270">
        <v>4</v>
      </c>
      <c r="G1270" t="s">
        <v>22</v>
      </c>
      <c r="H1270">
        <v>1</v>
      </c>
      <c r="I1270">
        <v>16756</v>
      </c>
      <c r="J1270">
        <v>15</v>
      </c>
      <c r="K1270">
        <v>3</v>
      </c>
      <c r="L1270">
        <v>0</v>
      </c>
      <c r="M1270">
        <v>31</v>
      </c>
      <c r="N1270">
        <v>3</v>
      </c>
      <c r="O1270">
        <v>4</v>
      </c>
      <c r="P1270">
        <v>9</v>
      </c>
      <c r="Q1270">
        <v>7</v>
      </c>
      <c r="R1270">
        <v>6</v>
      </c>
      <c r="S1270" t="s">
        <v>34</v>
      </c>
      <c r="T1270" t="s">
        <v>37</v>
      </c>
      <c r="U1270" t="str">
        <f>IF(Table1[[#This Row],[YearsSince
LastPromotion]]&gt; 4, "Delayed", "Normal")</f>
        <v>Delayed</v>
      </c>
      <c r="V1270" t="str">
        <f>IF(Table1[[#This Row],[Years
InCurrentRole]]&gt;4, "Role Stagnent", "Normal")</f>
        <v>Role Stagnent</v>
      </c>
      <c r="W1270" t="str">
        <f>IF(AND(Table1[[#This Row],[Years
InCurrentRole]]&gt; 4, Table1[[#This Row],[Performance
Rating]]&gt;=3), "High Risk", "Normal")</f>
        <v>High Risk</v>
      </c>
      <c r="X1270" t="str">
        <f>IF(Table1[[#This Row],[Performance
Rating]]&gt;=4, "High Performer", "Low Performer")</f>
        <v>Low Performer</v>
      </c>
    </row>
    <row r="1271" spans="2:24" x14ac:dyDescent="0.3">
      <c r="B1271" t="s">
        <v>19</v>
      </c>
      <c r="C1271" t="s">
        <v>25</v>
      </c>
      <c r="D1271">
        <v>1</v>
      </c>
      <c r="E1271" t="s">
        <v>21</v>
      </c>
      <c r="F1271">
        <v>1</v>
      </c>
      <c r="G1271" t="s">
        <v>29</v>
      </c>
      <c r="H1271">
        <v>4</v>
      </c>
      <c r="I1271">
        <v>2564</v>
      </c>
      <c r="J1271">
        <v>14</v>
      </c>
      <c r="K1271">
        <v>3</v>
      </c>
      <c r="L1271">
        <v>0</v>
      </c>
      <c r="M1271">
        <v>12</v>
      </c>
      <c r="N1271">
        <v>2</v>
      </c>
      <c r="O1271">
        <v>2</v>
      </c>
      <c r="P1271">
        <v>11</v>
      </c>
      <c r="Q1271">
        <v>7</v>
      </c>
      <c r="R1271">
        <v>6</v>
      </c>
      <c r="S1271" t="s">
        <v>23</v>
      </c>
      <c r="T1271" t="s">
        <v>37</v>
      </c>
      <c r="U1271" t="str">
        <f>IF(Table1[[#This Row],[YearsSince
LastPromotion]]&gt; 4, "Delayed", "Normal")</f>
        <v>Delayed</v>
      </c>
      <c r="V1271" t="str">
        <f>IF(Table1[[#This Row],[Years
InCurrentRole]]&gt;4, "Role Stagnent", "Normal")</f>
        <v>Role Stagnent</v>
      </c>
      <c r="W1271" t="str">
        <f>IF(AND(Table1[[#This Row],[Years
InCurrentRole]]&gt; 4, Table1[[#This Row],[Performance
Rating]]&gt;=3), "High Risk", "Normal")</f>
        <v>High Risk</v>
      </c>
      <c r="X1271" t="str">
        <f>IF(Table1[[#This Row],[Performance
Rating]]&gt;=4, "High Performer", "Low Performer")</f>
        <v>Low Performer</v>
      </c>
    </row>
    <row r="1272" spans="2:24" x14ac:dyDescent="0.3">
      <c r="B1272" t="s">
        <v>19</v>
      </c>
      <c r="C1272" t="s">
        <v>20</v>
      </c>
      <c r="D1272">
        <v>1</v>
      </c>
      <c r="E1272" t="s">
        <v>21</v>
      </c>
      <c r="F1272">
        <v>2</v>
      </c>
      <c r="G1272" t="s">
        <v>30</v>
      </c>
      <c r="H1272">
        <v>4</v>
      </c>
      <c r="I1272">
        <v>4502</v>
      </c>
      <c r="J1272">
        <v>15</v>
      </c>
      <c r="K1272">
        <v>3</v>
      </c>
      <c r="L1272">
        <v>0</v>
      </c>
      <c r="M1272">
        <v>17</v>
      </c>
      <c r="N1272">
        <v>2</v>
      </c>
      <c r="O1272">
        <v>2</v>
      </c>
      <c r="P1272">
        <v>13</v>
      </c>
      <c r="Q1272">
        <v>7</v>
      </c>
      <c r="R1272">
        <v>6</v>
      </c>
      <c r="S1272" t="s">
        <v>23</v>
      </c>
      <c r="T1272" t="s">
        <v>37</v>
      </c>
      <c r="U1272" t="str">
        <f>IF(Table1[[#This Row],[YearsSince
LastPromotion]]&gt; 4, "Delayed", "Normal")</f>
        <v>Delayed</v>
      </c>
      <c r="V1272" t="str">
        <f>IF(Table1[[#This Row],[Years
InCurrentRole]]&gt;4, "Role Stagnent", "Normal")</f>
        <v>Role Stagnent</v>
      </c>
      <c r="W1272" t="str">
        <f>IF(AND(Table1[[#This Row],[Years
InCurrentRole]]&gt; 4, Table1[[#This Row],[Performance
Rating]]&gt;=3), "High Risk", "Normal")</f>
        <v>High Risk</v>
      </c>
      <c r="X1272" t="str">
        <f>IF(Table1[[#This Row],[Performance
Rating]]&gt;=4, "High Performer", "Low Performer")</f>
        <v>Low Performer</v>
      </c>
    </row>
    <row r="1273" spans="2:24" x14ac:dyDescent="0.3">
      <c r="B1273" t="s">
        <v>19</v>
      </c>
      <c r="C1273" t="s">
        <v>20</v>
      </c>
      <c r="D1273">
        <v>1</v>
      </c>
      <c r="E1273" t="s">
        <v>21</v>
      </c>
      <c r="F1273">
        <v>2</v>
      </c>
      <c r="G1273" t="s">
        <v>32</v>
      </c>
      <c r="H1273">
        <v>1</v>
      </c>
      <c r="I1273">
        <v>4639</v>
      </c>
      <c r="J1273">
        <v>16</v>
      </c>
      <c r="K1273">
        <v>3</v>
      </c>
      <c r="L1273">
        <v>1</v>
      </c>
      <c r="M1273">
        <v>17</v>
      </c>
      <c r="N1273">
        <v>2</v>
      </c>
      <c r="O1273">
        <v>2</v>
      </c>
      <c r="P1273">
        <v>15</v>
      </c>
      <c r="Q1273">
        <v>7</v>
      </c>
      <c r="R1273">
        <v>6</v>
      </c>
      <c r="S1273" t="s">
        <v>23</v>
      </c>
      <c r="T1273" t="s">
        <v>37</v>
      </c>
      <c r="U1273" t="str">
        <f>IF(Table1[[#This Row],[YearsSince
LastPromotion]]&gt; 4, "Delayed", "Normal")</f>
        <v>Delayed</v>
      </c>
      <c r="V1273" t="str">
        <f>IF(Table1[[#This Row],[Years
InCurrentRole]]&gt;4, "Role Stagnent", "Normal")</f>
        <v>Role Stagnent</v>
      </c>
      <c r="W1273" t="str">
        <f>IF(AND(Table1[[#This Row],[Years
InCurrentRole]]&gt; 4, Table1[[#This Row],[Performance
Rating]]&gt;=3), "High Risk", "Normal")</f>
        <v>High Risk</v>
      </c>
      <c r="X1273" t="str">
        <f>IF(Table1[[#This Row],[Performance
Rating]]&gt;=4, "High Performer", "Low Performer")</f>
        <v>Low Performer</v>
      </c>
    </row>
    <row r="1274" spans="2:24" x14ac:dyDescent="0.3">
      <c r="B1274" t="s">
        <v>19</v>
      </c>
      <c r="C1274" t="s">
        <v>20</v>
      </c>
      <c r="D1274">
        <v>1</v>
      </c>
      <c r="E1274" t="s">
        <v>21</v>
      </c>
      <c r="F1274">
        <v>3</v>
      </c>
      <c r="G1274" t="s">
        <v>32</v>
      </c>
      <c r="H1274">
        <v>2</v>
      </c>
      <c r="I1274">
        <v>7525</v>
      </c>
      <c r="J1274">
        <v>12</v>
      </c>
      <c r="K1274">
        <v>3</v>
      </c>
      <c r="L1274">
        <v>1</v>
      </c>
      <c r="M1274">
        <v>30</v>
      </c>
      <c r="N1274">
        <v>2</v>
      </c>
      <c r="O1274">
        <v>3</v>
      </c>
      <c r="P1274">
        <v>15</v>
      </c>
      <c r="Q1274">
        <v>7</v>
      </c>
      <c r="R1274">
        <v>6</v>
      </c>
      <c r="S1274" t="s">
        <v>34</v>
      </c>
      <c r="T1274" t="s">
        <v>37</v>
      </c>
      <c r="U1274" t="str">
        <f>IF(Table1[[#This Row],[YearsSince
LastPromotion]]&gt; 4, "Delayed", "Normal")</f>
        <v>Delayed</v>
      </c>
      <c r="V1274" t="str">
        <f>IF(Table1[[#This Row],[Years
InCurrentRole]]&gt;4, "Role Stagnent", "Normal")</f>
        <v>Role Stagnent</v>
      </c>
      <c r="W1274" t="str">
        <f>IF(AND(Table1[[#This Row],[Years
InCurrentRole]]&gt; 4, Table1[[#This Row],[Performance
Rating]]&gt;=3), "High Risk", "Normal")</f>
        <v>High Risk</v>
      </c>
      <c r="X1274" t="str">
        <f>IF(Table1[[#This Row],[Performance
Rating]]&gt;=4, "High Performer", "Low Performer")</f>
        <v>Low Performer</v>
      </c>
    </row>
    <row r="1275" spans="2:24" x14ac:dyDescent="0.3">
      <c r="B1275" t="s">
        <v>19</v>
      </c>
      <c r="C1275" t="s">
        <v>20</v>
      </c>
      <c r="D1275">
        <v>1</v>
      </c>
      <c r="E1275" t="s">
        <v>28</v>
      </c>
      <c r="F1275">
        <v>4</v>
      </c>
      <c r="G1275" t="s">
        <v>22</v>
      </c>
      <c r="H1275">
        <v>3</v>
      </c>
      <c r="I1275">
        <v>17444</v>
      </c>
      <c r="J1275">
        <v>11</v>
      </c>
      <c r="K1275">
        <v>3</v>
      </c>
      <c r="L1275">
        <v>0</v>
      </c>
      <c r="M1275">
        <v>10</v>
      </c>
      <c r="N1275">
        <v>2</v>
      </c>
      <c r="O1275">
        <v>3</v>
      </c>
      <c r="P1275">
        <v>10</v>
      </c>
      <c r="Q1275">
        <v>8</v>
      </c>
      <c r="R1275">
        <v>6</v>
      </c>
      <c r="S1275" t="s">
        <v>34</v>
      </c>
      <c r="T1275" t="s">
        <v>37</v>
      </c>
      <c r="U1275" t="str">
        <f>IF(Table1[[#This Row],[YearsSince
LastPromotion]]&gt; 4, "Delayed", "Normal")</f>
        <v>Delayed</v>
      </c>
      <c r="V1275" t="str">
        <f>IF(Table1[[#This Row],[Years
InCurrentRole]]&gt;4, "Role Stagnent", "Normal")</f>
        <v>Role Stagnent</v>
      </c>
      <c r="W1275" t="str">
        <f>IF(AND(Table1[[#This Row],[Years
InCurrentRole]]&gt; 4, Table1[[#This Row],[Performance
Rating]]&gt;=3), "High Risk", "Normal")</f>
        <v>High Risk</v>
      </c>
      <c r="X1275" t="str">
        <f>IF(Table1[[#This Row],[Performance
Rating]]&gt;=4, "High Performer", "Low Performer")</f>
        <v>Low Performer</v>
      </c>
    </row>
    <row r="1276" spans="2:24" x14ac:dyDescent="0.3">
      <c r="B1276" t="s">
        <v>27</v>
      </c>
      <c r="C1276" t="s">
        <v>20</v>
      </c>
      <c r="D1276">
        <v>1</v>
      </c>
      <c r="E1276" t="s">
        <v>28</v>
      </c>
      <c r="F1276">
        <v>2</v>
      </c>
      <c r="G1276" t="s">
        <v>32</v>
      </c>
      <c r="H1276">
        <v>1</v>
      </c>
      <c r="I1276">
        <v>9714</v>
      </c>
      <c r="J1276">
        <v>11</v>
      </c>
      <c r="K1276">
        <v>3</v>
      </c>
      <c r="L1276">
        <v>1</v>
      </c>
      <c r="M1276">
        <v>10</v>
      </c>
      <c r="N1276">
        <v>4</v>
      </c>
      <c r="O1276">
        <v>3</v>
      </c>
      <c r="P1276">
        <v>10</v>
      </c>
      <c r="Q1276">
        <v>8</v>
      </c>
      <c r="R1276">
        <v>6</v>
      </c>
      <c r="S1276" t="s">
        <v>34</v>
      </c>
      <c r="T1276" t="s">
        <v>37</v>
      </c>
      <c r="U1276" t="str">
        <f>IF(Table1[[#This Row],[YearsSince
LastPromotion]]&gt; 4, "Delayed", "Normal")</f>
        <v>Delayed</v>
      </c>
      <c r="V1276" t="str">
        <f>IF(Table1[[#This Row],[Years
InCurrentRole]]&gt;4, "Role Stagnent", "Normal")</f>
        <v>Role Stagnent</v>
      </c>
      <c r="W1276" t="str">
        <f>IF(AND(Table1[[#This Row],[Years
InCurrentRole]]&gt; 4, Table1[[#This Row],[Performance
Rating]]&gt;=3), "High Risk", "Normal")</f>
        <v>High Risk</v>
      </c>
      <c r="X1276" t="str">
        <f>IF(Table1[[#This Row],[Performance
Rating]]&gt;=4, "High Performer", "Low Performer")</f>
        <v>Low Performer</v>
      </c>
    </row>
    <row r="1277" spans="2:24" x14ac:dyDescent="0.3">
      <c r="B1277" t="s">
        <v>19</v>
      </c>
      <c r="C1277" t="s">
        <v>25</v>
      </c>
      <c r="D1277">
        <v>1</v>
      </c>
      <c r="E1277" t="s">
        <v>28</v>
      </c>
      <c r="F1277">
        <v>4</v>
      </c>
      <c r="G1277" t="s">
        <v>35</v>
      </c>
      <c r="H1277">
        <v>1</v>
      </c>
      <c r="I1277">
        <v>17007</v>
      </c>
      <c r="J1277">
        <v>14</v>
      </c>
      <c r="K1277">
        <v>3</v>
      </c>
      <c r="L1277">
        <v>2</v>
      </c>
      <c r="M1277">
        <v>16</v>
      </c>
      <c r="N1277">
        <v>3</v>
      </c>
      <c r="O1277">
        <v>2</v>
      </c>
      <c r="P1277">
        <v>14</v>
      </c>
      <c r="Q1277">
        <v>8</v>
      </c>
      <c r="R1277">
        <v>6</v>
      </c>
      <c r="S1277" t="s">
        <v>23</v>
      </c>
      <c r="T1277" t="s">
        <v>37</v>
      </c>
      <c r="U1277" t="str">
        <f>IF(Table1[[#This Row],[YearsSince
LastPromotion]]&gt; 4, "Delayed", "Normal")</f>
        <v>Delayed</v>
      </c>
      <c r="V1277" t="str">
        <f>IF(Table1[[#This Row],[Years
InCurrentRole]]&gt;4, "Role Stagnent", "Normal")</f>
        <v>Role Stagnent</v>
      </c>
      <c r="W1277" t="str">
        <f>IF(AND(Table1[[#This Row],[Years
InCurrentRole]]&gt; 4, Table1[[#This Row],[Performance
Rating]]&gt;=3), "High Risk", "Normal")</f>
        <v>High Risk</v>
      </c>
      <c r="X1277" t="str">
        <f>IF(Table1[[#This Row],[Performance
Rating]]&gt;=4, "High Performer", "Low Performer")</f>
        <v>Low Performer</v>
      </c>
    </row>
    <row r="1278" spans="2:24" x14ac:dyDescent="0.3">
      <c r="B1278" t="s">
        <v>19</v>
      </c>
      <c r="C1278" t="s">
        <v>25</v>
      </c>
      <c r="D1278">
        <v>1</v>
      </c>
      <c r="E1278" t="s">
        <v>28</v>
      </c>
      <c r="F1278">
        <v>2</v>
      </c>
      <c r="G1278" t="s">
        <v>29</v>
      </c>
      <c r="H1278">
        <v>3</v>
      </c>
      <c r="I1278">
        <v>3407</v>
      </c>
      <c r="J1278">
        <v>17</v>
      </c>
      <c r="K1278">
        <v>3</v>
      </c>
      <c r="L1278">
        <v>2</v>
      </c>
      <c r="M1278">
        <v>10</v>
      </c>
      <c r="N1278">
        <v>3</v>
      </c>
      <c r="O1278">
        <v>2</v>
      </c>
      <c r="P1278">
        <v>10</v>
      </c>
      <c r="Q1278">
        <v>9</v>
      </c>
      <c r="R1278">
        <v>6</v>
      </c>
      <c r="S1278" t="s">
        <v>23</v>
      </c>
      <c r="T1278" t="s">
        <v>37</v>
      </c>
      <c r="U1278" t="str">
        <f>IF(Table1[[#This Row],[YearsSince
LastPromotion]]&gt; 4, "Delayed", "Normal")</f>
        <v>Delayed</v>
      </c>
      <c r="V1278" t="str">
        <f>IF(Table1[[#This Row],[Years
InCurrentRole]]&gt;4, "Role Stagnent", "Normal")</f>
        <v>Role Stagnent</v>
      </c>
      <c r="W1278" t="str">
        <f>IF(AND(Table1[[#This Row],[Years
InCurrentRole]]&gt; 4, Table1[[#This Row],[Performance
Rating]]&gt;=3), "High Risk", "Normal")</f>
        <v>High Risk</v>
      </c>
      <c r="X1278" t="str">
        <f>IF(Table1[[#This Row],[Performance
Rating]]&gt;=4, "High Performer", "Low Performer")</f>
        <v>Low Performer</v>
      </c>
    </row>
    <row r="1279" spans="2:24" x14ac:dyDescent="0.3">
      <c r="B1279" t="s">
        <v>19</v>
      </c>
      <c r="C1279" t="s">
        <v>25</v>
      </c>
      <c r="D1279">
        <v>1</v>
      </c>
      <c r="E1279" t="s">
        <v>28</v>
      </c>
      <c r="F1279">
        <v>2</v>
      </c>
      <c r="G1279" t="s">
        <v>26</v>
      </c>
      <c r="H1279">
        <v>1</v>
      </c>
      <c r="I1279">
        <v>5577</v>
      </c>
      <c r="J1279">
        <v>12</v>
      </c>
      <c r="K1279">
        <v>3</v>
      </c>
      <c r="L1279">
        <v>2</v>
      </c>
      <c r="M1279">
        <v>18</v>
      </c>
      <c r="N1279">
        <v>3</v>
      </c>
      <c r="O1279">
        <v>3</v>
      </c>
      <c r="P1279">
        <v>10</v>
      </c>
      <c r="Q1279">
        <v>9</v>
      </c>
      <c r="R1279">
        <v>6</v>
      </c>
      <c r="S1279" t="s">
        <v>34</v>
      </c>
      <c r="T1279" t="s">
        <v>37</v>
      </c>
      <c r="U1279" t="str">
        <f>IF(Table1[[#This Row],[YearsSince
LastPromotion]]&gt; 4, "Delayed", "Normal")</f>
        <v>Delayed</v>
      </c>
      <c r="V1279" t="str">
        <f>IF(Table1[[#This Row],[Years
InCurrentRole]]&gt;4, "Role Stagnent", "Normal")</f>
        <v>Role Stagnent</v>
      </c>
      <c r="W1279" t="str">
        <f>IF(AND(Table1[[#This Row],[Years
InCurrentRole]]&gt; 4, Table1[[#This Row],[Performance
Rating]]&gt;=3), "High Risk", "Normal")</f>
        <v>High Risk</v>
      </c>
      <c r="X1279" t="str">
        <f>IF(Table1[[#This Row],[Performance
Rating]]&gt;=4, "High Performer", "Low Performer")</f>
        <v>Low Performer</v>
      </c>
    </row>
    <row r="1280" spans="2:24" x14ac:dyDescent="0.3">
      <c r="B1280" t="s">
        <v>19</v>
      </c>
      <c r="C1280" t="s">
        <v>20</v>
      </c>
      <c r="D1280">
        <v>1</v>
      </c>
      <c r="E1280" t="s">
        <v>28</v>
      </c>
      <c r="F1280">
        <v>3</v>
      </c>
      <c r="G1280" t="s">
        <v>32</v>
      </c>
      <c r="H1280">
        <v>2</v>
      </c>
      <c r="I1280">
        <v>8020</v>
      </c>
      <c r="J1280">
        <v>15</v>
      </c>
      <c r="K1280">
        <v>3</v>
      </c>
      <c r="L1280">
        <v>2</v>
      </c>
      <c r="M1280">
        <v>12</v>
      </c>
      <c r="N1280">
        <v>3</v>
      </c>
      <c r="O1280">
        <v>2</v>
      </c>
      <c r="P1280">
        <v>11</v>
      </c>
      <c r="Q1280">
        <v>9</v>
      </c>
      <c r="R1280">
        <v>6</v>
      </c>
      <c r="S1280" t="s">
        <v>23</v>
      </c>
      <c r="T1280" t="s">
        <v>37</v>
      </c>
      <c r="U1280" t="str">
        <f>IF(Table1[[#This Row],[YearsSince
LastPromotion]]&gt; 4, "Delayed", "Normal")</f>
        <v>Delayed</v>
      </c>
      <c r="V1280" t="str">
        <f>IF(Table1[[#This Row],[Years
InCurrentRole]]&gt;4, "Role Stagnent", "Normal")</f>
        <v>Role Stagnent</v>
      </c>
      <c r="W1280" t="str">
        <f>IF(AND(Table1[[#This Row],[Years
InCurrentRole]]&gt; 4, Table1[[#This Row],[Performance
Rating]]&gt;=3), "High Risk", "Normal")</f>
        <v>High Risk</v>
      </c>
      <c r="X1280" t="str">
        <f>IF(Table1[[#This Row],[Performance
Rating]]&gt;=4, "High Performer", "Low Performer")</f>
        <v>Low Performer</v>
      </c>
    </row>
    <row r="1281" spans="2:24" x14ac:dyDescent="0.3">
      <c r="B1281" t="s">
        <v>19</v>
      </c>
      <c r="C1281" t="s">
        <v>20</v>
      </c>
      <c r="D1281">
        <v>1</v>
      </c>
      <c r="E1281" t="s">
        <v>28</v>
      </c>
      <c r="F1281">
        <v>2</v>
      </c>
      <c r="G1281" t="s">
        <v>32</v>
      </c>
      <c r="H1281">
        <v>3</v>
      </c>
      <c r="I1281">
        <v>4717</v>
      </c>
      <c r="J1281">
        <v>11</v>
      </c>
      <c r="K1281">
        <v>3</v>
      </c>
      <c r="L1281">
        <v>0</v>
      </c>
      <c r="M1281">
        <v>15</v>
      </c>
      <c r="N1281">
        <v>2</v>
      </c>
      <c r="O1281">
        <v>3</v>
      </c>
      <c r="P1281">
        <v>11</v>
      </c>
      <c r="Q1281">
        <v>9</v>
      </c>
      <c r="R1281">
        <v>6</v>
      </c>
      <c r="S1281" t="s">
        <v>34</v>
      </c>
      <c r="T1281" t="s">
        <v>37</v>
      </c>
      <c r="U1281" t="str">
        <f>IF(Table1[[#This Row],[YearsSince
LastPromotion]]&gt; 4, "Delayed", "Normal")</f>
        <v>Delayed</v>
      </c>
      <c r="V1281" t="str">
        <f>IF(Table1[[#This Row],[Years
InCurrentRole]]&gt;4, "Role Stagnent", "Normal")</f>
        <v>Role Stagnent</v>
      </c>
      <c r="W1281" t="str">
        <f>IF(AND(Table1[[#This Row],[Years
InCurrentRole]]&gt; 4, Table1[[#This Row],[Performance
Rating]]&gt;=3), "High Risk", "Normal")</f>
        <v>High Risk</v>
      </c>
      <c r="X1281" t="str">
        <f>IF(Table1[[#This Row],[Performance
Rating]]&gt;=4, "High Performer", "Low Performer")</f>
        <v>Low Performer</v>
      </c>
    </row>
    <row r="1282" spans="2:24" x14ac:dyDescent="0.3">
      <c r="B1282" t="s">
        <v>27</v>
      </c>
      <c r="C1282" t="s">
        <v>20</v>
      </c>
      <c r="D1282">
        <v>1</v>
      </c>
      <c r="E1282" t="s">
        <v>28</v>
      </c>
      <c r="F1282">
        <v>2</v>
      </c>
      <c r="G1282" t="s">
        <v>32</v>
      </c>
      <c r="H1282">
        <v>4</v>
      </c>
      <c r="I1282">
        <v>4581</v>
      </c>
      <c r="J1282">
        <v>24</v>
      </c>
      <c r="K1282">
        <v>4</v>
      </c>
      <c r="L1282">
        <v>0</v>
      </c>
      <c r="M1282">
        <v>13</v>
      </c>
      <c r="N1282">
        <v>2</v>
      </c>
      <c r="O1282">
        <v>4</v>
      </c>
      <c r="P1282">
        <v>11</v>
      </c>
      <c r="Q1282">
        <v>9</v>
      </c>
      <c r="R1282">
        <v>6</v>
      </c>
      <c r="S1282" t="s">
        <v>34</v>
      </c>
      <c r="T1282" t="s">
        <v>37</v>
      </c>
      <c r="U1282" t="str">
        <f>IF(Table1[[#This Row],[YearsSince
LastPromotion]]&gt; 4, "Delayed", "Normal")</f>
        <v>Delayed</v>
      </c>
      <c r="V1282" t="str">
        <f>IF(Table1[[#This Row],[Years
InCurrentRole]]&gt;4, "Role Stagnent", "Normal")</f>
        <v>Role Stagnent</v>
      </c>
      <c r="W1282" t="str">
        <f>IF(AND(Table1[[#This Row],[Years
InCurrentRole]]&gt; 4, Table1[[#This Row],[Performance
Rating]]&gt;=3), "High Risk", "Normal")</f>
        <v>High Risk</v>
      </c>
      <c r="X1282" t="str">
        <f>IF(Table1[[#This Row],[Performance
Rating]]&gt;=4, "High Performer", "Low Performer")</f>
        <v>High Performer</v>
      </c>
    </row>
    <row r="1283" spans="2:24" x14ac:dyDescent="0.3">
      <c r="B1283" t="s">
        <v>19</v>
      </c>
      <c r="C1283" t="s">
        <v>25</v>
      </c>
      <c r="D1283">
        <v>1</v>
      </c>
      <c r="E1283" t="s">
        <v>28</v>
      </c>
      <c r="F1283">
        <v>2</v>
      </c>
      <c r="G1283" t="s">
        <v>29</v>
      </c>
      <c r="H1283">
        <v>1</v>
      </c>
      <c r="I1283">
        <v>3072</v>
      </c>
      <c r="J1283">
        <v>11</v>
      </c>
      <c r="K1283">
        <v>3</v>
      </c>
      <c r="L1283">
        <v>2</v>
      </c>
      <c r="M1283">
        <v>12</v>
      </c>
      <c r="N1283">
        <v>4</v>
      </c>
      <c r="O1283">
        <v>3</v>
      </c>
      <c r="P1283">
        <v>12</v>
      </c>
      <c r="Q1283">
        <v>9</v>
      </c>
      <c r="R1283">
        <v>6</v>
      </c>
      <c r="S1283" t="s">
        <v>34</v>
      </c>
      <c r="T1283" t="s">
        <v>37</v>
      </c>
      <c r="U1283" t="str">
        <f>IF(Table1[[#This Row],[YearsSince
LastPromotion]]&gt; 4, "Delayed", "Normal")</f>
        <v>Delayed</v>
      </c>
      <c r="V1283" t="str">
        <f>IF(Table1[[#This Row],[Years
InCurrentRole]]&gt;4, "Role Stagnent", "Normal")</f>
        <v>Role Stagnent</v>
      </c>
      <c r="W1283" t="str">
        <f>IF(AND(Table1[[#This Row],[Years
InCurrentRole]]&gt; 4, Table1[[#This Row],[Performance
Rating]]&gt;=3), "High Risk", "Normal")</f>
        <v>High Risk</v>
      </c>
      <c r="X1283" t="str">
        <f>IF(Table1[[#This Row],[Performance
Rating]]&gt;=4, "High Performer", "Low Performer")</f>
        <v>Low Performer</v>
      </c>
    </row>
    <row r="1284" spans="2:24" x14ac:dyDescent="0.3">
      <c r="B1284" t="s">
        <v>19</v>
      </c>
      <c r="C1284" t="s">
        <v>25</v>
      </c>
      <c r="D1284">
        <v>1</v>
      </c>
      <c r="E1284" t="s">
        <v>28</v>
      </c>
      <c r="F1284">
        <v>4</v>
      </c>
      <c r="G1284" t="s">
        <v>35</v>
      </c>
      <c r="H1284">
        <v>3</v>
      </c>
      <c r="I1284">
        <v>17603</v>
      </c>
      <c r="J1284">
        <v>24</v>
      </c>
      <c r="K1284">
        <v>4</v>
      </c>
      <c r="L1284">
        <v>1</v>
      </c>
      <c r="M1284">
        <v>14</v>
      </c>
      <c r="N1284">
        <v>3</v>
      </c>
      <c r="O1284">
        <v>3</v>
      </c>
      <c r="P1284">
        <v>14</v>
      </c>
      <c r="Q1284">
        <v>10</v>
      </c>
      <c r="R1284">
        <v>6</v>
      </c>
      <c r="S1284" t="s">
        <v>34</v>
      </c>
      <c r="T1284" t="s">
        <v>37</v>
      </c>
      <c r="U1284" t="str">
        <f>IF(Table1[[#This Row],[YearsSince
LastPromotion]]&gt; 4, "Delayed", "Normal")</f>
        <v>Delayed</v>
      </c>
      <c r="V1284" t="str">
        <f>IF(Table1[[#This Row],[Years
InCurrentRole]]&gt;4, "Role Stagnent", "Normal")</f>
        <v>Role Stagnent</v>
      </c>
      <c r="W1284" t="str">
        <f>IF(AND(Table1[[#This Row],[Years
InCurrentRole]]&gt; 4, Table1[[#This Row],[Performance
Rating]]&gt;=3), "High Risk", "Normal")</f>
        <v>High Risk</v>
      </c>
      <c r="X1284" t="str">
        <f>IF(Table1[[#This Row],[Performance
Rating]]&gt;=4, "High Performer", "Low Performer")</f>
        <v>High Performer</v>
      </c>
    </row>
    <row r="1285" spans="2:24" x14ac:dyDescent="0.3">
      <c r="B1285" t="s">
        <v>19</v>
      </c>
      <c r="C1285" t="s">
        <v>25</v>
      </c>
      <c r="D1285">
        <v>1</v>
      </c>
      <c r="E1285" t="s">
        <v>28</v>
      </c>
      <c r="F1285">
        <v>2</v>
      </c>
      <c r="G1285" t="s">
        <v>26</v>
      </c>
      <c r="H1285">
        <v>4</v>
      </c>
      <c r="I1285">
        <v>5747</v>
      </c>
      <c r="J1285">
        <v>15</v>
      </c>
      <c r="K1285">
        <v>3</v>
      </c>
      <c r="L1285">
        <v>0</v>
      </c>
      <c r="M1285">
        <v>16</v>
      </c>
      <c r="N1285">
        <v>3</v>
      </c>
      <c r="O1285">
        <v>3</v>
      </c>
      <c r="P1285">
        <v>15</v>
      </c>
      <c r="Q1285">
        <v>10</v>
      </c>
      <c r="R1285">
        <v>6</v>
      </c>
      <c r="S1285" t="s">
        <v>34</v>
      </c>
      <c r="T1285" t="s">
        <v>37</v>
      </c>
      <c r="U1285" t="str">
        <f>IF(Table1[[#This Row],[YearsSince
LastPromotion]]&gt; 4, "Delayed", "Normal")</f>
        <v>Delayed</v>
      </c>
      <c r="V1285" t="str">
        <f>IF(Table1[[#This Row],[Years
InCurrentRole]]&gt;4, "Role Stagnent", "Normal")</f>
        <v>Role Stagnent</v>
      </c>
      <c r="W1285" t="str">
        <f>IF(AND(Table1[[#This Row],[Years
InCurrentRole]]&gt; 4, Table1[[#This Row],[Performance
Rating]]&gt;=3), "High Risk", "Normal")</f>
        <v>High Risk</v>
      </c>
      <c r="X1285" t="str">
        <f>IF(Table1[[#This Row],[Performance
Rating]]&gt;=4, "High Performer", "Low Performer")</f>
        <v>Low Performer</v>
      </c>
    </row>
    <row r="1286" spans="2:24" x14ac:dyDescent="0.3">
      <c r="B1286" t="s">
        <v>19</v>
      </c>
      <c r="C1286" t="s">
        <v>25</v>
      </c>
      <c r="D1286">
        <v>1</v>
      </c>
      <c r="E1286" t="s">
        <v>21</v>
      </c>
      <c r="F1286">
        <v>3</v>
      </c>
      <c r="G1286" t="s">
        <v>35</v>
      </c>
      <c r="H1286">
        <v>4</v>
      </c>
      <c r="I1286">
        <v>13744</v>
      </c>
      <c r="J1286">
        <v>25</v>
      </c>
      <c r="K1286">
        <v>4</v>
      </c>
      <c r="L1286">
        <v>1</v>
      </c>
      <c r="M1286">
        <v>16</v>
      </c>
      <c r="N1286">
        <v>2</v>
      </c>
      <c r="O1286">
        <v>3</v>
      </c>
      <c r="P1286">
        <v>16</v>
      </c>
      <c r="Q1286">
        <v>11</v>
      </c>
      <c r="R1286">
        <v>6</v>
      </c>
      <c r="S1286" t="s">
        <v>34</v>
      </c>
      <c r="T1286" t="s">
        <v>37</v>
      </c>
      <c r="U1286" t="str">
        <f>IF(Table1[[#This Row],[YearsSince
LastPromotion]]&gt; 4, "Delayed", "Normal")</f>
        <v>Delayed</v>
      </c>
      <c r="V1286" t="str">
        <f>IF(Table1[[#This Row],[Years
InCurrentRole]]&gt;4, "Role Stagnent", "Normal")</f>
        <v>Role Stagnent</v>
      </c>
      <c r="W1286" t="str">
        <f>IF(AND(Table1[[#This Row],[Years
InCurrentRole]]&gt; 4, Table1[[#This Row],[Performance
Rating]]&gt;=3), "High Risk", "Normal")</f>
        <v>High Risk</v>
      </c>
      <c r="X1286" t="str">
        <f>IF(Table1[[#This Row],[Performance
Rating]]&gt;=4, "High Performer", "Low Performer")</f>
        <v>High Performer</v>
      </c>
    </row>
    <row r="1287" spans="2:24" x14ac:dyDescent="0.3">
      <c r="B1287" t="s">
        <v>27</v>
      </c>
      <c r="C1287" t="s">
        <v>20</v>
      </c>
      <c r="D1287">
        <v>1</v>
      </c>
      <c r="E1287" t="s">
        <v>28</v>
      </c>
      <c r="F1287">
        <v>3</v>
      </c>
      <c r="G1287" t="s">
        <v>32</v>
      </c>
      <c r="H1287">
        <v>1</v>
      </c>
      <c r="I1287">
        <v>10306</v>
      </c>
      <c r="J1287">
        <v>17</v>
      </c>
      <c r="K1287">
        <v>3</v>
      </c>
      <c r="L1287">
        <v>0</v>
      </c>
      <c r="M1287">
        <v>15</v>
      </c>
      <c r="N1287">
        <v>3</v>
      </c>
      <c r="O1287">
        <v>3</v>
      </c>
      <c r="P1287">
        <v>13</v>
      </c>
      <c r="Q1287">
        <v>12</v>
      </c>
      <c r="R1287">
        <v>6</v>
      </c>
      <c r="S1287" t="s">
        <v>34</v>
      </c>
      <c r="T1287" t="s">
        <v>37</v>
      </c>
      <c r="U1287" t="str">
        <f>IF(Table1[[#This Row],[YearsSince
LastPromotion]]&gt; 4, "Delayed", "Normal")</f>
        <v>Delayed</v>
      </c>
      <c r="V1287" t="str">
        <f>IF(Table1[[#This Row],[Years
InCurrentRole]]&gt;4, "Role Stagnent", "Normal")</f>
        <v>Role Stagnent</v>
      </c>
      <c r="W1287" t="str">
        <f>IF(AND(Table1[[#This Row],[Years
InCurrentRole]]&gt; 4, Table1[[#This Row],[Performance
Rating]]&gt;=3), "High Risk", "Normal")</f>
        <v>High Risk</v>
      </c>
      <c r="X1287" t="str">
        <f>IF(Table1[[#This Row],[Performance
Rating]]&gt;=4, "High Performer", "Low Performer")</f>
        <v>Low Performer</v>
      </c>
    </row>
    <row r="1288" spans="2:24" x14ac:dyDescent="0.3">
      <c r="B1288" t="s">
        <v>19</v>
      </c>
      <c r="C1288" t="s">
        <v>25</v>
      </c>
      <c r="D1288">
        <v>1</v>
      </c>
      <c r="E1288" t="s">
        <v>21</v>
      </c>
      <c r="F1288">
        <v>5</v>
      </c>
      <c r="G1288" t="s">
        <v>22</v>
      </c>
      <c r="H1288">
        <v>3</v>
      </c>
      <c r="I1288">
        <v>19392</v>
      </c>
      <c r="J1288">
        <v>13</v>
      </c>
      <c r="K1288">
        <v>3</v>
      </c>
      <c r="L1288">
        <v>0</v>
      </c>
      <c r="M1288">
        <v>21</v>
      </c>
      <c r="N1288">
        <v>2</v>
      </c>
      <c r="O1288">
        <v>3</v>
      </c>
      <c r="P1288">
        <v>16</v>
      </c>
      <c r="Q1288">
        <v>12</v>
      </c>
      <c r="R1288">
        <v>6</v>
      </c>
      <c r="S1288" t="s">
        <v>34</v>
      </c>
      <c r="T1288" t="s">
        <v>37</v>
      </c>
      <c r="U1288" t="str">
        <f>IF(Table1[[#This Row],[YearsSince
LastPromotion]]&gt; 4, "Delayed", "Normal")</f>
        <v>Delayed</v>
      </c>
      <c r="V1288" t="str">
        <f>IF(Table1[[#This Row],[Years
InCurrentRole]]&gt;4, "Role Stagnent", "Normal")</f>
        <v>Role Stagnent</v>
      </c>
      <c r="W1288" t="str">
        <f>IF(AND(Table1[[#This Row],[Years
InCurrentRole]]&gt; 4, Table1[[#This Row],[Performance
Rating]]&gt;=3), "High Risk", "Normal")</f>
        <v>High Risk</v>
      </c>
      <c r="X1288" t="str">
        <f>IF(Table1[[#This Row],[Performance
Rating]]&gt;=4, "High Performer", "Low Performer")</f>
        <v>Low Performer</v>
      </c>
    </row>
    <row r="1289" spans="2:24" x14ac:dyDescent="0.3">
      <c r="B1289" t="s">
        <v>19</v>
      </c>
      <c r="C1289" t="s">
        <v>25</v>
      </c>
      <c r="D1289">
        <v>1</v>
      </c>
      <c r="E1289" t="s">
        <v>21</v>
      </c>
      <c r="F1289">
        <v>2</v>
      </c>
      <c r="G1289" t="s">
        <v>33</v>
      </c>
      <c r="H1289">
        <v>3</v>
      </c>
      <c r="I1289">
        <v>6162</v>
      </c>
      <c r="J1289">
        <v>12</v>
      </c>
      <c r="K1289">
        <v>3</v>
      </c>
      <c r="L1289">
        <v>1</v>
      </c>
      <c r="M1289">
        <v>14</v>
      </c>
      <c r="N1289">
        <v>3</v>
      </c>
      <c r="O1289">
        <v>3</v>
      </c>
      <c r="P1289">
        <v>14</v>
      </c>
      <c r="Q1289">
        <v>13</v>
      </c>
      <c r="R1289">
        <v>6</v>
      </c>
      <c r="S1289" t="s">
        <v>34</v>
      </c>
      <c r="T1289" t="s">
        <v>37</v>
      </c>
      <c r="U1289" t="str">
        <f>IF(Table1[[#This Row],[YearsSince
LastPromotion]]&gt; 4, "Delayed", "Normal")</f>
        <v>Delayed</v>
      </c>
      <c r="V1289" t="str">
        <f>IF(Table1[[#This Row],[Years
InCurrentRole]]&gt;4, "Role Stagnent", "Normal")</f>
        <v>Role Stagnent</v>
      </c>
      <c r="W1289" t="str">
        <f>IF(AND(Table1[[#This Row],[Years
InCurrentRole]]&gt; 4, Table1[[#This Row],[Performance
Rating]]&gt;=3), "High Risk", "Normal")</f>
        <v>High Risk</v>
      </c>
      <c r="X1289" t="str">
        <f>IF(Table1[[#This Row],[Performance
Rating]]&gt;=4, "High Performer", "Low Performer")</f>
        <v>Low Performer</v>
      </c>
    </row>
    <row r="1290" spans="2:24" x14ac:dyDescent="0.3">
      <c r="B1290" t="s">
        <v>27</v>
      </c>
      <c r="C1290" t="s">
        <v>20</v>
      </c>
      <c r="D1290">
        <v>1</v>
      </c>
      <c r="E1290" t="s">
        <v>21</v>
      </c>
      <c r="F1290">
        <v>5</v>
      </c>
      <c r="G1290" t="s">
        <v>22</v>
      </c>
      <c r="H1290">
        <v>4</v>
      </c>
      <c r="I1290">
        <v>19845</v>
      </c>
      <c r="J1290">
        <v>15</v>
      </c>
      <c r="K1290">
        <v>3</v>
      </c>
      <c r="L1290">
        <v>1</v>
      </c>
      <c r="M1290">
        <v>33</v>
      </c>
      <c r="N1290">
        <v>3</v>
      </c>
      <c r="O1290">
        <v>3</v>
      </c>
      <c r="P1290">
        <v>32</v>
      </c>
      <c r="Q1290">
        <v>14</v>
      </c>
      <c r="R1290">
        <v>6</v>
      </c>
      <c r="S1290" t="s">
        <v>34</v>
      </c>
      <c r="T1290" t="s">
        <v>37</v>
      </c>
      <c r="U1290" t="str">
        <f>IF(Table1[[#This Row],[YearsSince
LastPromotion]]&gt; 4, "Delayed", "Normal")</f>
        <v>Delayed</v>
      </c>
      <c r="V1290" t="str">
        <f>IF(Table1[[#This Row],[Years
InCurrentRole]]&gt;4, "Role Stagnent", "Normal")</f>
        <v>Role Stagnent</v>
      </c>
      <c r="W1290" t="str">
        <f>IF(AND(Table1[[#This Row],[Years
InCurrentRole]]&gt; 4, Table1[[#This Row],[Performance
Rating]]&gt;=3), "High Risk", "Normal")</f>
        <v>High Risk</v>
      </c>
      <c r="X1290" t="str">
        <f>IF(Table1[[#This Row],[Performance
Rating]]&gt;=4, "High Performer", "Low Performer")</f>
        <v>Low Performer</v>
      </c>
    </row>
    <row r="1291" spans="2:24" x14ac:dyDescent="0.3">
      <c r="B1291" t="s">
        <v>19</v>
      </c>
      <c r="C1291" t="s">
        <v>25</v>
      </c>
      <c r="D1291">
        <v>1</v>
      </c>
      <c r="E1291" t="s">
        <v>21</v>
      </c>
      <c r="F1291">
        <v>1</v>
      </c>
      <c r="G1291" t="s">
        <v>29</v>
      </c>
      <c r="H1291">
        <v>3</v>
      </c>
      <c r="I1291">
        <v>2838</v>
      </c>
      <c r="J1291">
        <v>14</v>
      </c>
      <c r="K1291">
        <v>3</v>
      </c>
      <c r="L1291">
        <v>0</v>
      </c>
      <c r="M1291">
        <v>8</v>
      </c>
      <c r="N1291">
        <v>6</v>
      </c>
      <c r="O1291">
        <v>2</v>
      </c>
      <c r="P1291">
        <v>7</v>
      </c>
      <c r="Q1291">
        <v>0</v>
      </c>
      <c r="R1291">
        <v>7</v>
      </c>
      <c r="S1291" t="s">
        <v>23</v>
      </c>
      <c r="T1291" t="s">
        <v>37</v>
      </c>
      <c r="U1291" t="str">
        <f>IF(Table1[[#This Row],[YearsSince
LastPromotion]]&gt; 4, "Delayed", "Normal")</f>
        <v>Delayed</v>
      </c>
      <c r="V1291" t="str">
        <f>IF(Table1[[#This Row],[Years
InCurrentRole]]&gt;4, "Role Stagnent", "Normal")</f>
        <v>Normal</v>
      </c>
      <c r="W1291" t="str">
        <f>IF(AND(Table1[[#This Row],[Years
InCurrentRole]]&gt; 4, Table1[[#This Row],[Performance
Rating]]&gt;=3), "High Risk", "Normal")</f>
        <v>Normal</v>
      </c>
      <c r="X1291" t="str">
        <f>IF(Table1[[#This Row],[Performance
Rating]]&gt;=4, "High Performer", "Low Performer")</f>
        <v>Low Performer</v>
      </c>
    </row>
    <row r="1292" spans="2:24" x14ac:dyDescent="0.3">
      <c r="B1292" t="s">
        <v>19</v>
      </c>
      <c r="C1292" t="s">
        <v>25</v>
      </c>
      <c r="D1292">
        <v>1</v>
      </c>
      <c r="E1292" t="s">
        <v>28</v>
      </c>
      <c r="F1292">
        <v>2</v>
      </c>
      <c r="G1292" t="s">
        <v>26</v>
      </c>
      <c r="H1292">
        <v>2</v>
      </c>
      <c r="I1292">
        <v>4485</v>
      </c>
      <c r="J1292">
        <v>12</v>
      </c>
      <c r="K1292">
        <v>3</v>
      </c>
      <c r="L1292">
        <v>0</v>
      </c>
      <c r="M1292">
        <v>10</v>
      </c>
      <c r="N1292">
        <v>2</v>
      </c>
      <c r="O1292">
        <v>3</v>
      </c>
      <c r="P1292">
        <v>8</v>
      </c>
      <c r="Q1292">
        <v>0</v>
      </c>
      <c r="R1292">
        <v>7</v>
      </c>
      <c r="S1292" t="s">
        <v>34</v>
      </c>
      <c r="T1292" t="s">
        <v>37</v>
      </c>
      <c r="U1292" t="str">
        <f>IF(Table1[[#This Row],[YearsSince
LastPromotion]]&gt; 4, "Delayed", "Normal")</f>
        <v>Delayed</v>
      </c>
      <c r="V1292" t="str">
        <f>IF(Table1[[#This Row],[Years
InCurrentRole]]&gt;4, "Role Stagnent", "Normal")</f>
        <v>Normal</v>
      </c>
      <c r="W1292" t="str">
        <f>IF(AND(Table1[[#This Row],[Years
InCurrentRole]]&gt; 4, Table1[[#This Row],[Performance
Rating]]&gt;=3), "High Risk", "Normal")</f>
        <v>Normal</v>
      </c>
      <c r="X1292" t="str">
        <f>IF(Table1[[#This Row],[Performance
Rating]]&gt;=4, "High Performer", "Low Performer")</f>
        <v>Low Performer</v>
      </c>
    </row>
    <row r="1293" spans="2:24" x14ac:dyDescent="0.3">
      <c r="B1293" t="s">
        <v>19</v>
      </c>
      <c r="C1293" t="s">
        <v>20</v>
      </c>
      <c r="D1293">
        <v>1</v>
      </c>
      <c r="E1293" t="s">
        <v>21</v>
      </c>
      <c r="F1293">
        <v>2</v>
      </c>
      <c r="G1293" t="s">
        <v>32</v>
      </c>
      <c r="H1293">
        <v>1</v>
      </c>
      <c r="I1293">
        <v>5605</v>
      </c>
      <c r="J1293">
        <v>24</v>
      </c>
      <c r="K1293">
        <v>4</v>
      </c>
      <c r="L1293">
        <v>1</v>
      </c>
      <c r="M1293">
        <v>8</v>
      </c>
      <c r="N1293">
        <v>3</v>
      </c>
      <c r="O1293">
        <v>3</v>
      </c>
      <c r="P1293">
        <v>8</v>
      </c>
      <c r="Q1293">
        <v>0</v>
      </c>
      <c r="R1293">
        <v>7</v>
      </c>
      <c r="S1293" t="s">
        <v>34</v>
      </c>
      <c r="T1293" t="s">
        <v>37</v>
      </c>
      <c r="U1293" t="str">
        <f>IF(Table1[[#This Row],[YearsSince
LastPromotion]]&gt; 4, "Delayed", "Normal")</f>
        <v>Delayed</v>
      </c>
      <c r="V1293" t="str">
        <f>IF(Table1[[#This Row],[Years
InCurrentRole]]&gt;4, "Role Stagnent", "Normal")</f>
        <v>Normal</v>
      </c>
      <c r="W1293" t="str">
        <f>IF(AND(Table1[[#This Row],[Years
InCurrentRole]]&gt; 4, Table1[[#This Row],[Performance
Rating]]&gt;=3), "High Risk", "Normal")</f>
        <v>Normal</v>
      </c>
      <c r="X1293" t="str">
        <f>IF(Table1[[#This Row],[Performance
Rating]]&gt;=4, "High Performer", "Low Performer")</f>
        <v>High Performer</v>
      </c>
    </row>
    <row r="1294" spans="2:24" x14ac:dyDescent="0.3">
      <c r="B1294" t="s">
        <v>19</v>
      </c>
      <c r="C1294" t="s">
        <v>25</v>
      </c>
      <c r="D1294">
        <v>1</v>
      </c>
      <c r="E1294" t="s">
        <v>28</v>
      </c>
      <c r="F1294">
        <v>2</v>
      </c>
      <c r="G1294" t="s">
        <v>31</v>
      </c>
      <c r="H1294">
        <v>4</v>
      </c>
      <c r="I1294">
        <v>5582</v>
      </c>
      <c r="J1294">
        <v>21</v>
      </c>
      <c r="K1294">
        <v>4</v>
      </c>
      <c r="L1294">
        <v>1</v>
      </c>
      <c r="M1294">
        <v>10</v>
      </c>
      <c r="N1294">
        <v>2</v>
      </c>
      <c r="O1294">
        <v>3</v>
      </c>
      <c r="P1294">
        <v>9</v>
      </c>
      <c r="Q1294">
        <v>0</v>
      </c>
      <c r="R1294">
        <v>7</v>
      </c>
      <c r="S1294" t="s">
        <v>34</v>
      </c>
      <c r="T1294" t="s">
        <v>37</v>
      </c>
      <c r="U1294" t="str">
        <f>IF(Table1[[#This Row],[YearsSince
LastPromotion]]&gt; 4, "Delayed", "Normal")</f>
        <v>Delayed</v>
      </c>
      <c r="V1294" t="str">
        <f>IF(Table1[[#This Row],[Years
InCurrentRole]]&gt;4, "Role Stagnent", "Normal")</f>
        <v>Normal</v>
      </c>
      <c r="W1294" t="str">
        <f>IF(AND(Table1[[#This Row],[Years
InCurrentRole]]&gt; 4, Table1[[#This Row],[Performance
Rating]]&gt;=3), "High Risk", "Normal")</f>
        <v>Normal</v>
      </c>
      <c r="X1294" t="str">
        <f>IF(Table1[[#This Row],[Performance
Rating]]&gt;=4, "High Performer", "Low Performer")</f>
        <v>High Performer</v>
      </c>
    </row>
    <row r="1295" spans="2:24" x14ac:dyDescent="0.3">
      <c r="B1295" t="s">
        <v>19</v>
      </c>
      <c r="C1295" t="s">
        <v>25</v>
      </c>
      <c r="D1295">
        <v>1</v>
      </c>
      <c r="E1295" t="s">
        <v>28</v>
      </c>
      <c r="F1295">
        <v>2</v>
      </c>
      <c r="G1295" t="s">
        <v>33</v>
      </c>
      <c r="H1295">
        <v>1</v>
      </c>
      <c r="I1295">
        <v>5151</v>
      </c>
      <c r="J1295">
        <v>25</v>
      </c>
      <c r="K1295">
        <v>4</v>
      </c>
      <c r="L1295">
        <v>1</v>
      </c>
      <c r="M1295">
        <v>10</v>
      </c>
      <c r="N1295">
        <v>3</v>
      </c>
      <c r="O1295">
        <v>3</v>
      </c>
      <c r="P1295">
        <v>10</v>
      </c>
      <c r="Q1295">
        <v>0</v>
      </c>
      <c r="R1295">
        <v>7</v>
      </c>
      <c r="S1295" t="s">
        <v>34</v>
      </c>
      <c r="T1295" t="s">
        <v>37</v>
      </c>
      <c r="U1295" t="str">
        <f>IF(Table1[[#This Row],[YearsSince
LastPromotion]]&gt; 4, "Delayed", "Normal")</f>
        <v>Delayed</v>
      </c>
      <c r="V1295" t="str">
        <f>IF(Table1[[#This Row],[Years
InCurrentRole]]&gt;4, "Role Stagnent", "Normal")</f>
        <v>Normal</v>
      </c>
      <c r="W1295" t="str">
        <f>IF(AND(Table1[[#This Row],[Years
InCurrentRole]]&gt; 4, Table1[[#This Row],[Performance
Rating]]&gt;=3), "High Risk", "Normal")</f>
        <v>Normal</v>
      </c>
      <c r="X1295" t="str">
        <f>IF(Table1[[#This Row],[Performance
Rating]]&gt;=4, "High Performer", "Low Performer")</f>
        <v>High Performer</v>
      </c>
    </row>
    <row r="1296" spans="2:24" x14ac:dyDescent="0.3">
      <c r="B1296" t="s">
        <v>19</v>
      </c>
      <c r="C1296" t="s">
        <v>25</v>
      </c>
      <c r="D1296">
        <v>1</v>
      </c>
      <c r="E1296" t="s">
        <v>28</v>
      </c>
      <c r="F1296">
        <v>5</v>
      </c>
      <c r="G1296" t="s">
        <v>35</v>
      </c>
      <c r="H1296">
        <v>3</v>
      </c>
      <c r="I1296">
        <v>19237</v>
      </c>
      <c r="J1296">
        <v>11</v>
      </c>
      <c r="K1296">
        <v>3</v>
      </c>
      <c r="L1296">
        <v>1</v>
      </c>
      <c r="M1296">
        <v>29</v>
      </c>
      <c r="N1296">
        <v>2</v>
      </c>
      <c r="O1296">
        <v>2</v>
      </c>
      <c r="P1296">
        <v>8</v>
      </c>
      <c r="Q1296">
        <v>1</v>
      </c>
      <c r="R1296">
        <v>7</v>
      </c>
      <c r="S1296" t="s">
        <v>23</v>
      </c>
      <c r="T1296" t="s">
        <v>37</v>
      </c>
      <c r="U1296" t="str">
        <f>IF(Table1[[#This Row],[YearsSince
LastPromotion]]&gt; 4, "Delayed", "Normal")</f>
        <v>Delayed</v>
      </c>
      <c r="V1296" t="str">
        <f>IF(Table1[[#This Row],[Years
InCurrentRole]]&gt;4, "Role Stagnent", "Normal")</f>
        <v>Normal</v>
      </c>
      <c r="W1296" t="str">
        <f>IF(AND(Table1[[#This Row],[Years
InCurrentRole]]&gt; 4, Table1[[#This Row],[Performance
Rating]]&gt;=3), "High Risk", "Normal")</f>
        <v>Normal</v>
      </c>
      <c r="X1296" t="str">
        <f>IF(Table1[[#This Row],[Performance
Rating]]&gt;=4, "High Performer", "Low Performer")</f>
        <v>Low Performer</v>
      </c>
    </row>
    <row r="1297" spans="2:24" x14ac:dyDescent="0.3">
      <c r="B1297" t="s">
        <v>27</v>
      </c>
      <c r="C1297" t="s">
        <v>25</v>
      </c>
      <c r="D1297">
        <v>1</v>
      </c>
      <c r="E1297" t="s">
        <v>21</v>
      </c>
      <c r="F1297">
        <v>1</v>
      </c>
      <c r="G1297" t="s">
        <v>26</v>
      </c>
      <c r="H1297">
        <v>3</v>
      </c>
      <c r="I1297">
        <v>4084</v>
      </c>
      <c r="J1297">
        <v>12</v>
      </c>
      <c r="K1297">
        <v>3</v>
      </c>
      <c r="L1297">
        <v>0</v>
      </c>
      <c r="M1297">
        <v>7</v>
      </c>
      <c r="N1297">
        <v>2</v>
      </c>
      <c r="O1297">
        <v>1</v>
      </c>
      <c r="P1297">
        <v>7</v>
      </c>
      <c r="Q1297">
        <v>2</v>
      </c>
      <c r="R1297">
        <v>7</v>
      </c>
      <c r="S1297" t="s">
        <v>23</v>
      </c>
      <c r="T1297" t="s">
        <v>37</v>
      </c>
      <c r="U1297" t="str">
        <f>IF(Table1[[#This Row],[YearsSince
LastPromotion]]&gt; 4, "Delayed", "Normal")</f>
        <v>Delayed</v>
      </c>
      <c r="V1297" t="str">
        <f>IF(Table1[[#This Row],[Years
InCurrentRole]]&gt;4, "Role Stagnent", "Normal")</f>
        <v>Normal</v>
      </c>
      <c r="W1297" t="str">
        <f>IF(AND(Table1[[#This Row],[Years
InCurrentRole]]&gt; 4, Table1[[#This Row],[Performance
Rating]]&gt;=3), "High Risk", "Normal")</f>
        <v>Normal</v>
      </c>
      <c r="X1297" t="str">
        <f>IF(Table1[[#This Row],[Performance
Rating]]&gt;=4, "High Performer", "Low Performer")</f>
        <v>Low Performer</v>
      </c>
    </row>
    <row r="1298" spans="2:24" x14ac:dyDescent="0.3">
      <c r="B1298" t="s">
        <v>19</v>
      </c>
      <c r="C1298" t="s">
        <v>25</v>
      </c>
      <c r="D1298">
        <v>1</v>
      </c>
      <c r="E1298" t="s">
        <v>28</v>
      </c>
      <c r="F1298">
        <v>2</v>
      </c>
      <c r="G1298" t="s">
        <v>31</v>
      </c>
      <c r="H1298">
        <v>3</v>
      </c>
      <c r="I1298">
        <v>5063</v>
      </c>
      <c r="J1298">
        <v>14</v>
      </c>
      <c r="K1298">
        <v>3</v>
      </c>
      <c r="L1298">
        <v>1</v>
      </c>
      <c r="M1298">
        <v>8</v>
      </c>
      <c r="N1298">
        <v>3</v>
      </c>
      <c r="O1298">
        <v>2</v>
      </c>
      <c r="P1298">
        <v>8</v>
      </c>
      <c r="Q1298">
        <v>2</v>
      </c>
      <c r="R1298">
        <v>7</v>
      </c>
      <c r="S1298" t="s">
        <v>23</v>
      </c>
      <c r="T1298" t="s">
        <v>37</v>
      </c>
      <c r="U1298" t="str">
        <f>IF(Table1[[#This Row],[YearsSince
LastPromotion]]&gt; 4, "Delayed", "Normal")</f>
        <v>Delayed</v>
      </c>
      <c r="V1298" t="str">
        <f>IF(Table1[[#This Row],[Years
InCurrentRole]]&gt;4, "Role Stagnent", "Normal")</f>
        <v>Normal</v>
      </c>
      <c r="W1298" t="str">
        <f>IF(AND(Table1[[#This Row],[Years
InCurrentRole]]&gt; 4, Table1[[#This Row],[Performance
Rating]]&gt;=3), "High Risk", "Normal")</f>
        <v>Normal</v>
      </c>
      <c r="X1298" t="str">
        <f>IF(Table1[[#This Row],[Performance
Rating]]&gt;=4, "High Performer", "Low Performer")</f>
        <v>Low Performer</v>
      </c>
    </row>
    <row r="1299" spans="2:24" x14ac:dyDescent="0.3">
      <c r="B1299" t="s">
        <v>19</v>
      </c>
      <c r="C1299" t="s">
        <v>25</v>
      </c>
      <c r="D1299">
        <v>1</v>
      </c>
      <c r="E1299" t="s">
        <v>21</v>
      </c>
      <c r="F1299">
        <v>1</v>
      </c>
      <c r="G1299" t="s">
        <v>26</v>
      </c>
      <c r="H1299">
        <v>1</v>
      </c>
      <c r="I1299">
        <v>2367</v>
      </c>
      <c r="J1299">
        <v>12</v>
      </c>
      <c r="K1299">
        <v>3</v>
      </c>
      <c r="L1299">
        <v>1</v>
      </c>
      <c r="M1299">
        <v>10</v>
      </c>
      <c r="N1299">
        <v>3</v>
      </c>
      <c r="O1299">
        <v>2</v>
      </c>
      <c r="P1299">
        <v>8</v>
      </c>
      <c r="Q1299">
        <v>2</v>
      </c>
      <c r="R1299">
        <v>7</v>
      </c>
      <c r="S1299" t="s">
        <v>23</v>
      </c>
      <c r="T1299" t="s">
        <v>37</v>
      </c>
      <c r="U1299" t="str">
        <f>IF(Table1[[#This Row],[YearsSince
LastPromotion]]&gt; 4, "Delayed", "Normal")</f>
        <v>Delayed</v>
      </c>
      <c r="V1299" t="str">
        <f>IF(Table1[[#This Row],[Years
InCurrentRole]]&gt;4, "Role Stagnent", "Normal")</f>
        <v>Normal</v>
      </c>
      <c r="W1299" t="str">
        <f>IF(AND(Table1[[#This Row],[Years
InCurrentRole]]&gt; 4, Table1[[#This Row],[Performance
Rating]]&gt;=3), "High Risk", "Normal")</f>
        <v>Normal</v>
      </c>
      <c r="X1299" t="str">
        <f>IF(Table1[[#This Row],[Performance
Rating]]&gt;=4, "High Performer", "Low Performer")</f>
        <v>Low Performer</v>
      </c>
    </row>
    <row r="1300" spans="2:24" x14ac:dyDescent="0.3">
      <c r="B1300" t="s">
        <v>27</v>
      </c>
      <c r="C1300" t="s">
        <v>25</v>
      </c>
      <c r="D1300">
        <v>1</v>
      </c>
      <c r="E1300" t="s">
        <v>28</v>
      </c>
      <c r="F1300">
        <v>2</v>
      </c>
      <c r="G1300" t="s">
        <v>26</v>
      </c>
      <c r="H1300">
        <v>2</v>
      </c>
      <c r="I1300">
        <v>4941</v>
      </c>
      <c r="J1300">
        <v>15</v>
      </c>
      <c r="K1300">
        <v>3</v>
      </c>
      <c r="L1300">
        <v>0</v>
      </c>
      <c r="M1300">
        <v>11</v>
      </c>
      <c r="N1300">
        <v>3</v>
      </c>
      <c r="O1300">
        <v>2</v>
      </c>
      <c r="P1300">
        <v>8</v>
      </c>
      <c r="Q1300">
        <v>2</v>
      </c>
      <c r="R1300">
        <v>7</v>
      </c>
      <c r="S1300" t="s">
        <v>23</v>
      </c>
      <c r="T1300" t="s">
        <v>37</v>
      </c>
      <c r="U1300" t="str">
        <f>IF(Table1[[#This Row],[YearsSince
LastPromotion]]&gt; 4, "Delayed", "Normal")</f>
        <v>Delayed</v>
      </c>
      <c r="V1300" t="str">
        <f>IF(Table1[[#This Row],[Years
InCurrentRole]]&gt;4, "Role Stagnent", "Normal")</f>
        <v>Normal</v>
      </c>
      <c r="W1300" t="str">
        <f>IF(AND(Table1[[#This Row],[Years
InCurrentRole]]&gt; 4, Table1[[#This Row],[Performance
Rating]]&gt;=3), "High Risk", "Normal")</f>
        <v>Normal</v>
      </c>
      <c r="X1300" t="str">
        <f>IF(Table1[[#This Row],[Performance
Rating]]&gt;=4, "High Performer", "Low Performer")</f>
        <v>Low Performer</v>
      </c>
    </row>
    <row r="1301" spans="2:24" x14ac:dyDescent="0.3">
      <c r="B1301" t="s">
        <v>27</v>
      </c>
      <c r="C1301" t="s">
        <v>25</v>
      </c>
      <c r="D1301">
        <v>1</v>
      </c>
      <c r="E1301" t="s">
        <v>21</v>
      </c>
      <c r="F1301">
        <v>1</v>
      </c>
      <c r="G1301" t="s">
        <v>26</v>
      </c>
      <c r="H1301">
        <v>3</v>
      </c>
      <c r="I1301">
        <v>2394</v>
      </c>
      <c r="J1301">
        <v>13</v>
      </c>
      <c r="K1301">
        <v>3</v>
      </c>
      <c r="L1301">
        <v>0</v>
      </c>
      <c r="M1301">
        <v>8</v>
      </c>
      <c r="N1301">
        <v>2</v>
      </c>
      <c r="O1301">
        <v>3</v>
      </c>
      <c r="P1301">
        <v>8</v>
      </c>
      <c r="Q1301">
        <v>2</v>
      </c>
      <c r="R1301">
        <v>7</v>
      </c>
      <c r="S1301" t="s">
        <v>34</v>
      </c>
      <c r="T1301" t="s">
        <v>37</v>
      </c>
      <c r="U1301" t="str">
        <f>IF(Table1[[#This Row],[YearsSince
LastPromotion]]&gt; 4, "Delayed", "Normal")</f>
        <v>Delayed</v>
      </c>
      <c r="V1301" t="str">
        <f>IF(Table1[[#This Row],[Years
InCurrentRole]]&gt;4, "Role Stagnent", "Normal")</f>
        <v>Normal</v>
      </c>
      <c r="W1301" t="str">
        <f>IF(AND(Table1[[#This Row],[Years
InCurrentRole]]&gt; 4, Table1[[#This Row],[Performance
Rating]]&gt;=3), "High Risk", "Normal")</f>
        <v>Normal</v>
      </c>
      <c r="X1301" t="str">
        <f>IF(Table1[[#This Row],[Performance
Rating]]&gt;=4, "High Performer", "Low Performer")</f>
        <v>Low Performer</v>
      </c>
    </row>
    <row r="1302" spans="2:24" x14ac:dyDescent="0.3">
      <c r="B1302" t="s">
        <v>27</v>
      </c>
      <c r="C1302" t="s">
        <v>25</v>
      </c>
      <c r="D1302">
        <v>1</v>
      </c>
      <c r="E1302" t="s">
        <v>21</v>
      </c>
      <c r="F1302">
        <v>1</v>
      </c>
      <c r="G1302" t="s">
        <v>26</v>
      </c>
      <c r="H1302">
        <v>2</v>
      </c>
      <c r="I1302">
        <v>2022</v>
      </c>
      <c r="J1302">
        <v>19</v>
      </c>
      <c r="K1302">
        <v>3</v>
      </c>
      <c r="L1302">
        <v>1</v>
      </c>
      <c r="M1302">
        <v>10</v>
      </c>
      <c r="N1302">
        <v>3</v>
      </c>
      <c r="O1302">
        <v>2</v>
      </c>
      <c r="P1302">
        <v>10</v>
      </c>
      <c r="Q1302">
        <v>2</v>
      </c>
      <c r="R1302">
        <v>7</v>
      </c>
      <c r="S1302" t="s">
        <v>23</v>
      </c>
      <c r="T1302" t="s">
        <v>37</v>
      </c>
      <c r="U1302" t="str">
        <f>IF(Table1[[#This Row],[YearsSince
LastPromotion]]&gt; 4, "Delayed", "Normal")</f>
        <v>Delayed</v>
      </c>
      <c r="V1302" t="str">
        <f>IF(Table1[[#This Row],[Years
InCurrentRole]]&gt;4, "Role Stagnent", "Normal")</f>
        <v>Normal</v>
      </c>
      <c r="W1302" t="str">
        <f>IF(AND(Table1[[#This Row],[Years
InCurrentRole]]&gt; 4, Table1[[#This Row],[Performance
Rating]]&gt;=3), "High Risk", "Normal")</f>
        <v>Normal</v>
      </c>
      <c r="X1302" t="str">
        <f>IF(Table1[[#This Row],[Performance
Rating]]&gt;=4, "High Performer", "Low Performer")</f>
        <v>Low Performer</v>
      </c>
    </row>
    <row r="1303" spans="2:24" x14ac:dyDescent="0.3">
      <c r="B1303" t="s">
        <v>19</v>
      </c>
      <c r="C1303" t="s">
        <v>36</v>
      </c>
      <c r="D1303">
        <v>1</v>
      </c>
      <c r="E1303" t="s">
        <v>28</v>
      </c>
      <c r="F1303">
        <v>5</v>
      </c>
      <c r="G1303" t="s">
        <v>22</v>
      </c>
      <c r="H1303">
        <v>2</v>
      </c>
      <c r="I1303">
        <v>19717</v>
      </c>
      <c r="J1303">
        <v>14</v>
      </c>
      <c r="K1303">
        <v>3</v>
      </c>
      <c r="L1303">
        <v>0</v>
      </c>
      <c r="M1303">
        <v>36</v>
      </c>
      <c r="N1303">
        <v>4</v>
      </c>
      <c r="O1303">
        <v>3</v>
      </c>
      <c r="P1303">
        <v>7</v>
      </c>
      <c r="Q1303">
        <v>3</v>
      </c>
      <c r="R1303">
        <v>7</v>
      </c>
      <c r="S1303" t="s">
        <v>34</v>
      </c>
      <c r="T1303" t="s">
        <v>37</v>
      </c>
      <c r="U1303" t="str">
        <f>IF(Table1[[#This Row],[YearsSince
LastPromotion]]&gt; 4, "Delayed", "Normal")</f>
        <v>Delayed</v>
      </c>
      <c r="V1303" t="str">
        <f>IF(Table1[[#This Row],[Years
InCurrentRole]]&gt;4, "Role Stagnent", "Normal")</f>
        <v>Normal</v>
      </c>
      <c r="W1303" t="str">
        <f>IF(AND(Table1[[#This Row],[Years
InCurrentRole]]&gt; 4, Table1[[#This Row],[Performance
Rating]]&gt;=3), "High Risk", "Normal")</f>
        <v>Normal</v>
      </c>
      <c r="X1303" t="str">
        <f>IF(Table1[[#This Row],[Performance
Rating]]&gt;=4, "High Performer", "Low Performer")</f>
        <v>Low Performer</v>
      </c>
    </row>
    <row r="1304" spans="2:24" x14ac:dyDescent="0.3">
      <c r="B1304" t="s">
        <v>19</v>
      </c>
      <c r="C1304" t="s">
        <v>25</v>
      </c>
      <c r="D1304">
        <v>1</v>
      </c>
      <c r="E1304" t="s">
        <v>28</v>
      </c>
      <c r="F1304">
        <v>2</v>
      </c>
      <c r="G1304" t="s">
        <v>33</v>
      </c>
      <c r="H1304">
        <v>3</v>
      </c>
      <c r="I1304">
        <v>5321</v>
      </c>
      <c r="J1304">
        <v>11</v>
      </c>
      <c r="K1304">
        <v>3</v>
      </c>
      <c r="L1304">
        <v>1</v>
      </c>
      <c r="M1304">
        <v>10</v>
      </c>
      <c r="N1304">
        <v>1</v>
      </c>
      <c r="O1304">
        <v>3</v>
      </c>
      <c r="P1304">
        <v>8</v>
      </c>
      <c r="Q1304">
        <v>3</v>
      </c>
      <c r="R1304">
        <v>7</v>
      </c>
      <c r="S1304" t="s">
        <v>34</v>
      </c>
      <c r="T1304" t="s">
        <v>37</v>
      </c>
      <c r="U1304" t="str">
        <f>IF(Table1[[#This Row],[YearsSince
LastPromotion]]&gt; 4, "Delayed", "Normal")</f>
        <v>Delayed</v>
      </c>
      <c r="V1304" t="str">
        <f>IF(Table1[[#This Row],[Years
InCurrentRole]]&gt;4, "Role Stagnent", "Normal")</f>
        <v>Normal</v>
      </c>
      <c r="W1304" t="str">
        <f>IF(AND(Table1[[#This Row],[Years
InCurrentRole]]&gt; 4, Table1[[#This Row],[Performance
Rating]]&gt;=3), "High Risk", "Normal")</f>
        <v>Normal</v>
      </c>
      <c r="X1304" t="str">
        <f>IF(Table1[[#This Row],[Performance
Rating]]&gt;=4, "High Performer", "Low Performer")</f>
        <v>Low Performer</v>
      </c>
    </row>
    <row r="1305" spans="2:24" x14ac:dyDescent="0.3">
      <c r="B1305" t="s">
        <v>19</v>
      </c>
      <c r="C1305" t="s">
        <v>25</v>
      </c>
      <c r="D1305">
        <v>1</v>
      </c>
      <c r="E1305" t="s">
        <v>21</v>
      </c>
      <c r="F1305">
        <v>2</v>
      </c>
      <c r="G1305" t="s">
        <v>31</v>
      </c>
      <c r="H1305">
        <v>1</v>
      </c>
      <c r="I1305">
        <v>4448</v>
      </c>
      <c r="J1305">
        <v>12</v>
      </c>
      <c r="K1305">
        <v>3</v>
      </c>
      <c r="L1305">
        <v>1</v>
      </c>
      <c r="M1305">
        <v>15</v>
      </c>
      <c r="N1305">
        <v>3</v>
      </c>
      <c r="O1305">
        <v>3</v>
      </c>
      <c r="P1305">
        <v>7</v>
      </c>
      <c r="Q1305">
        <v>4</v>
      </c>
      <c r="R1305">
        <v>7</v>
      </c>
      <c r="S1305" t="s">
        <v>34</v>
      </c>
      <c r="T1305" t="s">
        <v>37</v>
      </c>
      <c r="U1305" t="str">
        <f>IF(Table1[[#This Row],[YearsSince
LastPromotion]]&gt; 4, "Delayed", "Normal")</f>
        <v>Delayed</v>
      </c>
      <c r="V1305" t="str">
        <f>IF(Table1[[#This Row],[Years
InCurrentRole]]&gt;4, "Role Stagnent", "Normal")</f>
        <v>Normal</v>
      </c>
      <c r="W1305" t="str">
        <f>IF(AND(Table1[[#This Row],[Years
InCurrentRole]]&gt; 4, Table1[[#This Row],[Performance
Rating]]&gt;=3), "High Risk", "Normal")</f>
        <v>Normal</v>
      </c>
      <c r="X1305" t="str">
        <f>IF(Table1[[#This Row],[Performance
Rating]]&gt;=4, "High Performer", "Low Performer")</f>
        <v>Low Performer</v>
      </c>
    </row>
    <row r="1306" spans="2:24" x14ac:dyDescent="0.3">
      <c r="B1306" t="s">
        <v>19</v>
      </c>
      <c r="C1306" t="s">
        <v>25</v>
      </c>
      <c r="D1306">
        <v>1</v>
      </c>
      <c r="E1306" t="s">
        <v>21</v>
      </c>
      <c r="F1306">
        <v>1</v>
      </c>
      <c r="G1306" t="s">
        <v>26</v>
      </c>
      <c r="H1306">
        <v>2</v>
      </c>
      <c r="I1306">
        <v>3936</v>
      </c>
      <c r="J1306">
        <v>11</v>
      </c>
      <c r="K1306">
        <v>3</v>
      </c>
      <c r="L1306">
        <v>1</v>
      </c>
      <c r="M1306">
        <v>8</v>
      </c>
      <c r="N1306">
        <v>2</v>
      </c>
      <c r="O1306">
        <v>1</v>
      </c>
      <c r="P1306">
        <v>8</v>
      </c>
      <c r="Q1306">
        <v>4</v>
      </c>
      <c r="R1306">
        <v>7</v>
      </c>
      <c r="S1306" t="s">
        <v>23</v>
      </c>
      <c r="T1306" t="s">
        <v>37</v>
      </c>
      <c r="U1306" t="str">
        <f>IF(Table1[[#This Row],[YearsSince
LastPromotion]]&gt; 4, "Delayed", "Normal")</f>
        <v>Delayed</v>
      </c>
      <c r="V1306" t="str">
        <f>IF(Table1[[#This Row],[Years
InCurrentRole]]&gt;4, "Role Stagnent", "Normal")</f>
        <v>Normal</v>
      </c>
      <c r="W1306" t="str">
        <f>IF(AND(Table1[[#This Row],[Years
InCurrentRole]]&gt; 4, Table1[[#This Row],[Performance
Rating]]&gt;=3), "High Risk", "Normal")</f>
        <v>Normal</v>
      </c>
      <c r="X1306" t="str">
        <f>IF(Table1[[#This Row],[Performance
Rating]]&gt;=4, "High Performer", "Low Performer")</f>
        <v>Low Performer</v>
      </c>
    </row>
    <row r="1307" spans="2:24" x14ac:dyDescent="0.3">
      <c r="B1307" t="s">
        <v>19</v>
      </c>
      <c r="C1307" t="s">
        <v>20</v>
      </c>
      <c r="D1307">
        <v>1</v>
      </c>
      <c r="E1307" t="s">
        <v>28</v>
      </c>
      <c r="F1307">
        <v>3</v>
      </c>
      <c r="G1307" t="s">
        <v>32</v>
      </c>
      <c r="H1307">
        <v>3</v>
      </c>
      <c r="I1307">
        <v>7264</v>
      </c>
      <c r="J1307">
        <v>11</v>
      </c>
      <c r="K1307">
        <v>3</v>
      </c>
      <c r="L1307">
        <v>1</v>
      </c>
      <c r="M1307">
        <v>10</v>
      </c>
      <c r="N1307">
        <v>2</v>
      </c>
      <c r="O1307">
        <v>4</v>
      </c>
      <c r="P1307">
        <v>8</v>
      </c>
      <c r="Q1307">
        <v>4</v>
      </c>
      <c r="R1307">
        <v>7</v>
      </c>
      <c r="S1307" t="s">
        <v>34</v>
      </c>
      <c r="T1307" t="s">
        <v>37</v>
      </c>
      <c r="U1307" t="str">
        <f>IF(Table1[[#This Row],[YearsSince
LastPromotion]]&gt; 4, "Delayed", "Normal")</f>
        <v>Delayed</v>
      </c>
      <c r="V1307" t="str">
        <f>IF(Table1[[#This Row],[Years
InCurrentRole]]&gt;4, "Role Stagnent", "Normal")</f>
        <v>Normal</v>
      </c>
      <c r="W1307" t="str">
        <f>IF(AND(Table1[[#This Row],[Years
InCurrentRole]]&gt; 4, Table1[[#This Row],[Performance
Rating]]&gt;=3), "High Risk", "Normal")</f>
        <v>Normal</v>
      </c>
      <c r="X1307" t="str">
        <f>IF(Table1[[#This Row],[Performance
Rating]]&gt;=4, "High Performer", "Low Performer")</f>
        <v>Low Performer</v>
      </c>
    </row>
    <row r="1308" spans="2:24" x14ac:dyDescent="0.3">
      <c r="B1308" t="s">
        <v>19</v>
      </c>
      <c r="C1308" t="s">
        <v>20</v>
      </c>
      <c r="D1308">
        <v>1</v>
      </c>
      <c r="E1308" t="s">
        <v>28</v>
      </c>
      <c r="F1308">
        <v>2</v>
      </c>
      <c r="G1308" t="s">
        <v>32</v>
      </c>
      <c r="H1308">
        <v>1</v>
      </c>
      <c r="I1308">
        <v>5473</v>
      </c>
      <c r="J1308">
        <v>12</v>
      </c>
      <c r="K1308">
        <v>3</v>
      </c>
      <c r="L1308">
        <v>0</v>
      </c>
      <c r="M1308">
        <v>9</v>
      </c>
      <c r="N1308">
        <v>5</v>
      </c>
      <c r="O1308">
        <v>4</v>
      </c>
      <c r="P1308">
        <v>8</v>
      </c>
      <c r="Q1308">
        <v>4</v>
      </c>
      <c r="R1308">
        <v>7</v>
      </c>
      <c r="S1308" t="s">
        <v>34</v>
      </c>
      <c r="T1308" t="s">
        <v>37</v>
      </c>
      <c r="U1308" t="str">
        <f>IF(Table1[[#This Row],[YearsSince
LastPromotion]]&gt; 4, "Delayed", "Normal")</f>
        <v>Delayed</v>
      </c>
      <c r="V1308" t="str">
        <f>IF(Table1[[#This Row],[Years
InCurrentRole]]&gt;4, "Role Stagnent", "Normal")</f>
        <v>Normal</v>
      </c>
      <c r="W1308" t="str">
        <f>IF(AND(Table1[[#This Row],[Years
InCurrentRole]]&gt; 4, Table1[[#This Row],[Performance
Rating]]&gt;=3), "High Risk", "Normal")</f>
        <v>Normal</v>
      </c>
      <c r="X1308" t="str">
        <f>IF(Table1[[#This Row],[Performance
Rating]]&gt;=4, "High Performer", "Low Performer")</f>
        <v>Low Performer</v>
      </c>
    </row>
    <row r="1309" spans="2:24" x14ac:dyDescent="0.3">
      <c r="B1309" t="s">
        <v>19</v>
      </c>
      <c r="C1309" t="s">
        <v>20</v>
      </c>
      <c r="D1309">
        <v>1</v>
      </c>
      <c r="E1309" t="s">
        <v>21</v>
      </c>
      <c r="F1309">
        <v>3</v>
      </c>
      <c r="G1309" t="s">
        <v>32</v>
      </c>
      <c r="H1309">
        <v>3</v>
      </c>
      <c r="I1309">
        <v>10686</v>
      </c>
      <c r="J1309">
        <v>11</v>
      </c>
      <c r="K1309">
        <v>3</v>
      </c>
      <c r="L1309">
        <v>1</v>
      </c>
      <c r="M1309">
        <v>13</v>
      </c>
      <c r="N1309">
        <v>4</v>
      </c>
      <c r="O1309">
        <v>3</v>
      </c>
      <c r="P1309">
        <v>9</v>
      </c>
      <c r="Q1309">
        <v>4</v>
      </c>
      <c r="R1309">
        <v>7</v>
      </c>
      <c r="S1309" t="s">
        <v>34</v>
      </c>
      <c r="T1309" t="s">
        <v>37</v>
      </c>
      <c r="U1309" t="str">
        <f>IF(Table1[[#This Row],[YearsSince
LastPromotion]]&gt; 4, "Delayed", "Normal")</f>
        <v>Delayed</v>
      </c>
      <c r="V1309" t="str">
        <f>IF(Table1[[#This Row],[Years
InCurrentRole]]&gt;4, "Role Stagnent", "Normal")</f>
        <v>Normal</v>
      </c>
      <c r="W1309" t="str">
        <f>IF(AND(Table1[[#This Row],[Years
InCurrentRole]]&gt; 4, Table1[[#This Row],[Performance
Rating]]&gt;=3), "High Risk", "Normal")</f>
        <v>Normal</v>
      </c>
      <c r="X1309" t="str">
        <f>IF(Table1[[#This Row],[Performance
Rating]]&gt;=4, "High Performer", "Low Performer")</f>
        <v>Low Performer</v>
      </c>
    </row>
    <row r="1310" spans="2:24" x14ac:dyDescent="0.3">
      <c r="B1310" t="s">
        <v>19</v>
      </c>
      <c r="C1310" t="s">
        <v>20</v>
      </c>
      <c r="D1310">
        <v>1</v>
      </c>
      <c r="E1310" t="s">
        <v>28</v>
      </c>
      <c r="F1310">
        <v>3</v>
      </c>
      <c r="G1310" t="s">
        <v>32</v>
      </c>
      <c r="H1310">
        <v>2</v>
      </c>
      <c r="I1310">
        <v>8834</v>
      </c>
      <c r="J1310">
        <v>13</v>
      </c>
      <c r="K1310">
        <v>3</v>
      </c>
      <c r="L1310">
        <v>1</v>
      </c>
      <c r="M1310">
        <v>9</v>
      </c>
      <c r="N1310">
        <v>6</v>
      </c>
      <c r="O1310">
        <v>3</v>
      </c>
      <c r="P1310">
        <v>9</v>
      </c>
      <c r="Q1310">
        <v>5</v>
      </c>
      <c r="R1310">
        <v>7</v>
      </c>
      <c r="S1310" t="s">
        <v>34</v>
      </c>
      <c r="T1310" t="s">
        <v>37</v>
      </c>
      <c r="U1310" t="str">
        <f>IF(Table1[[#This Row],[YearsSince
LastPromotion]]&gt; 4, "Delayed", "Normal")</f>
        <v>Delayed</v>
      </c>
      <c r="V1310" t="str">
        <f>IF(Table1[[#This Row],[Years
InCurrentRole]]&gt;4, "Role Stagnent", "Normal")</f>
        <v>Role Stagnent</v>
      </c>
      <c r="W1310" t="str">
        <f>IF(AND(Table1[[#This Row],[Years
InCurrentRole]]&gt; 4, Table1[[#This Row],[Performance
Rating]]&gt;=3), "High Risk", "Normal")</f>
        <v>High Risk</v>
      </c>
      <c r="X1310" t="str">
        <f>IF(Table1[[#This Row],[Performance
Rating]]&gt;=4, "High Performer", "Low Performer")</f>
        <v>Low Performer</v>
      </c>
    </row>
    <row r="1311" spans="2:24" x14ac:dyDescent="0.3">
      <c r="B1311" t="s">
        <v>19</v>
      </c>
      <c r="C1311" t="s">
        <v>25</v>
      </c>
      <c r="D1311">
        <v>1</v>
      </c>
      <c r="E1311" t="s">
        <v>21</v>
      </c>
      <c r="F1311">
        <v>1</v>
      </c>
      <c r="G1311" t="s">
        <v>26</v>
      </c>
      <c r="H1311">
        <v>4</v>
      </c>
      <c r="I1311">
        <v>2011</v>
      </c>
      <c r="J1311">
        <v>13</v>
      </c>
      <c r="K1311">
        <v>3</v>
      </c>
      <c r="L1311">
        <v>1</v>
      </c>
      <c r="M1311">
        <v>10</v>
      </c>
      <c r="N1311">
        <v>5</v>
      </c>
      <c r="O1311">
        <v>3</v>
      </c>
      <c r="P1311">
        <v>10</v>
      </c>
      <c r="Q1311">
        <v>5</v>
      </c>
      <c r="R1311">
        <v>7</v>
      </c>
      <c r="S1311" t="s">
        <v>34</v>
      </c>
      <c r="T1311" t="s">
        <v>37</v>
      </c>
      <c r="U1311" t="str">
        <f>IF(Table1[[#This Row],[YearsSince
LastPromotion]]&gt; 4, "Delayed", "Normal")</f>
        <v>Delayed</v>
      </c>
      <c r="V1311" t="str">
        <f>IF(Table1[[#This Row],[Years
InCurrentRole]]&gt;4, "Role Stagnent", "Normal")</f>
        <v>Role Stagnent</v>
      </c>
      <c r="W1311" t="str">
        <f>IF(AND(Table1[[#This Row],[Years
InCurrentRole]]&gt; 4, Table1[[#This Row],[Performance
Rating]]&gt;=3), "High Risk", "Normal")</f>
        <v>High Risk</v>
      </c>
      <c r="X1311" t="str">
        <f>IF(Table1[[#This Row],[Performance
Rating]]&gt;=4, "High Performer", "Low Performer")</f>
        <v>Low Performer</v>
      </c>
    </row>
    <row r="1312" spans="2:24" x14ac:dyDescent="0.3">
      <c r="B1312" t="s">
        <v>19</v>
      </c>
      <c r="C1312" t="s">
        <v>25</v>
      </c>
      <c r="D1312">
        <v>1</v>
      </c>
      <c r="E1312" t="s">
        <v>21</v>
      </c>
      <c r="F1312">
        <v>1</v>
      </c>
      <c r="G1312" t="s">
        <v>26</v>
      </c>
      <c r="H1312">
        <v>1</v>
      </c>
      <c r="I1312">
        <v>4774</v>
      </c>
      <c r="J1312">
        <v>19</v>
      </c>
      <c r="K1312">
        <v>3</v>
      </c>
      <c r="L1312">
        <v>1</v>
      </c>
      <c r="M1312">
        <v>8</v>
      </c>
      <c r="N1312">
        <v>2</v>
      </c>
      <c r="O1312">
        <v>2</v>
      </c>
      <c r="P1312">
        <v>7</v>
      </c>
      <c r="Q1312">
        <v>6</v>
      </c>
      <c r="R1312">
        <v>7</v>
      </c>
      <c r="S1312" t="s">
        <v>23</v>
      </c>
      <c r="T1312" t="s">
        <v>37</v>
      </c>
      <c r="U1312" t="str">
        <f>IF(Table1[[#This Row],[YearsSince
LastPromotion]]&gt; 4, "Delayed", "Normal")</f>
        <v>Delayed</v>
      </c>
      <c r="V1312" t="str">
        <f>IF(Table1[[#This Row],[Years
InCurrentRole]]&gt;4, "Role Stagnent", "Normal")</f>
        <v>Role Stagnent</v>
      </c>
      <c r="W1312" t="str">
        <f>IF(AND(Table1[[#This Row],[Years
InCurrentRole]]&gt; 4, Table1[[#This Row],[Performance
Rating]]&gt;=3), "High Risk", "Normal")</f>
        <v>High Risk</v>
      </c>
      <c r="X1312" t="str">
        <f>IF(Table1[[#This Row],[Performance
Rating]]&gt;=4, "High Performer", "Low Performer")</f>
        <v>Low Performer</v>
      </c>
    </row>
    <row r="1313" spans="2:24" x14ac:dyDescent="0.3">
      <c r="B1313" t="s">
        <v>19</v>
      </c>
      <c r="C1313" t="s">
        <v>25</v>
      </c>
      <c r="D1313">
        <v>1</v>
      </c>
      <c r="E1313" t="s">
        <v>28</v>
      </c>
      <c r="F1313">
        <v>4</v>
      </c>
      <c r="G1313" t="s">
        <v>22</v>
      </c>
      <c r="H1313">
        <v>1</v>
      </c>
      <c r="I1313">
        <v>17181</v>
      </c>
      <c r="J1313">
        <v>13</v>
      </c>
      <c r="K1313">
        <v>3</v>
      </c>
      <c r="L1313">
        <v>1</v>
      </c>
      <c r="M1313">
        <v>21</v>
      </c>
      <c r="N1313">
        <v>2</v>
      </c>
      <c r="O1313">
        <v>2</v>
      </c>
      <c r="P1313">
        <v>7</v>
      </c>
      <c r="Q1313">
        <v>6</v>
      </c>
      <c r="R1313">
        <v>7</v>
      </c>
      <c r="S1313" t="s">
        <v>23</v>
      </c>
      <c r="T1313" t="s">
        <v>37</v>
      </c>
      <c r="U1313" t="str">
        <f>IF(Table1[[#This Row],[YearsSince
LastPromotion]]&gt; 4, "Delayed", "Normal")</f>
        <v>Delayed</v>
      </c>
      <c r="V1313" t="str">
        <f>IF(Table1[[#This Row],[Years
InCurrentRole]]&gt;4, "Role Stagnent", "Normal")</f>
        <v>Role Stagnent</v>
      </c>
      <c r="W1313" t="str">
        <f>IF(AND(Table1[[#This Row],[Years
InCurrentRole]]&gt; 4, Table1[[#This Row],[Performance
Rating]]&gt;=3), "High Risk", "Normal")</f>
        <v>High Risk</v>
      </c>
      <c r="X1313" t="str">
        <f>IF(Table1[[#This Row],[Performance
Rating]]&gt;=4, "High Performer", "Low Performer")</f>
        <v>Low Performer</v>
      </c>
    </row>
    <row r="1314" spans="2:24" x14ac:dyDescent="0.3">
      <c r="B1314" t="s">
        <v>19</v>
      </c>
      <c r="C1314" t="s">
        <v>20</v>
      </c>
      <c r="D1314">
        <v>1</v>
      </c>
      <c r="E1314" t="s">
        <v>21</v>
      </c>
      <c r="F1314">
        <v>2</v>
      </c>
      <c r="G1314" t="s">
        <v>32</v>
      </c>
      <c r="H1314">
        <v>4</v>
      </c>
      <c r="I1314">
        <v>4537</v>
      </c>
      <c r="J1314">
        <v>22</v>
      </c>
      <c r="K1314">
        <v>4</v>
      </c>
      <c r="L1314">
        <v>1</v>
      </c>
      <c r="M1314">
        <v>8</v>
      </c>
      <c r="N1314">
        <v>2</v>
      </c>
      <c r="O1314">
        <v>3</v>
      </c>
      <c r="P1314">
        <v>7</v>
      </c>
      <c r="Q1314">
        <v>6</v>
      </c>
      <c r="R1314">
        <v>7</v>
      </c>
      <c r="S1314" t="s">
        <v>34</v>
      </c>
      <c r="T1314" t="s">
        <v>37</v>
      </c>
      <c r="U1314" t="str">
        <f>IF(Table1[[#This Row],[YearsSince
LastPromotion]]&gt; 4, "Delayed", "Normal")</f>
        <v>Delayed</v>
      </c>
      <c r="V1314" t="str">
        <f>IF(Table1[[#This Row],[Years
InCurrentRole]]&gt;4, "Role Stagnent", "Normal")</f>
        <v>Role Stagnent</v>
      </c>
      <c r="W1314" t="str">
        <f>IF(AND(Table1[[#This Row],[Years
InCurrentRole]]&gt; 4, Table1[[#This Row],[Performance
Rating]]&gt;=3), "High Risk", "Normal")</f>
        <v>High Risk</v>
      </c>
      <c r="X1314" t="str">
        <f>IF(Table1[[#This Row],[Performance
Rating]]&gt;=4, "High Performer", "Low Performer")</f>
        <v>High Performer</v>
      </c>
    </row>
    <row r="1315" spans="2:24" x14ac:dyDescent="0.3">
      <c r="B1315" t="s">
        <v>19</v>
      </c>
      <c r="C1315" t="s">
        <v>20</v>
      </c>
      <c r="D1315">
        <v>1</v>
      </c>
      <c r="E1315" t="s">
        <v>28</v>
      </c>
      <c r="F1315">
        <v>3</v>
      </c>
      <c r="G1315" t="s">
        <v>32</v>
      </c>
      <c r="H1315">
        <v>3</v>
      </c>
      <c r="I1315">
        <v>8237</v>
      </c>
      <c r="J1315">
        <v>11</v>
      </c>
      <c r="K1315">
        <v>3</v>
      </c>
      <c r="L1315">
        <v>1</v>
      </c>
      <c r="M1315">
        <v>11</v>
      </c>
      <c r="N1315">
        <v>3</v>
      </c>
      <c r="O1315">
        <v>3</v>
      </c>
      <c r="P1315">
        <v>7</v>
      </c>
      <c r="Q1315">
        <v>6</v>
      </c>
      <c r="R1315">
        <v>7</v>
      </c>
      <c r="S1315" t="s">
        <v>34</v>
      </c>
      <c r="T1315" t="s">
        <v>37</v>
      </c>
      <c r="U1315" t="str">
        <f>IF(Table1[[#This Row],[YearsSince
LastPromotion]]&gt; 4, "Delayed", "Normal")</f>
        <v>Delayed</v>
      </c>
      <c r="V1315" t="str">
        <f>IF(Table1[[#This Row],[Years
InCurrentRole]]&gt;4, "Role Stagnent", "Normal")</f>
        <v>Role Stagnent</v>
      </c>
      <c r="W1315" t="str">
        <f>IF(AND(Table1[[#This Row],[Years
InCurrentRole]]&gt; 4, Table1[[#This Row],[Performance
Rating]]&gt;=3), "High Risk", "Normal")</f>
        <v>High Risk</v>
      </c>
      <c r="X1315" t="str">
        <f>IF(Table1[[#This Row],[Performance
Rating]]&gt;=4, "High Performer", "Low Performer")</f>
        <v>Low Performer</v>
      </c>
    </row>
    <row r="1316" spans="2:24" x14ac:dyDescent="0.3">
      <c r="B1316" t="s">
        <v>27</v>
      </c>
      <c r="C1316" t="s">
        <v>25</v>
      </c>
      <c r="D1316">
        <v>1</v>
      </c>
      <c r="E1316" t="s">
        <v>28</v>
      </c>
      <c r="F1316">
        <v>3</v>
      </c>
      <c r="G1316" t="s">
        <v>22</v>
      </c>
      <c r="H1316">
        <v>3</v>
      </c>
      <c r="I1316">
        <v>13610</v>
      </c>
      <c r="J1316">
        <v>12</v>
      </c>
      <c r="K1316">
        <v>3</v>
      </c>
      <c r="L1316">
        <v>0</v>
      </c>
      <c r="M1316">
        <v>15</v>
      </c>
      <c r="N1316">
        <v>2</v>
      </c>
      <c r="O1316">
        <v>4</v>
      </c>
      <c r="P1316">
        <v>7</v>
      </c>
      <c r="Q1316">
        <v>6</v>
      </c>
      <c r="R1316">
        <v>7</v>
      </c>
      <c r="S1316" t="s">
        <v>34</v>
      </c>
      <c r="T1316" t="s">
        <v>37</v>
      </c>
      <c r="U1316" t="str">
        <f>IF(Table1[[#This Row],[YearsSince
LastPromotion]]&gt; 4, "Delayed", "Normal")</f>
        <v>Delayed</v>
      </c>
      <c r="V1316" t="str">
        <f>IF(Table1[[#This Row],[Years
InCurrentRole]]&gt;4, "Role Stagnent", "Normal")</f>
        <v>Role Stagnent</v>
      </c>
      <c r="W1316" t="str">
        <f>IF(AND(Table1[[#This Row],[Years
InCurrentRole]]&gt; 4, Table1[[#This Row],[Performance
Rating]]&gt;=3), "High Risk", "Normal")</f>
        <v>High Risk</v>
      </c>
      <c r="X1316" t="str">
        <f>IF(Table1[[#This Row],[Performance
Rating]]&gt;=4, "High Performer", "Low Performer")</f>
        <v>Low Performer</v>
      </c>
    </row>
    <row r="1317" spans="2:24" x14ac:dyDescent="0.3">
      <c r="B1317" t="s">
        <v>19</v>
      </c>
      <c r="C1317" t="s">
        <v>25</v>
      </c>
      <c r="D1317">
        <v>1</v>
      </c>
      <c r="E1317" t="s">
        <v>21</v>
      </c>
      <c r="F1317">
        <v>1</v>
      </c>
      <c r="G1317" t="s">
        <v>29</v>
      </c>
      <c r="H1317">
        <v>1</v>
      </c>
      <c r="I1317">
        <v>2593</v>
      </c>
      <c r="J1317">
        <v>11</v>
      </c>
      <c r="K1317">
        <v>3</v>
      </c>
      <c r="L1317">
        <v>1</v>
      </c>
      <c r="M1317">
        <v>10</v>
      </c>
      <c r="N1317">
        <v>4</v>
      </c>
      <c r="O1317">
        <v>3</v>
      </c>
      <c r="P1317">
        <v>9</v>
      </c>
      <c r="Q1317">
        <v>6</v>
      </c>
      <c r="R1317">
        <v>7</v>
      </c>
      <c r="S1317" t="s">
        <v>34</v>
      </c>
      <c r="T1317" t="s">
        <v>37</v>
      </c>
      <c r="U1317" t="str">
        <f>IF(Table1[[#This Row],[YearsSince
LastPromotion]]&gt; 4, "Delayed", "Normal")</f>
        <v>Delayed</v>
      </c>
      <c r="V1317" t="str">
        <f>IF(Table1[[#This Row],[Years
InCurrentRole]]&gt;4, "Role Stagnent", "Normal")</f>
        <v>Role Stagnent</v>
      </c>
      <c r="W1317" t="str">
        <f>IF(AND(Table1[[#This Row],[Years
InCurrentRole]]&gt; 4, Table1[[#This Row],[Performance
Rating]]&gt;=3), "High Risk", "Normal")</f>
        <v>High Risk</v>
      </c>
      <c r="X1317" t="str">
        <f>IF(Table1[[#This Row],[Performance
Rating]]&gt;=4, "High Performer", "Low Performer")</f>
        <v>Low Performer</v>
      </c>
    </row>
    <row r="1318" spans="2:24" x14ac:dyDescent="0.3">
      <c r="B1318" t="s">
        <v>19</v>
      </c>
      <c r="C1318" t="s">
        <v>20</v>
      </c>
      <c r="D1318">
        <v>1</v>
      </c>
      <c r="E1318" t="s">
        <v>21</v>
      </c>
      <c r="F1318">
        <v>4</v>
      </c>
      <c r="G1318" t="s">
        <v>32</v>
      </c>
      <c r="H1318">
        <v>1</v>
      </c>
      <c r="I1318">
        <v>13212</v>
      </c>
      <c r="J1318">
        <v>11</v>
      </c>
      <c r="K1318">
        <v>3</v>
      </c>
      <c r="L1318">
        <v>3</v>
      </c>
      <c r="M1318">
        <v>36</v>
      </c>
      <c r="N1318">
        <v>0</v>
      </c>
      <c r="O1318">
        <v>2</v>
      </c>
      <c r="P1318">
        <v>7</v>
      </c>
      <c r="Q1318">
        <v>7</v>
      </c>
      <c r="R1318">
        <v>7</v>
      </c>
      <c r="S1318" t="s">
        <v>23</v>
      </c>
      <c r="T1318" t="s">
        <v>37</v>
      </c>
      <c r="U1318" t="str">
        <f>IF(Table1[[#This Row],[YearsSince
LastPromotion]]&gt; 4, "Delayed", "Normal")</f>
        <v>Delayed</v>
      </c>
      <c r="V1318" t="str">
        <f>IF(Table1[[#This Row],[Years
InCurrentRole]]&gt;4, "Role Stagnent", "Normal")</f>
        <v>Role Stagnent</v>
      </c>
      <c r="W1318" t="str">
        <f>IF(AND(Table1[[#This Row],[Years
InCurrentRole]]&gt; 4, Table1[[#This Row],[Performance
Rating]]&gt;=3), "High Risk", "Normal")</f>
        <v>High Risk</v>
      </c>
      <c r="X1318" t="str">
        <f>IF(Table1[[#This Row],[Performance
Rating]]&gt;=4, "High Performer", "Low Performer")</f>
        <v>Low Performer</v>
      </c>
    </row>
    <row r="1319" spans="2:24" x14ac:dyDescent="0.3">
      <c r="B1319" t="s">
        <v>19</v>
      </c>
      <c r="C1319" t="s">
        <v>20</v>
      </c>
      <c r="D1319">
        <v>1</v>
      </c>
      <c r="E1319" t="s">
        <v>21</v>
      </c>
      <c r="F1319">
        <v>4</v>
      </c>
      <c r="G1319" t="s">
        <v>22</v>
      </c>
      <c r="H1319">
        <v>2</v>
      </c>
      <c r="I1319">
        <v>16872</v>
      </c>
      <c r="J1319">
        <v>12</v>
      </c>
      <c r="K1319">
        <v>3</v>
      </c>
      <c r="L1319">
        <v>1</v>
      </c>
      <c r="M1319">
        <v>28</v>
      </c>
      <c r="N1319">
        <v>2</v>
      </c>
      <c r="O1319">
        <v>2</v>
      </c>
      <c r="P1319">
        <v>7</v>
      </c>
      <c r="Q1319">
        <v>7</v>
      </c>
      <c r="R1319">
        <v>7</v>
      </c>
      <c r="S1319" t="s">
        <v>23</v>
      </c>
      <c r="T1319" t="s">
        <v>37</v>
      </c>
      <c r="U1319" t="str">
        <f>IF(Table1[[#This Row],[YearsSince
LastPromotion]]&gt; 4, "Delayed", "Normal")</f>
        <v>Delayed</v>
      </c>
      <c r="V1319" t="str">
        <f>IF(Table1[[#This Row],[Years
InCurrentRole]]&gt;4, "Role Stagnent", "Normal")</f>
        <v>Role Stagnent</v>
      </c>
      <c r="W1319" t="str">
        <f>IF(AND(Table1[[#This Row],[Years
InCurrentRole]]&gt; 4, Table1[[#This Row],[Performance
Rating]]&gt;=3), "High Risk", "Normal")</f>
        <v>High Risk</v>
      </c>
      <c r="X1319" t="str">
        <f>IF(Table1[[#This Row],[Performance
Rating]]&gt;=4, "High Performer", "Low Performer")</f>
        <v>Low Performer</v>
      </c>
    </row>
    <row r="1320" spans="2:24" x14ac:dyDescent="0.3">
      <c r="B1320" t="s">
        <v>19</v>
      </c>
      <c r="C1320" t="s">
        <v>20</v>
      </c>
      <c r="D1320">
        <v>1</v>
      </c>
      <c r="E1320" t="s">
        <v>28</v>
      </c>
      <c r="F1320">
        <v>2</v>
      </c>
      <c r="G1320" t="s">
        <v>32</v>
      </c>
      <c r="H1320">
        <v>1</v>
      </c>
      <c r="I1320">
        <v>8396</v>
      </c>
      <c r="J1320">
        <v>14</v>
      </c>
      <c r="K1320">
        <v>3</v>
      </c>
      <c r="L1320">
        <v>1</v>
      </c>
      <c r="M1320">
        <v>8</v>
      </c>
      <c r="N1320">
        <v>3</v>
      </c>
      <c r="O1320">
        <v>2</v>
      </c>
      <c r="P1320">
        <v>7</v>
      </c>
      <c r="Q1320">
        <v>7</v>
      </c>
      <c r="R1320">
        <v>7</v>
      </c>
      <c r="S1320" t="s">
        <v>23</v>
      </c>
      <c r="T1320" t="s">
        <v>37</v>
      </c>
      <c r="U1320" t="str">
        <f>IF(Table1[[#This Row],[YearsSince
LastPromotion]]&gt; 4, "Delayed", "Normal")</f>
        <v>Delayed</v>
      </c>
      <c r="V1320" t="str">
        <f>IF(Table1[[#This Row],[Years
InCurrentRole]]&gt;4, "Role Stagnent", "Normal")</f>
        <v>Role Stagnent</v>
      </c>
      <c r="W1320" t="str">
        <f>IF(AND(Table1[[#This Row],[Years
InCurrentRole]]&gt; 4, Table1[[#This Row],[Performance
Rating]]&gt;=3), "High Risk", "Normal")</f>
        <v>High Risk</v>
      </c>
      <c r="X1320" t="str">
        <f>IF(Table1[[#This Row],[Performance
Rating]]&gt;=4, "High Performer", "Low Performer")</f>
        <v>Low Performer</v>
      </c>
    </row>
    <row r="1321" spans="2:24" x14ac:dyDescent="0.3">
      <c r="B1321" t="s">
        <v>27</v>
      </c>
      <c r="C1321" t="s">
        <v>20</v>
      </c>
      <c r="D1321">
        <v>1</v>
      </c>
      <c r="E1321" t="s">
        <v>28</v>
      </c>
      <c r="F1321">
        <v>2</v>
      </c>
      <c r="G1321" t="s">
        <v>32</v>
      </c>
      <c r="H1321">
        <v>3</v>
      </c>
      <c r="I1321">
        <v>6172</v>
      </c>
      <c r="J1321">
        <v>18</v>
      </c>
      <c r="K1321">
        <v>3</v>
      </c>
      <c r="L1321">
        <v>0</v>
      </c>
      <c r="M1321">
        <v>12</v>
      </c>
      <c r="N1321">
        <v>3</v>
      </c>
      <c r="O1321">
        <v>2</v>
      </c>
      <c r="P1321">
        <v>7</v>
      </c>
      <c r="Q1321">
        <v>7</v>
      </c>
      <c r="R1321">
        <v>7</v>
      </c>
      <c r="S1321" t="s">
        <v>23</v>
      </c>
      <c r="T1321" t="s">
        <v>37</v>
      </c>
      <c r="U1321" t="str">
        <f>IF(Table1[[#This Row],[YearsSince
LastPromotion]]&gt; 4, "Delayed", "Normal")</f>
        <v>Delayed</v>
      </c>
      <c r="V1321" t="str">
        <f>IF(Table1[[#This Row],[Years
InCurrentRole]]&gt;4, "Role Stagnent", "Normal")</f>
        <v>Role Stagnent</v>
      </c>
      <c r="W1321" t="str">
        <f>IF(AND(Table1[[#This Row],[Years
InCurrentRole]]&gt; 4, Table1[[#This Row],[Performance
Rating]]&gt;=3), "High Risk", "Normal")</f>
        <v>High Risk</v>
      </c>
      <c r="X1321" t="str">
        <f>IF(Table1[[#This Row],[Performance
Rating]]&gt;=4, "High Performer", "Low Performer")</f>
        <v>Low Performer</v>
      </c>
    </row>
    <row r="1322" spans="2:24" x14ac:dyDescent="0.3">
      <c r="B1322" t="s">
        <v>19</v>
      </c>
      <c r="C1322" t="s">
        <v>25</v>
      </c>
      <c r="D1322">
        <v>1</v>
      </c>
      <c r="E1322" t="s">
        <v>28</v>
      </c>
      <c r="F1322">
        <v>2</v>
      </c>
      <c r="G1322" t="s">
        <v>31</v>
      </c>
      <c r="H1322">
        <v>3</v>
      </c>
      <c r="I1322">
        <v>5237</v>
      </c>
      <c r="J1322">
        <v>13</v>
      </c>
      <c r="K1322">
        <v>3</v>
      </c>
      <c r="L1322">
        <v>2</v>
      </c>
      <c r="M1322">
        <v>17</v>
      </c>
      <c r="N1322">
        <v>3</v>
      </c>
      <c r="O1322">
        <v>2</v>
      </c>
      <c r="P1322">
        <v>7</v>
      </c>
      <c r="Q1322">
        <v>7</v>
      </c>
      <c r="R1322">
        <v>7</v>
      </c>
      <c r="S1322" t="s">
        <v>23</v>
      </c>
      <c r="T1322" t="s">
        <v>37</v>
      </c>
      <c r="U1322" t="str">
        <f>IF(Table1[[#This Row],[YearsSince
LastPromotion]]&gt; 4, "Delayed", "Normal")</f>
        <v>Delayed</v>
      </c>
      <c r="V1322" t="str">
        <f>IF(Table1[[#This Row],[Years
InCurrentRole]]&gt;4, "Role Stagnent", "Normal")</f>
        <v>Role Stagnent</v>
      </c>
      <c r="W1322" t="str">
        <f>IF(AND(Table1[[#This Row],[Years
InCurrentRole]]&gt; 4, Table1[[#This Row],[Performance
Rating]]&gt;=3), "High Risk", "Normal")</f>
        <v>High Risk</v>
      </c>
      <c r="X1322" t="str">
        <f>IF(Table1[[#This Row],[Performance
Rating]]&gt;=4, "High Performer", "Low Performer")</f>
        <v>Low Performer</v>
      </c>
    </row>
    <row r="1323" spans="2:24" x14ac:dyDescent="0.3">
      <c r="B1323" t="s">
        <v>19</v>
      </c>
      <c r="C1323" t="s">
        <v>25</v>
      </c>
      <c r="D1323">
        <v>1</v>
      </c>
      <c r="E1323" t="s">
        <v>28</v>
      </c>
      <c r="F1323">
        <v>1</v>
      </c>
      <c r="G1323" t="s">
        <v>29</v>
      </c>
      <c r="H1323">
        <v>1</v>
      </c>
      <c r="I1323">
        <v>2867</v>
      </c>
      <c r="J1323">
        <v>13</v>
      </c>
      <c r="K1323">
        <v>3</v>
      </c>
      <c r="L1323">
        <v>0</v>
      </c>
      <c r="M1323">
        <v>8</v>
      </c>
      <c r="N1323">
        <v>6</v>
      </c>
      <c r="O1323">
        <v>2</v>
      </c>
      <c r="P1323">
        <v>7</v>
      </c>
      <c r="Q1323">
        <v>7</v>
      </c>
      <c r="R1323">
        <v>7</v>
      </c>
      <c r="S1323" t="s">
        <v>23</v>
      </c>
      <c r="T1323" t="s">
        <v>37</v>
      </c>
      <c r="U1323" t="str">
        <f>IF(Table1[[#This Row],[YearsSince
LastPromotion]]&gt; 4, "Delayed", "Normal")</f>
        <v>Delayed</v>
      </c>
      <c r="V1323" t="str">
        <f>IF(Table1[[#This Row],[Years
InCurrentRole]]&gt;4, "Role Stagnent", "Normal")</f>
        <v>Role Stagnent</v>
      </c>
      <c r="W1323" t="str">
        <f>IF(AND(Table1[[#This Row],[Years
InCurrentRole]]&gt; 4, Table1[[#This Row],[Performance
Rating]]&gt;=3), "High Risk", "Normal")</f>
        <v>High Risk</v>
      </c>
      <c r="X1323" t="str">
        <f>IF(Table1[[#This Row],[Performance
Rating]]&gt;=4, "High Performer", "Low Performer")</f>
        <v>Low Performer</v>
      </c>
    </row>
    <row r="1324" spans="2:24" x14ac:dyDescent="0.3">
      <c r="B1324" t="s">
        <v>27</v>
      </c>
      <c r="C1324" t="s">
        <v>25</v>
      </c>
      <c r="D1324">
        <v>1</v>
      </c>
      <c r="E1324" t="s">
        <v>21</v>
      </c>
      <c r="F1324">
        <v>1</v>
      </c>
      <c r="G1324" t="s">
        <v>29</v>
      </c>
      <c r="H1324">
        <v>3</v>
      </c>
      <c r="I1324">
        <v>3339</v>
      </c>
      <c r="J1324">
        <v>13</v>
      </c>
      <c r="K1324">
        <v>3</v>
      </c>
      <c r="L1324">
        <v>2</v>
      </c>
      <c r="M1324">
        <v>10</v>
      </c>
      <c r="N1324">
        <v>2</v>
      </c>
      <c r="O1324">
        <v>3</v>
      </c>
      <c r="P1324">
        <v>7</v>
      </c>
      <c r="Q1324">
        <v>7</v>
      </c>
      <c r="R1324">
        <v>7</v>
      </c>
      <c r="S1324" t="s">
        <v>34</v>
      </c>
      <c r="T1324" t="s">
        <v>37</v>
      </c>
      <c r="U1324" t="str">
        <f>IF(Table1[[#This Row],[YearsSince
LastPromotion]]&gt; 4, "Delayed", "Normal")</f>
        <v>Delayed</v>
      </c>
      <c r="V1324" t="str">
        <f>IF(Table1[[#This Row],[Years
InCurrentRole]]&gt;4, "Role Stagnent", "Normal")</f>
        <v>Role Stagnent</v>
      </c>
      <c r="W1324" t="str">
        <f>IF(AND(Table1[[#This Row],[Years
InCurrentRole]]&gt; 4, Table1[[#This Row],[Performance
Rating]]&gt;=3), "High Risk", "Normal")</f>
        <v>High Risk</v>
      </c>
      <c r="X1324" t="str">
        <f>IF(Table1[[#This Row],[Performance
Rating]]&gt;=4, "High Performer", "Low Performer")</f>
        <v>Low Performer</v>
      </c>
    </row>
    <row r="1325" spans="2:24" x14ac:dyDescent="0.3">
      <c r="B1325" t="s">
        <v>19</v>
      </c>
      <c r="C1325" t="s">
        <v>25</v>
      </c>
      <c r="D1325">
        <v>1</v>
      </c>
      <c r="E1325" t="s">
        <v>21</v>
      </c>
      <c r="F1325">
        <v>3</v>
      </c>
      <c r="G1325" t="s">
        <v>33</v>
      </c>
      <c r="H1325">
        <v>1</v>
      </c>
      <c r="I1325">
        <v>10252</v>
      </c>
      <c r="J1325">
        <v>21</v>
      </c>
      <c r="K1325">
        <v>4</v>
      </c>
      <c r="L1325">
        <v>1</v>
      </c>
      <c r="M1325">
        <v>17</v>
      </c>
      <c r="N1325">
        <v>2</v>
      </c>
      <c r="O1325">
        <v>3</v>
      </c>
      <c r="P1325">
        <v>7</v>
      </c>
      <c r="Q1325">
        <v>7</v>
      </c>
      <c r="R1325">
        <v>7</v>
      </c>
      <c r="S1325" t="s">
        <v>34</v>
      </c>
      <c r="T1325" t="s">
        <v>37</v>
      </c>
      <c r="U1325" t="str">
        <f>IF(Table1[[#This Row],[YearsSince
LastPromotion]]&gt; 4, "Delayed", "Normal")</f>
        <v>Delayed</v>
      </c>
      <c r="V1325" t="str">
        <f>IF(Table1[[#This Row],[Years
InCurrentRole]]&gt;4, "Role Stagnent", "Normal")</f>
        <v>Role Stagnent</v>
      </c>
      <c r="W1325" t="str">
        <f>IF(AND(Table1[[#This Row],[Years
InCurrentRole]]&gt; 4, Table1[[#This Row],[Performance
Rating]]&gt;=3), "High Risk", "Normal")</f>
        <v>High Risk</v>
      </c>
      <c r="X1325" t="str">
        <f>IF(Table1[[#This Row],[Performance
Rating]]&gt;=4, "High Performer", "Low Performer")</f>
        <v>High Performer</v>
      </c>
    </row>
    <row r="1326" spans="2:24" x14ac:dyDescent="0.3">
      <c r="B1326" t="s">
        <v>19</v>
      </c>
      <c r="C1326" t="s">
        <v>25</v>
      </c>
      <c r="D1326">
        <v>1</v>
      </c>
      <c r="E1326" t="s">
        <v>28</v>
      </c>
      <c r="F1326">
        <v>1</v>
      </c>
      <c r="G1326" t="s">
        <v>29</v>
      </c>
      <c r="H1326">
        <v>4</v>
      </c>
      <c r="I1326">
        <v>2544</v>
      </c>
      <c r="J1326">
        <v>18</v>
      </c>
      <c r="K1326">
        <v>3</v>
      </c>
      <c r="L1326">
        <v>1</v>
      </c>
      <c r="M1326">
        <v>8</v>
      </c>
      <c r="N1326">
        <v>3</v>
      </c>
      <c r="O1326">
        <v>3</v>
      </c>
      <c r="P1326">
        <v>7</v>
      </c>
      <c r="Q1326">
        <v>7</v>
      </c>
      <c r="R1326">
        <v>7</v>
      </c>
      <c r="S1326" t="s">
        <v>34</v>
      </c>
      <c r="T1326" t="s">
        <v>37</v>
      </c>
      <c r="U1326" t="str">
        <f>IF(Table1[[#This Row],[YearsSince
LastPromotion]]&gt; 4, "Delayed", "Normal")</f>
        <v>Delayed</v>
      </c>
      <c r="V1326" t="str">
        <f>IF(Table1[[#This Row],[Years
InCurrentRole]]&gt;4, "Role Stagnent", "Normal")</f>
        <v>Role Stagnent</v>
      </c>
      <c r="W1326" t="str">
        <f>IF(AND(Table1[[#This Row],[Years
InCurrentRole]]&gt; 4, Table1[[#This Row],[Performance
Rating]]&gt;=3), "High Risk", "Normal")</f>
        <v>High Risk</v>
      </c>
      <c r="X1326" t="str">
        <f>IF(Table1[[#This Row],[Performance
Rating]]&gt;=4, "High Performer", "Low Performer")</f>
        <v>Low Performer</v>
      </c>
    </row>
    <row r="1327" spans="2:24" x14ac:dyDescent="0.3">
      <c r="B1327" t="s">
        <v>19</v>
      </c>
      <c r="C1327" t="s">
        <v>25</v>
      </c>
      <c r="D1327">
        <v>1</v>
      </c>
      <c r="E1327" t="s">
        <v>28</v>
      </c>
      <c r="F1327">
        <v>2</v>
      </c>
      <c r="G1327" t="s">
        <v>33</v>
      </c>
      <c r="H1327">
        <v>1</v>
      </c>
      <c r="I1327">
        <v>5377</v>
      </c>
      <c r="J1327">
        <v>13</v>
      </c>
      <c r="K1327">
        <v>3</v>
      </c>
      <c r="L1327">
        <v>3</v>
      </c>
      <c r="M1327">
        <v>10</v>
      </c>
      <c r="N1327">
        <v>3</v>
      </c>
      <c r="O1327">
        <v>3</v>
      </c>
      <c r="P1327">
        <v>7</v>
      </c>
      <c r="Q1327">
        <v>7</v>
      </c>
      <c r="R1327">
        <v>7</v>
      </c>
      <c r="S1327" t="s">
        <v>34</v>
      </c>
      <c r="T1327" t="s">
        <v>37</v>
      </c>
      <c r="U1327" t="str">
        <f>IF(Table1[[#This Row],[YearsSince
LastPromotion]]&gt; 4, "Delayed", "Normal")</f>
        <v>Delayed</v>
      </c>
      <c r="V1327" t="str">
        <f>IF(Table1[[#This Row],[Years
InCurrentRole]]&gt;4, "Role Stagnent", "Normal")</f>
        <v>Role Stagnent</v>
      </c>
      <c r="W1327" t="str">
        <f>IF(AND(Table1[[#This Row],[Years
InCurrentRole]]&gt; 4, Table1[[#This Row],[Performance
Rating]]&gt;=3), "High Risk", "Normal")</f>
        <v>High Risk</v>
      </c>
      <c r="X1327" t="str">
        <f>IF(Table1[[#This Row],[Performance
Rating]]&gt;=4, "High Performer", "Low Performer")</f>
        <v>Low Performer</v>
      </c>
    </row>
    <row r="1328" spans="2:24" x14ac:dyDescent="0.3">
      <c r="B1328" t="s">
        <v>19</v>
      </c>
      <c r="C1328" t="s">
        <v>20</v>
      </c>
      <c r="D1328">
        <v>1</v>
      </c>
      <c r="E1328" t="s">
        <v>28</v>
      </c>
      <c r="F1328">
        <v>2</v>
      </c>
      <c r="G1328" t="s">
        <v>32</v>
      </c>
      <c r="H1328">
        <v>4</v>
      </c>
      <c r="I1328">
        <v>5675</v>
      </c>
      <c r="J1328">
        <v>20</v>
      </c>
      <c r="K1328">
        <v>4</v>
      </c>
      <c r="L1328">
        <v>1</v>
      </c>
      <c r="M1328">
        <v>7</v>
      </c>
      <c r="N1328">
        <v>5</v>
      </c>
      <c r="O1328">
        <v>3</v>
      </c>
      <c r="P1328">
        <v>7</v>
      </c>
      <c r="Q1328">
        <v>7</v>
      </c>
      <c r="R1328">
        <v>7</v>
      </c>
      <c r="S1328" t="s">
        <v>34</v>
      </c>
      <c r="T1328" t="s">
        <v>37</v>
      </c>
      <c r="U1328" t="str">
        <f>IF(Table1[[#This Row],[YearsSince
LastPromotion]]&gt; 4, "Delayed", "Normal")</f>
        <v>Delayed</v>
      </c>
      <c r="V1328" t="str">
        <f>IF(Table1[[#This Row],[Years
InCurrentRole]]&gt;4, "Role Stagnent", "Normal")</f>
        <v>Role Stagnent</v>
      </c>
      <c r="W1328" t="str">
        <f>IF(AND(Table1[[#This Row],[Years
InCurrentRole]]&gt; 4, Table1[[#This Row],[Performance
Rating]]&gt;=3), "High Risk", "Normal")</f>
        <v>High Risk</v>
      </c>
      <c r="X1328" t="str">
        <f>IF(Table1[[#This Row],[Performance
Rating]]&gt;=4, "High Performer", "Low Performer")</f>
        <v>High Performer</v>
      </c>
    </row>
    <row r="1329" spans="2:24" x14ac:dyDescent="0.3">
      <c r="B1329" t="s">
        <v>19</v>
      </c>
      <c r="C1329" t="s">
        <v>25</v>
      </c>
      <c r="D1329">
        <v>1</v>
      </c>
      <c r="E1329" t="s">
        <v>21</v>
      </c>
      <c r="F1329">
        <v>3</v>
      </c>
      <c r="G1329" t="s">
        <v>35</v>
      </c>
      <c r="H1329">
        <v>4</v>
      </c>
      <c r="I1329">
        <v>11159</v>
      </c>
      <c r="J1329">
        <v>15</v>
      </c>
      <c r="K1329">
        <v>3</v>
      </c>
      <c r="L1329">
        <v>0</v>
      </c>
      <c r="M1329">
        <v>10</v>
      </c>
      <c r="N1329">
        <v>6</v>
      </c>
      <c r="O1329">
        <v>3</v>
      </c>
      <c r="P1329">
        <v>7</v>
      </c>
      <c r="Q1329">
        <v>7</v>
      </c>
      <c r="R1329">
        <v>7</v>
      </c>
      <c r="S1329" t="s">
        <v>34</v>
      </c>
      <c r="T1329" t="s">
        <v>37</v>
      </c>
      <c r="U1329" t="str">
        <f>IF(Table1[[#This Row],[YearsSince
LastPromotion]]&gt; 4, "Delayed", "Normal")</f>
        <v>Delayed</v>
      </c>
      <c r="V1329" t="str">
        <f>IF(Table1[[#This Row],[Years
InCurrentRole]]&gt;4, "Role Stagnent", "Normal")</f>
        <v>Role Stagnent</v>
      </c>
      <c r="W1329" t="str">
        <f>IF(AND(Table1[[#This Row],[Years
InCurrentRole]]&gt; 4, Table1[[#This Row],[Performance
Rating]]&gt;=3), "High Risk", "Normal")</f>
        <v>High Risk</v>
      </c>
      <c r="X1329" t="str">
        <f>IF(Table1[[#This Row],[Performance
Rating]]&gt;=4, "High Performer", "Low Performer")</f>
        <v>Low Performer</v>
      </c>
    </row>
    <row r="1330" spans="2:24" x14ac:dyDescent="0.3">
      <c r="B1330" t="s">
        <v>27</v>
      </c>
      <c r="C1330" t="s">
        <v>20</v>
      </c>
      <c r="D1330">
        <v>1</v>
      </c>
      <c r="E1330" t="s">
        <v>28</v>
      </c>
      <c r="F1330">
        <v>3</v>
      </c>
      <c r="G1330" t="s">
        <v>32</v>
      </c>
      <c r="H1330">
        <v>2</v>
      </c>
      <c r="I1330">
        <v>8446</v>
      </c>
      <c r="J1330">
        <v>19</v>
      </c>
      <c r="K1330">
        <v>3</v>
      </c>
      <c r="L1330">
        <v>0</v>
      </c>
      <c r="M1330">
        <v>10</v>
      </c>
      <c r="N1330">
        <v>2</v>
      </c>
      <c r="O1330">
        <v>2</v>
      </c>
      <c r="P1330">
        <v>8</v>
      </c>
      <c r="Q1330">
        <v>7</v>
      </c>
      <c r="R1330">
        <v>7</v>
      </c>
      <c r="S1330" t="s">
        <v>23</v>
      </c>
      <c r="T1330" t="s">
        <v>37</v>
      </c>
      <c r="U1330" t="str">
        <f>IF(Table1[[#This Row],[YearsSince
LastPromotion]]&gt; 4, "Delayed", "Normal")</f>
        <v>Delayed</v>
      </c>
      <c r="V1330" t="str">
        <f>IF(Table1[[#This Row],[Years
InCurrentRole]]&gt;4, "Role Stagnent", "Normal")</f>
        <v>Role Stagnent</v>
      </c>
      <c r="W1330" t="str">
        <f>IF(AND(Table1[[#This Row],[Years
InCurrentRole]]&gt; 4, Table1[[#This Row],[Performance
Rating]]&gt;=3), "High Risk", "Normal")</f>
        <v>High Risk</v>
      </c>
      <c r="X1330" t="str">
        <f>IF(Table1[[#This Row],[Performance
Rating]]&gt;=4, "High Performer", "Low Performer")</f>
        <v>Low Performer</v>
      </c>
    </row>
    <row r="1331" spans="2:24" x14ac:dyDescent="0.3">
      <c r="B1331" t="s">
        <v>19</v>
      </c>
      <c r="C1331" t="s">
        <v>20</v>
      </c>
      <c r="D1331">
        <v>1</v>
      </c>
      <c r="E1331" t="s">
        <v>28</v>
      </c>
      <c r="F1331">
        <v>2</v>
      </c>
      <c r="G1331" t="s">
        <v>32</v>
      </c>
      <c r="H1331">
        <v>4</v>
      </c>
      <c r="I1331">
        <v>5304</v>
      </c>
      <c r="J1331">
        <v>23</v>
      </c>
      <c r="K1331">
        <v>4</v>
      </c>
      <c r="L1331">
        <v>1</v>
      </c>
      <c r="M1331">
        <v>10</v>
      </c>
      <c r="N1331">
        <v>2</v>
      </c>
      <c r="O1331">
        <v>2</v>
      </c>
      <c r="P1331">
        <v>8</v>
      </c>
      <c r="Q1331">
        <v>7</v>
      </c>
      <c r="R1331">
        <v>7</v>
      </c>
      <c r="S1331" t="s">
        <v>23</v>
      </c>
      <c r="T1331" t="s">
        <v>37</v>
      </c>
      <c r="U1331" t="str">
        <f>IF(Table1[[#This Row],[YearsSince
LastPromotion]]&gt; 4, "Delayed", "Normal")</f>
        <v>Delayed</v>
      </c>
      <c r="V1331" t="str">
        <f>IF(Table1[[#This Row],[Years
InCurrentRole]]&gt;4, "Role Stagnent", "Normal")</f>
        <v>Role Stagnent</v>
      </c>
      <c r="W1331" t="str">
        <f>IF(AND(Table1[[#This Row],[Years
InCurrentRole]]&gt; 4, Table1[[#This Row],[Performance
Rating]]&gt;=3), "High Risk", "Normal")</f>
        <v>High Risk</v>
      </c>
      <c r="X1331" t="str">
        <f>IF(Table1[[#This Row],[Performance
Rating]]&gt;=4, "High Performer", "Low Performer")</f>
        <v>High Performer</v>
      </c>
    </row>
    <row r="1332" spans="2:24" x14ac:dyDescent="0.3">
      <c r="B1332" t="s">
        <v>19</v>
      </c>
      <c r="C1332" t="s">
        <v>20</v>
      </c>
      <c r="D1332">
        <v>1</v>
      </c>
      <c r="E1332" t="s">
        <v>28</v>
      </c>
      <c r="F1332">
        <v>2</v>
      </c>
      <c r="G1332" t="s">
        <v>32</v>
      </c>
      <c r="H1332">
        <v>4</v>
      </c>
      <c r="I1332">
        <v>6929</v>
      </c>
      <c r="J1332">
        <v>11</v>
      </c>
      <c r="K1332">
        <v>3</v>
      </c>
      <c r="L1332">
        <v>1</v>
      </c>
      <c r="M1332">
        <v>10</v>
      </c>
      <c r="N1332">
        <v>3</v>
      </c>
      <c r="O1332">
        <v>2</v>
      </c>
      <c r="P1332">
        <v>8</v>
      </c>
      <c r="Q1332">
        <v>7</v>
      </c>
      <c r="R1332">
        <v>7</v>
      </c>
      <c r="S1332" t="s">
        <v>23</v>
      </c>
      <c r="T1332" t="s">
        <v>37</v>
      </c>
      <c r="U1332" t="str">
        <f>IF(Table1[[#This Row],[YearsSince
LastPromotion]]&gt; 4, "Delayed", "Normal")</f>
        <v>Delayed</v>
      </c>
      <c r="V1332" t="str">
        <f>IF(Table1[[#This Row],[Years
InCurrentRole]]&gt;4, "Role Stagnent", "Normal")</f>
        <v>Role Stagnent</v>
      </c>
      <c r="W1332" t="str">
        <f>IF(AND(Table1[[#This Row],[Years
InCurrentRole]]&gt; 4, Table1[[#This Row],[Performance
Rating]]&gt;=3), "High Risk", "Normal")</f>
        <v>High Risk</v>
      </c>
      <c r="X1332" t="str">
        <f>IF(Table1[[#This Row],[Performance
Rating]]&gt;=4, "High Performer", "Low Performer")</f>
        <v>Low Performer</v>
      </c>
    </row>
    <row r="1333" spans="2:24" x14ac:dyDescent="0.3">
      <c r="B1333" t="s">
        <v>19</v>
      </c>
      <c r="C1333" t="s">
        <v>25</v>
      </c>
      <c r="D1333">
        <v>1</v>
      </c>
      <c r="E1333" t="s">
        <v>28</v>
      </c>
      <c r="F1333">
        <v>1</v>
      </c>
      <c r="G1333" t="s">
        <v>29</v>
      </c>
      <c r="H1333">
        <v>2</v>
      </c>
      <c r="I1333">
        <v>2088</v>
      </c>
      <c r="J1333">
        <v>12</v>
      </c>
      <c r="K1333">
        <v>3</v>
      </c>
      <c r="L1333">
        <v>0</v>
      </c>
      <c r="M1333">
        <v>13</v>
      </c>
      <c r="N1333">
        <v>3</v>
      </c>
      <c r="O1333">
        <v>2</v>
      </c>
      <c r="P1333">
        <v>8</v>
      </c>
      <c r="Q1333">
        <v>7</v>
      </c>
      <c r="R1333">
        <v>7</v>
      </c>
      <c r="S1333" t="s">
        <v>23</v>
      </c>
      <c r="T1333" t="s">
        <v>37</v>
      </c>
      <c r="U1333" t="str">
        <f>IF(Table1[[#This Row],[YearsSince
LastPromotion]]&gt; 4, "Delayed", "Normal")</f>
        <v>Delayed</v>
      </c>
      <c r="V1333" t="str">
        <f>IF(Table1[[#This Row],[Years
InCurrentRole]]&gt;4, "Role Stagnent", "Normal")</f>
        <v>Role Stagnent</v>
      </c>
      <c r="W1333" t="str">
        <f>IF(AND(Table1[[#This Row],[Years
InCurrentRole]]&gt; 4, Table1[[#This Row],[Performance
Rating]]&gt;=3), "High Risk", "Normal")</f>
        <v>High Risk</v>
      </c>
      <c r="X1333" t="str">
        <f>IF(Table1[[#This Row],[Performance
Rating]]&gt;=4, "High Performer", "Low Performer")</f>
        <v>Low Performer</v>
      </c>
    </row>
    <row r="1334" spans="2:24" x14ac:dyDescent="0.3">
      <c r="B1334" t="s">
        <v>27</v>
      </c>
      <c r="C1334" t="s">
        <v>20</v>
      </c>
      <c r="D1334">
        <v>1</v>
      </c>
      <c r="E1334" t="s">
        <v>28</v>
      </c>
      <c r="F1334">
        <v>2</v>
      </c>
      <c r="G1334" t="s">
        <v>32</v>
      </c>
      <c r="H1334">
        <v>4</v>
      </c>
      <c r="I1334">
        <v>5828</v>
      </c>
      <c r="J1334">
        <v>12</v>
      </c>
      <c r="K1334">
        <v>3</v>
      </c>
      <c r="L1334">
        <v>0</v>
      </c>
      <c r="M1334">
        <v>8</v>
      </c>
      <c r="N1334">
        <v>0</v>
      </c>
      <c r="O1334">
        <v>3</v>
      </c>
      <c r="P1334">
        <v>8</v>
      </c>
      <c r="Q1334">
        <v>7</v>
      </c>
      <c r="R1334">
        <v>7</v>
      </c>
      <c r="S1334" t="s">
        <v>34</v>
      </c>
      <c r="T1334" t="s">
        <v>37</v>
      </c>
      <c r="U1334" t="str">
        <f>IF(Table1[[#This Row],[YearsSince
LastPromotion]]&gt; 4, "Delayed", "Normal")</f>
        <v>Delayed</v>
      </c>
      <c r="V1334" t="str">
        <f>IF(Table1[[#This Row],[Years
InCurrentRole]]&gt;4, "Role Stagnent", "Normal")</f>
        <v>Role Stagnent</v>
      </c>
      <c r="W1334" t="str">
        <f>IF(AND(Table1[[#This Row],[Years
InCurrentRole]]&gt; 4, Table1[[#This Row],[Performance
Rating]]&gt;=3), "High Risk", "Normal")</f>
        <v>High Risk</v>
      </c>
      <c r="X1334" t="str">
        <f>IF(Table1[[#This Row],[Performance
Rating]]&gt;=4, "High Performer", "Low Performer")</f>
        <v>Low Performer</v>
      </c>
    </row>
    <row r="1335" spans="2:24" x14ac:dyDescent="0.3">
      <c r="B1335" t="s">
        <v>19</v>
      </c>
      <c r="C1335" t="s">
        <v>25</v>
      </c>
      <c r="D1335">
        <v>1</v>
      </c>
      <c r="E1335" t="s">
        <v>28</v>
      </c>
      <c r="F1335">
        <v>1</v>
      </c>
      <c r="G1335" t="s">
        <v>26</v>
      </c>
      <c r="H1335">
        <v>1</v>
      </c>
      <c r="I1335">
        <v>2559</v>
      </c>
      <c r="J1335">
        <v>13</v>
      </c>
      <c r="K1335">
        <v>3</v>
      </c>
      <c r="L1335">
        <v>0</v>
      </c>
      <c r="M1335">
        <v>8</v>
      </c>
      <c r="N1335">
        <v>0</v>
      </c>
      <c r="O1335">
        <v>3</v>
      </c>
      <c r="P1335">
        <v>8</v>
      </c>
      <c r="Q1335">
        <v>7</v>
      </c>
      <c r="R1335">
        <v>7</v>
      </c>
      <c r="S1335" t="s">
        <v>34</v>
      </c>
      <c r="T1335" t="s">
        <v>37</v>
      </c>
      <c r="U1335" t="str">
        <f>IF(Table1[[#This Row],[YearsSince
LastPromotion]]&gt; 4, "Delayed", "Normal")</f>
        <v>Delayed</v>
      </c>
      <c r="V1335" t="str">
        <f>IF(Table1[[#This Row],[Years
InCurrentRole]]&gt;4, "Role Stagnent", "Normal")</f>
        <v>Role Stagnent</v>
      </c>
      <c r="W1335" t="str">
        <f>IF(AND(Table1[[#This Row],[Years
InCurrentRole]]&gt; 4, Table1[[#This Row],[Performance
Rating]]&gt;=3), "High Risk", "Normal")</f>
        <v>High Risk</v>
      </c>
      <c r="X1335" t="str">
        <f>IF(Table1[[#This Row],[Performance
Rating]]&gt;=4, "High Performer", "Low Performer")</f>
        <v>Low Performer</v>
      </c>
    </row>
    <row r="1336" spans="2:24" x14ac:dyDescent="0.3">
      <c r="B1336" t="s">
        <v>19</v>
      </c>
      <c r="C1336" t="s">
        <v>20</v>
      </c>
      <c r="D1336">
        <v>1</v>
      </c>
      <c r="E1336" t="s">
        <v>28</v>
      </c>
      <c r="F1336">
        <v>2</v>
      </c>
      <c r="G1336" t="s">
        <v>32</v>
      </c>
      <c r="H1336">
        <v>4</v>
      </c>
      <c r="I1336">
        <v>5249</v>
      </c>
      <c r="J1336">
        <v>18</v>
      </c>
      <c r="K1336">
        <v>3</v>
      </c>
      <c r="L1336">
        <v>1</v>
      </c>
      <c r="M1336">
        <v>13</v>
      </c>
      <c r="N1336">
        <v>0</v>
      </c>
      <c r="O1336">
        <v>3</v>
      </c>
      <c r="P1336">
        <v>8</v>
      </c>
      <c r="Q1336">
        <v>7</v>
      </c>
      <c r="R1336">
        <v>7</v>
      </c>
      <c r="S1336" t="s">
        <v>34</v>
      </c>
      <c r="T1336" t="s">
        <v>37</v>
      </c>
      <c r="U1336" t="str">
        <f>IF(Table1[[#This Row],[YearsSince
LastPromotion]]&gt; 4, "Delayed", "Normal")</f>
        <v>Delayed</v>
      </c>
      <c r="V1336" t="str">
        <f>IF(Table1[[#This Row],[Years
InCurrentRole]]&gt;4, "Role Stagnent", "Normal")</f>
        <v>Role Stagnent</v>
      </c>
      <c r="W1336" t="str">
        <f>IF(AND(Table1[[#This Row],[Years
InCurrentRole]]&gt; 4, Table1[[#This Row],[Performance
Rating]]&gt;=3), "High Risk", "Normal")</f>
        <v>High Risk</v>
      </c>
      <c r="X1336" t="str">
        <f>IF(Table1[[#This Row],[Performance
Rating]]&gt;=4, "High Performer", "Low Performer")</f>
        <v>Low Performer</v>
      </c>
    </row>
    <row r="1337" spans="2:24" x14ac:dyDescent="0.3">
      <c r="B1337" t="s">
        <v>27</v>
      </c>
      <c r="C1337" t="s">
        <v>25</v>
      </c>
      <c r="D1337">
        <v>1</v>
      </c>
      <c r="E1337" t="s">
        <v>21</v>
      </c>
      <c r="F1337">
        <v>3</v>
      </c>
      <c r="G1337" t="s">
        <v>31</v>
      </c>
      <c r="H1337">
        <v>4</v>
      </c>
      <c r="I1337">
        <v>7553</v>
      </c>
      <c r="J1337">
        <v>12</v>
      </c>
      <c r="K1337">
        <v>3</v>
      </c>
      <c r="L1337">
        <v>0</v>
      </c>
      <c r="M1337">
        <v>9</v>
      </c>
      <c r="N1337">
        <v>1</v>
      </c>
      <c r="O1337">
        <v>3</v>
      </c>
      <c r="P1337">
        <v>8</v>
      </c>
      <c r="Q1337">
        <v>7</v>
      </c>
      <c r="R1337">
        <v>7</v>
      </c>
      <c r="S1337" t="s">
        <v>34</v>
      </c>
      <c r="T1337" t="s">
        <v>37</v>
      </c>
      <c r="U1337" t="str">
        <f>IF(Table1[[#This Row],[YearsSince
LastPromotion]]&gt; 4, "Delayed", "Normal")</f>
        <v>Delayed</v>
      </c>
      <c r="V1337" t="str">
        <f>IF(Table1[[#This Row],[Years
InCurrentRole]]&gt;4, "Role Stagnent", "Normal")</f>
        <v>Role Stagnent</v>
      </c>
      <c r="W1337" t="str">
        <f>IF(AND(Table1[[#This Row],[Years
InCurrentRole]]&gt; 4, Table1[[#This Row],[Performance
Rating]]&gt;=3), "High Risk", "Normal")</f>
        <v>High Risk</v>
      </c>
      <c r="X1337" t="str">
        <f>IF(Table1[[#This Row],[Performance
Rating]]&gt;=4, "High Performer", "Low Performer")</f>
        <v>Low Performer</v>
      </c>
    </row>
    <row r="1338" spans="2:24" x14ac:dyDescent="0.3">
      <c r="B1338" t="s">
        <v>19</v>
      </c>
      <c r="C1338" t="s">
        <v>25</v>
      </c>
      <c r="D1338">
        <v>1</v>
      </c>
      <c r="E1338" t="s">
        <v>28</v>
      </c>
      <c r="F1338">
        <v>2</v>
      </c>
      <c r="G1338" t="s">
        <v>29</v>
      </c>
      <c r="H1338">
        <v>3</v>
      </c>
      <c r="I1338">
        <v>5429</v>
      </c>
      <c r="J1338">
        <v>13</v>
      </c>
      <c r="K1338">
        <v>3</v>
      </c>
      <c r="L1338">
        <v>2</v>
      </c>
      <c r="M1338">
        <v>10</v>
      </c>
      <c r="N1338">
        <v>1</v>
      </c>
      <c r="O1338">
        <v>3</v>
      </c>
      <c r="P1338">
        <v>8</v>
      </c>
      <c r="Q1338">
        <v>7</v>
      </c>
      <c r="R1338">
        <v>7</v>
      </c>
      <c r="S1338" t="s">
        <v>34</v>
      </c>
      <c r="T1338" t="s">
        <v>37</v>
      </c>
      <c r="U1338" t="str">
        <f>IF(Table1[[#This Row],[YearsSince
LastPromotion]]&gt; 4, "Delayed", "Normal")</f>
        <v>Delayed</v>
      </c>
      <c r="V1338" t="str">
        <f>IF(Table1[[#This Row],[Years
InCurrentRole]]&gt;4, "Role Stagnent", "Normal")</f>
        <v>Role Stagnent</v>
      </c>
      <c r="W1338" t="str">
        <f>IF(AND(Table1[[#This Row],[Years
InCurrentRole]]&gt; 4, Table1[[#This Row],[Performance
Rating]]&gt;=3), "High Risk", "Normal")</f>
        <v>High Risk</v>
      </c>
      <c r="X1338" t="str">
        <f>IF(Table1[[#This Row],[Performance
Rating]]&gt;=4, "High Performer", "Low Performer")</f>
        <v>Low Performer</v>
      </c>
    </row>
    <row r="1339" spans="2:24" x14ac:dyDescent="0.3">
      <c r="B1339" t="s">
        <v>19</v>
      </c>
      <c r="C1339" t="s">
        <v>20</v>
      </c>
      <c r="D1339">
        <v>1</v>
      </c>
      <c r="E1339" t="s">
        <v>21</v>
      </c>
      <c r="F1339">
        <v>2</v>
      </c>
      <c r="G1339" t="s">
        <v>32</v>
      </c>
      <c r="H1339">
        <v>2</v>
      </c>
      <c r="I1339">
        <v>4779</v>
      </c>
      <c r="J1339">
        <v>20</v>
      </c>
      <c r="K1339">
        <v>4</v>
      </c>
      <c r="L1339">
        <v>0</v>
      </c>
      <c r="M1339">
        <v>8</v>
      </c>
      <c r="N1339">
        <v>2</v>
      </c>
      <c r="O1339">
        <v>3</v>
      </c>
      <c r="P1339">
        <v>8</v>
      </c>
      <c r="Q1339">
        <v>7</v>
      </c>
      <c r="R1339">
        <v>7</v>
      </c>
      <c r="S1339" t="s">
        <v>34</v>
      </c>
      <c r="T1339" t="s">
        <v>37</v>
      </c>
      <c r="U1339" t="str">
        <f>IF(Table1[[#This Row],[YearsSince
LastPromotion]]&gt; 4, "Delayed", "Normal")</f>
        <v>Delayed</v>
      </c>
      <c r="V1339" t="str">
        <f>IF(Table1[[#This Row],[Years
InCurrentRole]]&gt;4, "Role Stagnent", "Normal")</f>
        <v>Role Stagnent</v>
      </c>
      <c r="W1339" t="str">
        <f>IF(AND(Table1[[#This Row],[Years
InCurrentRole]]&gt; 4, Table1[[#This Row],[Performance
Rating]]&gt;=3), "High Risk", "Normal")</f>
        <v>High Risk</v>
      </c>
      <c r="X1339" t="str">
        <f>IF(Table1[[#This Row],[Performance
Rating]]&gt;=4, "High Performer", "Low Performer")</f>
        <v>High Performer</v>
      </c>
    </row>
    <row r="1340" spans="2:24" x14ac:dyDescent="0.3">
      <c r="B1340" t="s">
        <v>19</v>
      </c>
      <c r="C1340" t="s">
        <v>25</v>
      </c>
      <c r="D1340">
        <v>1</v>
      </c>
      <c r="E1340" t="s">
        <v>21</v>
      </c>
      <c r="F1340">
        <v>1</v>
      </c>
      <c r="G1340" t="s">
        <v>29</v>
      </c>
      <c r="H1340">
        <v>3</v>
      </c>
      <c r="I1340">
        <v>4025</v>
      </c>
      <c r="J1340">
        <v>12</v>
      </c>
      <c r="K1340">
        <v>3</v>
      </c>
      <c r="L1340">
        <v>0</v>
      </c>
      <c r="M1340">
        <v>10</v>
      </c>
      <c r="N1340">
        <v>2</v>
      </c>
      <c r="O1340">
        <v>3</v>
      </c>
      <c r="P1340">
        <v>8</v>
      </c>
      <c r="Q1340">
        <v>7</v>
      </c>
      <c r="R1340">
        <v>7</v>
      </c>
      <c r="S1340" t="s">
        <v>34</v>
      </c>
      <c r="T1340" t="s">
        <v>37</v>
      </c>
      <c r="U1340" t="str">
        <f>IF(Table1[[#This Row],[YearsSince
LastPromotion]]&gt; 4, "Delayed", "Normal")</f>
        <v>Delayed</v>
      </c>
      <c r="V1340" t="str">
        <f>IF(Table1[[#This Row],[Years
InCurrentRole]]&gt;4, "Role Stagnent", "Normal")</f>
        <v>Role Stagnent</v>
      </c>
      <c r="W1340" t="str">
        <f>IF(AND(Table1[[#This Row],[Years
InCurrentRole]]&gt; 4, Table1[[#This Row],[Performance
Rating]]&gt;=3), "High Risk", "Normal")</f>
        <v>High Risk</v>
      </c>
      <c r="X1340" t="str">
        <f>IF(Table1[[#This Row],[Performance
Rating]]&gt;=4, "High Performer", "Low Performer")</f>
        <v>Low Performer</v>
      </c>
    </row>
    <row r="1341" spans="2:24" x14ac:dyDescent="0.3">
      <c r="B1341" t="s">
        <v>19</v>
      </c>
      <c r="C1341" t="s">
        <v>20</v>
      </c>
      <c r="D1341">
        <v>1</v>
      </c>
      <c r="E1341" t="s">
        <v>21</v>
      </c>
      <c r="F1341">
        <v>2</v>
      </c>
      <c r="G1341" t="s">
        <v>32</v>
      </c>
      <c r="H1341">
        <v>3</v>
      </c>
      <c r="I1341">
        <v>6439</v>
      </c>
      <c r="J1341">
        <v>14</v>
      </c>
      <c r="K1341">
        <v>3</v>
      </c>
      <c r="L1341">
        <v>1</v>
      </c>
      <c r="M1341">
        <v>18</v>
      </c>
      <c r="N1341">
        <v>2</v>
      </c>
      <c r="O1341">
        <v>3</v>
      </c>
      <c r="P1341">
        <v>8</v>
      </c>
      <c r="Q1341">
        <v>7</v>
      </c>
      <c r="R1341">
        <v>7</v>
      </c>
      <c r="S1341" t="s">
        <v>34</v>
      </c>
      <c r="T1341" t="s">
        <v>37</v>
      </c>
      <c r="U1341" t="str">
        <f>IF(Table1[[#This Row],[YearsSince
LastPromotion]]&gt; 4, "Delayed", "Normal")</f>
        <v>Delayed</v>
      </c>
      <c r="V1341" t="str">
        <f>IF(Table1[[#This Row],[Years
InCurrentRole]]&gt;4, "Role Stagnent", "Normal")</f>
        <v>Role Stagnent</v>
      </c>
      <c r="W1341" t="str">
        <f>IF(AND(Table1[[#This Row],[Years
InCurrentRole]]&gt; 4, Table1[[#This Row],[Performance
Rating]]&gt;=3), "High Risk", "Normal")</f>
        <v>High Risk</v>
      </c>
      <c r="X1341" t="str">
        <f>IF(Table1[[#This Row],[Performance
Rating]]&gt;=4, "High Performer", "Low Performer")</f>
        <v>Low Performer</v>
      </c>
    </row>
    <row r="1342" spans="2:24" x14ac:dyDescent="0.3">
      <c r="B1342" t="s">
        <v>19</v>
      </c>
      <c r="C1342" t="s">
        <v>20</v>
      </c>
      <c r="D1342">
        <v>1</v>
      </c>
      <c r="E1342" t="s">
        <v>28</v>
      </c>
      <c r="F1342">
        <v>2</v>
      </c>
      <c r="G1342" t="s">
        <v>32</v>
      </c>
      <c r="H1342">
        <v>3</v>
      </c>
      <c r="I1342">
        <v>5296</v>
      </c>
      <c r="J1342">
        <v>17</v>
      </c>
      <c r="K1342">
        <v>3</v>
      </c>
      <c r="L1342">
        <v>1</v>
      </c>
      <c r="M1342">
        <v>8</v>
      </c>
      <c r="N1342">
        <v>3</v>
      </c>
      <c r="O1342">
        <v>3</v>
      </c>
      <c r="P1342">
        <v>8</v>
      </c>
      <c r="Q1342">
        <v>7</v>
      </c>
      <c r="R1342">
        <v>7</v>
      </c>
      <c r="S1342" t="s">
        <v>34</v>
      </c>
      <c r="T1342" t="s">
        <v>37</v>
      </c>
      <c r="U1342" t="str">
        <f>IF(Table1[[#This Row],[YearsSince
LastPromotion]]&gt; 4, "Delayed", "Normal")</f>
        <v>Delayed</v>
      </c>
      <c r="V1342" t="str">
        <f>IF(Table1[[#This Row],[Years
InCurrentRole]]&gt;4, "Role Stagnent", "Normal")</f>
        <v>Role Stagnent</v>
      </c>
      <c r="W1342" t="str">
        <f>IF(AND(Table1[[#This Row],[Years
InCurrentRole]]&gt; 4, Table1[[#This Row],[Performance
Rating]]&gt;=3), "High Risk", "Normal")</f>
        <v>High Risk</v>
      </c>
      <c r="X1342" t="str">
        <f>IF(Table1[[#This Row],[Performance
Rating]]&gt;=4, "High Performer", "Low Performer")</f>
        <v>Low Performer</v>
      </c>
    </row>
    <row r="1343" spans="2:24" x14ac:dyDescent="0.3">
      <c r="B1343" t="s">
        <v>27</v>
      </c>
      <c r="C1343" t="s">
        <v>20</v>
      </c>
      <c r="D1343">
        <v>1</v>
      </c>
      <c r="E1343" t="s">
        <v>28</v>
      </c>
      <c r="F1343">
        <v>2</v>
      </c>
      <c r="G1343" t="s">
        <v>32</v>
      </c>
      <c r="H1343">
        <v>2</v>
      </c>
      <c r="I1343">
        <v>9355</v>
      </c>
      <c r="J1343">
        <v>18</v>
      </c>
      <c r="K1343">
        <v>3</v>
      </c>
      <c r="L1343">
        <v>0</v>
      </c>
      <c r="M1343">
        <v>8</v>
      </c>
      <c r="N1343">
        <v>5</v>
      </c>
      <c r="O1343">
        <v>3</v>
      </c>
      <c r="P1343">
        <v>8</v>
      </c>
      <c r="Q1343">
        <v>7</v>
      </c>
      <c r="R1343">
        <v>7</v>
      </c>
      <c r="S1343" t="s">
        <v>34</v>
      </c>
      <c r="T1343" t="s">
        <v>37</v>
      </c>
      <c r="U1343" t="str">
        <f>IF(Table1[[#This Row],[YearsSince
LastPromotion]]&gt; 4, "Delayed", "Normal")</f>
        <v>Delayed</v>
      </c>
      <c r="V1343" t="str">
        <f>IF(Table1[[#This Row],[Years
InCurrentRole]]&gt;4, "Role Stagnent", "Normal")</f>
        <v>Role Stagnent</v>
      </c>
      <c r="W1343" t="str">
        <f>IF(AND(Table1[[#This Row],[Years
InCurrentRole]]&gt; 4, Table1[[#This Row],[Performance
Rating]]&gt;=3), "High Risk", "Normal")</f>
        <v>High Risk</v>
      </c>
      <c r="X1343" t="str">
        <f>IF(Table1[[#This Row],[Performance
Rating]]&gt;=4, "High Performer", "Low Performer")</f>
        <v>Low Performer</v>
      </c>
    </row>
    <row r="1344" spans="2:24" x14ac:dyDescent="0.3">
      <c r="B1344" t="s">
        <v>19</v>
      </c>
      <c r="C1344" t="s">
        <v>25</v>
      </c>
      <c r="D1344">
        <v>1</v>
      </c>
      <c r="E1344" t="s">
        <v>21</v>
      </c>
      <c r="F1344">
        <v>3</v>
      </c>
      <c r="G1344" t="s">
        <v>31</v>
      </c>
      <c r="H1344">
        <v>2</v>
      </c>
      <c r="I1344">
        <v>8621</v>
      </c>
      <c r="J1344">
        <v>14</v>
      </c>
      <c r="K1344">
        <v>3</v>
      </c>
      <c r="L1344">
        <v>0</v>
      </c>
      <c r="M1344">
        <v>9</v>
      </c>
      <c r="N1344">
        <v>3</v>
      </c>
      <c r="O1344">
        <v>4</v>
      </c>
      <c r="P1344">
        <v>8</v>
      </c>
      <c r="Q1344">
        <v>7</v>
      </c>
      <c r="R1344">
        <v>7</v>
      </c>
      <c r="S1344" t="s">
        <v>34</v>
      </c>
      <c r="T1344" t="s">
        <v>37</v>
      </c>
      <c r="U1344" t="str">
        <f>IF(Table1[[#This Row],[YearsSince
LastPromotion]]&gt; 4, "Delayed", "Normal")</f>
        <v>Delayed</v>
      </c>
      <c r="V1344" t="str">
        <f>IF(Table1[[#This Row],[Years
InCurrentRole]]&gt;4, "Role Stagnent", "Normal")</f>
        <v>Role Stagnent</v>
      </c>
      <c r="W1344" t="str">
        <f>IF(AND(Table1[[#This Row],[Years
InCurrentRole]]&gt; 4, Table1[[#This Row],[Performance
Rating]]&gt;=3), "High Risk", "Normal")</f>
        <v>High Risk</v>
      </c>
      <c r="X1344" t="str">
        <f>IF(Table1[[#This Row],[Performance
Rating]]&gt;=4, "High Performer", "Low Performer")</f>
        <v>Low Performer</v>
      </c>
    </row>
    <row r="1345" spans="2:24" x14ac:dyDescent="0.3">
      <c r="B1345" t="s">
        <v>27</v>
      </c>
      <c r="C1345" t="s">
        <v>20</v>
      </c>
      <c r="D1345">
        <v>1</v>
      </c>
      <c r="E1345" t="s">
        <v>28</v>
      </c>
      <c r="F1345">
        <v>2</v>
      </c>
      <c r="G1345" t="s">
        <v>32</v>
      </c>
      <c r="H1345">
        <v>4</v>
      </c>
      <c r="I1345">
        <v>5160</v>
      </c>
      <c r="J1345">
        <v>16</v>
      </c>
      <c r="K1345">
        <v>3</v>
      </c>
      <c r="L1345">
        <v>0</v>
      </c>
      <c r="M1345">
        <v>12</v>
      </c>
      <c r="N1345">
        <v>3</v>
      </c>
      <c r="O1345">
        <v>2</v>
      </c>
      <c r="P1345">
        <v>9</v>
      </c>
      <c r="Q1345">
        <v>7</v>
      </c>
      <c r="R1345">
        <v>7</v>
      </c>
      <c r="S1345" t="s">
        <v>23</v>
      </c>
      <c r="T1345" t="s">
        <v>37</v>
      </c>
      <c r="U1345" t="str">
        <f>IF(Table1[[#This Row],[YearsSince
LastPromotion]]&gt; 4, "Delayed", "Normal")</f>
        <v>Delayed</v>
      </c>
      <c r="V1345" t="str">
        <f>IF(Table1[[#This Row],[Years
InCurrentRole]]&gt;4, "Role Stagnent", "Normal")</f>
        <v>Role Stagnent</v>
      </c>
      <c r="W1345" t="str">
        <f>IF(AND(Table1[[#This Row],[Years
InCurrentRole]]&gt; 4, Table1[[#This Row],[Performance
Rating]]&gt;=3), "High Risk", "Normal")</f>
        <v>High Risk</v>
      </c>
      <c r="X1345" t="str">
        <f>IF(Table1[[#This Row],[Performance
Rating]]&gt;=4, "High Performer", "Low Performer")</f>
        <v>Low Performer</v>
      </c>
    </row>
    <row r="1346" spans="2:24" x14ac:dyDescent="0.3">
      <c r="B1346" t="s">
        <v>19</v>
      </c>
      <c r="C1346" t="s">
        <v>25</v>
      </c>
      <c r="D1346">
        <v>1</v>
      </c>
      <c r="E1346" t="s">
        <v>28</v>
      </c>
      <c r="F1346">
        <v>2</v>
      </c>
      <c r="G1346" t="s">
        <v>33</v>
      </c>
      <c r="H1346">
        <v>4</v>
      </c>
      <c r="I1346">
        <v>4724</v>
      </c>
      <c r="J1346">
        <v>13</v>
      </c>
      <c r="K1346">
        <v>3</v>
      </c>
      <c r="L1346">
        <v>1</v>
      </c>
      <c r="M1346">
        <v>9</v>
      </c>
      <c r="N1346">
        <v>3</v>
      </c>
      <c r="O1346">
        <v>3</v>
      </c>
      <c r="P1346">
        <v>9</v>
      </c>
      <c r="Q1346">
        <v>7</v>
      </c>
      <c r="R1346">
        <v>7</v>
      </c>
      <c r="S1346" t="s">
        <v>34</v>
      </c>
      <c r="T1346" t="s">
        <v>37</v>
      </c>
      <c r="U1346" t="str">
        <f>IF(Table1[[#This Row],[YearsSince
LastPromotion]]&gt; 4, "Delayed", "Normal")</f>
        <v>Delayed</v>
      </c>
      <c r="V1346" t="str">
        <f>IF(Table1[[#This Row],[Years
InCurrentRole]]&gt;4, "Role Stagnent", "Normal")</f>
        <v>Role Stagnent</v>
      </c>
      <c r="W1346" t="str">
        <f>IF(AND(Table1[[#This Row],[Years
InCurrentRole]]&gt; 4, Table1[[#This Row],[Performance
Rating]]&gt;=3), "High Risk", "Normal")</f>
        <v>High Risk</v>
      </c>
      <c r="X1346" t="str">
        <f>IF(Table1[[#This Row],[Performance
Rating]]&gt;=4, "High Performer", "Low Performer")</f>
        <v>Low Performer</v>
      </c>
    </row>
    <row r="1347" spans="2:24" x14ac:dyDescent="0.3">
      <c r="B1347" t="s">
        <v>27</v>
      </c>
      <c r="C1347" t="s">
        <v>20</v>
      </c>
      <c r="D1347">
        <v>1</v>
      </c>
      <c r="E1347" t="s">
        <v>21</v>
      </c>
      <c r="F1347">
        <v>1</v>
      </c>
      <c r="G1347" t="s">
        <v>30</v>
      </c>
      <c r="H1347">
        <v>3</v>
      </c>
      <c r="I1347">
        <v>2655</v>
      </c>
      <c r="J1347">
        <v>11</v>
      </c>
      <c r="K1347">
        <v>3</v>
      </c>
      <c r="L1347">
        <v>2</v>
      </c>
      <c r="M1347">
        <v>19</v>
      </c>
      <c r="N1347">
        <v>3</v>
      </c>
      <c r="O1347">
        <v>3</v>
      </c>
      <c r="P1347">
        <v>9</v>
      </c>
      <c r="Q1347">
        <v>7</v>
      </c>
      <c r="R1347">
        <v>7</v>
      </c>
      <c r="S1347" t="s">
        <v>34</v>
      </c>
      <c r="T1347" t="s">
        <v>37</v>
      </c>
      <c r="U1347" t="str">
        <f>IF(Table1[[#This Row],[YearsSince
LastPromotion]]&gt; 4, "Delayed", "Normal")</f>
        <v>Delayed</v>
      </c>
      <c r="V1347" t="str">
        <f>IF(Table1[[#This Row],[Years
InCurrentRole]]&gt;4, "Role Stagnent", "Normal")</f>
        <v>Role Stagnent</v>
      </c>
      <c r="W1347" t="str">
        <f>IF(AND(Table1[[#This Row],[Years
InCurrentRole]]&gt; 4, Table1[[#This Row],[Performance
Rating]]&gt;=3), "High Risk", "Normal")</f>
        <v>High Risk</v>
      </c>
      <c r="X1347" t="str">
        <f>IF(Table1[[#This Row],[Performance
Rating]]&gt;=4, "High Performer", "Low Performer")</f>
        <v>Low Performer</v>
      </c>
    </row>
    <row r="1348" spans="2:24" x14ac:dyDescent="0.3">
      <c r="B1348" t="s">
        <v>19</v>
      </c>
      <c r="C1348" t="s">
        <v>36</v>
      </c>
      <c r="D1348">
        <v>1</v>
      </c>
      <c r="E1348" t="s">
        <v>28</v>
      </c>
      <c r="F1348">
        <v>3</v>
      </c>
      <c r="G1348" t="s">
        <v>36</v>
      </c>
      <c r="H1348">
        <v>2</v>
      </c>
      <c r="I1348">
        <v>10725</v>
      </c>
      <c r="J1348">
        <v>15</v>
      </c>
      <c r="K1348">
        <v>3</v>
      </c>
      <c r="L1348">
        <v>1</v>
      </c>
      <c r="M1348">
        <v>16</v>
      </c>
      <c r="N1348">
        <v>1</v>
      </c>
      <c r="O1348">
        <v>4</v>
      </c>
      <c r="P1348">
        <v>9</v>
      </c>
      <c r="Q1348">
        <v>7</v>
      </c>
      <c r="R1348">
        <v>7</v>
      </c>
      <c r="S1348" t="s">
        <v>34</v>
      </c>
      <c r="T1348" t="s">
        <v>37</v>
      </c>
      <c r="U1348" t="str">
        <f>IF(Table1[[#This Row],[YearsSince
LastPromotion]]&gt; 4, "Delayed", "Normal")</f>
        <v>Delayed</v>
      </c>
      <c r="V1348" t="str">
        <f>IF(Table1[[#This Row],[Years
InCurrentRole]]&gt;4, "Role Stagnent", "Normal")</f>
        <v>Role Stagnent</v>
      </c>
      <c r="W1348" t="str">
        <f>IF(AND(Table1[[#This Row],[Years
InCurrentRole]]&gt; 4, Table1[[#This Row],[Performance
Rating]]&gt;=3), "High Risk", "Normal")</f>
        <v>High Risk</v>
      </c>
      <c r="X1348" t="str">
        <f>IF(Table1[[#This Row],[Performance
Rating]]&gt;=4, "High Performer", "Low Performer")</f>
        <v>Low Performer</v>
      </c>
    </row>
    <row r="1349" spans="2:24" x14ac:dyDescent="0.3">
      <c r="B1349" t="s">
        <v>27</v>
      </c>
      <c r="C1349" t="s">
        <v>20</v>
      </c>
      <c r="D1349">
        <v>1</v>
      </c>
      <c r="E1349" t="s">
        <v>28</v>
      </c>
      <c r="F1349">
        <v>2</v>
      </c>
      <c r="G1349" t="s">
        <v>32</v>
      </c>
      <c r="H1349">
        <v>4</v>
      </c>
      <c r="I1349">
        <v>5813</v>
      </c>
      <c r="J1349">
        <v>18</v>
      </c>
      <c r="K1349">
        <v>3</v>
      </c>
      <c r="L1349">
        <v>0</v>
      </c>
      <c r="M1349">
        <v>10</v>
      </c>
      <c r="N1349">
        <v>2</v>
      </c>
      <c r="O1349">
        <v>3</v>
      </c>
      <c r="P1349">
        <v>10</v>
      </c>
      <c r="Q1349">
        <v>7</v>
      </c>
      <c r="R1349">
        <v>7</v>
      </c>
      <c r="S1349" t="s">
        <v>34</v>
      </c>
      <c r="T1349" t="s">
        <v>37</v>
      </c>
      <c r="U1349" t="str">
        <f>IF(Table1[[#This Row],[YearsSince
LastPromotion]]&gt; 4, "Delayed", "Normal")</f>
        <v>Delayed</v>
      </c>
      <c r="V1349" t="str">
        <f>IF(Table1[[#This Row],[Years
InCurrentRole]]&gt;4, "Role Stagnent", "Normal")</f>
        <v>Role Stagnent</v>
      </c>
      <c r="W1349" t="str">
        <f>IF(AND(Table1[[#This Row],[Years
InCurrentRole]]&gt; 4, Table1[[#This Row],[Performance
Rating]]&gt;=3), "High Risk", "Normal")</f>
        <v>High Risk</v>
      </c>
      <c r="X1349" t="str">
        <f>IF(Table1[[#This Row],[Performance
Rating]]&gt;=4, "High Performer", "Low Performer")</f>
        <v>Low Performer</v>
      </c>
    </row>
    <row r="1350" spans="2:24" x14ac:dyDescent="0.3">
      <c r="B1350" t="s">
        <v>19</v>
      </c>
      <c r="C1350" t="s">
        <v>25</v>
      </c>
      <c r="D1350">
        <v>1</v>
      </c>
      <c r="E1350" t="s">
        <v>28</v>
      </c>
      <c r="F1350">
        <v>3</v>
      </c>
      <c r="G1350" t="s">
        <v>33</v>
      </c>
      <c r="H1350">
        <v>3</v>
      </c>
      <c r="I1350">
        <v>9434</v>
      </c>
      <c r="J1350">
        <v>15</v>
      </c>
      <c r="K1350">
        <v>3</v>
      </c>
      <c r="L1350">
        <v>1</v>
      </c>
      <c r="M1350">
        <v>10</v>
      </c>
      <c r="N1350">
        <v>2</v>
      </c>
      <c r="O1350">
        <v>3</v>
      </c>
      <c r="P1350">
        <v>10</v>
      </c>
      <c r="Q1350">
        <v>7</v>
      </c>
      <c r="R1350">
        <v>7</v>
      </c>
      <c r="S1350" t="s">
        <v>34</v>
      </c>
      <c r="T1350" t="s">
        <v>37</v>
      </c>
      <c r="U1350" t="str">
        <f>IF(Table1[[#This Row],[YearsSince
LastPromotion]]&gt; 4, "Delayed", "Normal")</f>
        <v>Delayed</v>
      </c>
      <c r="V1350" t="str">
        <f>IF(Table1[[#This Row],[Years
InCurrentRole]]&gt;4, "Role Stagnent", "Normal")</f>
        <v>Role Stagnent</v>
      </c>
      <c r="W1350" t="str">
        <f>IF(AND(Table1[[#This Row],[Years
InCurrentRole]]&gt; 4, Table1[[#This Row],[Performance
Rating]]&gt;=3), "High Risk", "Normal")</f>
        <v>High Risk</v>
      </c>
      <c r="X1350" t="str">
        <f>IF(Table1[[#This Row],[Performance
Rating]]&gt;=4, "High Performer", "Low Performer")</f>
        <v>Low Performer</v>
      </c>
    </row>
    <row r="1351" spans="2:24" x14ac:dyDescent="0.3">
      <c r="B1351" t="s">
        <v>19</v>
      </c>
      <c r="C1351" t="s">
        <v>36</v>
      </c>
      <c r="D1351">
        <v>1</v>
      </c>
      <c r="E1351" t="s">
        <v>28</v>
      </c>
      <c r="F1351">
        <v>4</v>
      </c>
      <c r="G1351" t="s">
        <v>22</v>
      </c>
      <c r="H1351">
        <v>4</v>
      </c>
      <c r="I1351">
        <v>16437</v>
      </c>
      <c r="J1351">
        <v>21</v>
      </c>
      <c r="K1351">
        <v>4</v>
      </c>
      <c r="L1351">
        <v>0</v>
      </c>
      <c r="M1351">
        <v>21</v>
      </c>
      <c r="N1351">
        <v>2</v>
      </c>
      <c r="O1351">
        <v>3</v>
      </c>
      <c r="P1351">
        <v>21</v>
      </c>
      <c r="Q1351">
        <v>7</v>
      </c>
      <c r="R1351">
        <v>7</v>
      </c>
      <c r="S1351" t="s">
        <v>34</v>
      </c>
      <c r="T1351" t="s">
        <v>37</v>
      </c>
      <c r="U1351" t="str">
        <f>IF(Table1[[#This Row],[YearsSince
LastPromotion]]&gt; 4, "Delayed", "Normal")</f>
        <v>Delayed</v>
      </c>
      <c r="V1351" t="str">
        <f>IF(Table1[[#This Row],[Years
InCurrentRole]]&gt;4, "Role Stagnent", "Normal")</f>
        <v>Role Stagnent</v>
      </c>
      <c r="W1351" t="str">
        <f>IF(AND(Table1[[#This Row],[Years
InCurrentRole]]&gt; 4, Table1[[#This Row],[Performance
Rating]]&gt;=3), "High Risk", "Normal")</f>
        <v>High Risk</v>
      </c>
      <c r="X1351" t="str">
        <f>IF(Table1[[#This Row],[Performance
Rating]]&gt;=4, "High Performer", "Low Performer")</f>
        <v>High Performer</v>
      </c>
    </row>
    <row r="1352" spans="2:24" x14ac:dyDescent="0.3">
      <c r="B1352" t="s">
        <v>19</v>
      </c>
      <c r="C1352" t="s">
        <v>25</v>
      </c>
      <c r="D1352">
        <v>1</v>
      </c>
      <c r="E1352" t="s">
        <v>28</v>
      </c>
      <c r="F1352">
        <v>4</v>
      </c>
      <c r="G1352" t="s">
        <v>22</v>
      </c>
      <c r="H1352">
        <v>4</v>
      </c>
      <c r="I1352">
        <v>17099</v>
      </c>
      <c r="J1352">
        <v>15</v>
      </c>
      <c r="K1352">
        <v>3</v>
      </c>
      <c r="L1352">
        <v>1</v>
      </c>
      <c r="M1352">
        <v>26</v>
      </c>
      <c r="N1352">
        <v>2</v>
      </c>
      <c r="O1352">
        <v>2</v>
      </c>
      <c r="P1352">
        <v>9</v>
      </c>
      <c r="Q1352">
        <v>8</v>
      </c>
      <c r="R1352">
        <v>7</v>
      </c>
      <c r="S1352" t="s">
        <v>23</v>
      </c>
      <c r="T1352" t="s">
        <v>37</v>
      </c>
      <c r="U1352" t="str">
        <f>IF(Table1[[#This Row],[YearsSince
LastPromotion]]&gt; 4, "Delayed", "Normal")</f>
        <v>Delayed</v>
      </c>
      <c r="V1352" t="str">
        <f>IF(Table1[[#This Row],[Years
InCurrentRole]]&gt;4, "Role Stagnent", "Normal")</f>
        <v>Role Stagnent</v>
      </c>
      <c r="W1352" t="str">
        <f>IF(AND(Table1[[#This Row],[Years
InCurrentRole]]&gt; 4, Table1[[#This Row],[Performance
Rating]]&gt;=3), "High Risk", "Normal")</f>
        <v>High Risk</v>
      </c>
      <c r="X1352" t="str">
        <f>IF(Table1[[#This Row],[Performance
Rating]]&gt;=4, "High Performer", "Low Performer")</f>
        <v>Low Performer</v>
      </c>
    </row>
    <row r="1353" spans="2:24" x14ac:dyDescent="0.3">
      <c r="B1353" t="s">
        <v>19</v>
      </c>
      <c r="C1353" t="s">
        <v>25</v>
      </c>
      <c r="D1353">
        <v>1</v>
      </c>
      <c r="E1353" t="s">
        <v>28</v>
      </c>
      <c r="F1353">
        <v>2</v>
      </c>
      <c r="G1353" t="s">
        <v>33</v>
      </c>
      <c r="H1353">
        <v>2</v>
      </c>
      <c r="I1353">
        <v>4434</v>
      </c>
      <c r="J1353">
        <v>13</v>
      </c>
      <c r="K1353">
        <v>3</v>
      </c>
      <c r="L1353">
        <v>1</v>
      </c>
      <c r="M1353">
        <v>10</v>
      </c>
      <c r="N1353">
        <v>3</v>
      </c>
      <c r="O1353">
        <v>2</v>
      </c>
      <c r="P1353">
        <v>9</v>
      </c>
      <c r="Q1353">
        <v>8</v>
      </c>
      <c r="R1353">
        <v>7</v>
      </c>
      <c r="S1353" t="s">
        <v>23</v>
      </c>
      <c r="T1353" t="s">
        <v>37</v>
      </c>
      <c r="U1353" t="str">
        <f>IF(Table1[[#This Row],[YearsSince
LastPromotion]]&gt; 4, "Delayed", "Normal")</f>
        <v>Delayed</v>
      </c>
      <c r="V1353" t="str">
        <f>IF(Table1[[#This Row],[Years
InCurrentRole]]&gt;4, "Role Stagnent", "Normal")</f>
        <v>Role Stagnent</v>
      </c>
      <c r="W1353" t="str">
        <f>IF(AND(Table1[[#This Row],[Years
InCurrentRole]]&gt; 4, Table1[[#This Row],[Performance
Rating]]&gt;=3), "High Risk", "Normal")</f>
        <v>High Risk</v>
      </c>
      <c r="X1353" t="str">
        <f>IF(Table1[[#This Row],[Performance
Rating]]&gt;=4, "High Performer", "Low Performer")</f>
        <v>Low Performer</v>
      </c>
    </row>
    <row r="1354" spans="2:24" x14ac:dyDescent="0.3">
      <c r="B1354" t="s">
        <v>19</v>
      </c>
      <c r="C1354" t="s">
        <v>25</v>
      </c>
      <c r="D1354">
        <v>1</v>
      </c>
      <c r="E1354" t="s">
        <v>28</v>
      </c>
      <c r="F1354">
        <v>2</v>
      </c>
      <c r="G1354" t="s">
        <v>33</v>
      </c>
      <c r="H1354">
        <v>4</v>
      </c>
      <c r="I1354">
        <v>6162</v>
      </c>
      <c r="J1354">
        <v>22</v>
      </c>
      <c r="K1354">
        <v>4</v>
      </c>
      <c r="L1354">
        <v>1</v>
      </c>
      <c r="M1354">
        <v>9</v>
      </c>
      <c r="N1354">
        <v>3</v>
      </c>
      <c r="O1354">
        <v>3</v>
      </c>
      <c r="P1354">
        <v>9</v>
      </c>
      <c r="Q1354">
        <v>8</v>
      </c>
      <c r="R1354">
        <v>7</v>
      </c>
      <c r="S1354" t="s">
        <v>34</v>
      </c>
      <c r="T1354" t="s">
        <v>37</v>
      </c>
      <c r="U1354" t="str">
        <f>IF(Table1[[#This Row],[YearsSince
LastPromotion]]&gt; 4, "Delayed", "Normal")</f>
        <v>Delayed</v>
      </c>
      <c r="V1354" t="str">
        <f>IF(Table1[[#This Row],[Years
InCurrentRole]]&gt;4, "Role Stagnent", "Normal")</f>
        <v>Role Stagnent</v>
      </c>
      <c r="W1354" t="str">
        <f>IF(AND(Table1[[#This Row],[Years
InCurrentRole]]&gt; 4, Table1[[#This Row],[Performance
Rating]]&gt;=3), "High Risk", "Normal")</f>
        <v>High Risk</v>
      </c>
      <c r="X1354" t="str">
        <f>IF(Table1[[#This Row],[Performance
Rating]]&gt;=4, "High Performer", "Low Performer")</f>
        <v>High Performer</v>
      </c>
    </row>
    <row r="1355" spans="2:24" x14ac:dyDescent="0.3">
      <c r="B1355" t="s">
        <v>19</v>
      </c>
      <c r="C1355" t="s">
        <v>20</v>
      </c>
      <c r="D1355">
        <v>1</v>
      </c>
      <c r="E1355" t="s">
        <v>21</v>
      </c>
      <c r="F1355">
        <v>3</v>
      </c>
      <c r="G1355" t="s">
        <v>32</v>
      </c>
      <c r="H1355">
        <v>1</v>
      </c>
      <c r="I1355">
        <v>8412</v>
      </c>
      <c r="J1355">
        <v>11</v>
      </c>
      <c r="K1355">
        <v>3</v>
      </c>
      <c r="L1355">
        <v>0</v>
      </c>
      <c r="M1355">
        <v>10</v>
      </c>
      <c r="N1355">
        <v>3</v>
      </c>
      <c r="O1355">
        <v>3</v>
      </c>
      <c r="P1355">
        <v>9</v>
      </c>
      <c r="Q1355">
        <v>8</v>
      </c>
      <c r="R1355">
        <v>7</v>
      </c>
      <c r="S1355" t="s">
        <v>34</v>
      </c>
      <c r="T1355" t="s">
        <v>37</v>
      </c>
      <c r="U1355" t="str">
        <f>IF(Table1[[#This Row],[YearsSince
LastPromotion]]&gt; 4, "Delayed", "Normal")</f>
        <v>Delayed</v>
      </c>
      <c r="V1355" t="str">
        <f>IF(Table1[[#This Row],[Years
InCurrentRole]]&gt;4, "Role Stagnent", "Normal")</f>
        <v>Role Stagnent</v>
      </c>
      <c r="W1355" t="str">
        <f>IF(AND(Table1[[#This Row],[Years
InCurrentRole]]&gt; 4, Table1[[#This Row],[Performance
Rating]]&gt;=3), "High Risk", "Normal")</f>
        <v>High Risk</v>
      </c>
      <c r="X1355" t="str">
        <f>IF(Table1[[#This Row],[Performance
Rating]]&gt;=4, "High Performer", "Low Performer")</f>
        <v>Low Performer</v>
      </c>
    </row>
    <row r="1356" spans="2:24" x14ac:dyDescent="0.3">
      <c r="B1356" t="s">
        <v>19</v>
      </c>
      <c r="C1356" t="s">
        <v>20</v>
      </c>
      <c r="D1356">
        <v>1</v>
      </c>
      <c r="E1356" t="s">
        <v>28</v>
      </c>
      <c r="F1356">
        <v>2</v>
      </c>
      <c r="G1356" t="s">
        <v>32</v>
      </c>
      <c r="H1356">
        <v>2</v>
      </c>
      <c r="I1356">
        <v>9924</v>
      </c>
      <c r="J1356">
        <v>11</v>
      </c>
      <c r="K1356">
        <v>3</v>
      </c>
      <c r="L1356">
        <v>1</v>
      </c>
      <c r="M1356">
        <v>10</v>
      </c>
      <c r="N1356">
        <v>3</v>
      </c>
      <c r="O1356">
        <v>3</v>
      </c>
      <c r="P1356">
        <v>9</v>
      </c>
      <c r="Q1356">
        <v>8</v>
      </c>
      <c r="R1356">
        <v>7</v>
      </c>
      <c r="S1356" t="s">
        <v>34</v>
      </c>
      <c r="T1356" t="s">
        <v>37</v>
      </c>
      <c r="U1356" t="str">
        <f>IF(Table1[[#This Row],[YearsSince
LastPromotion]]&gt; 4, "Delayed", "Normal")</f>
        <v>Delayed</v>
      </c>
      <c r="V1356" t="str">
        <f>IF(Table1[[#This Row],[Years
InCurrentRole]]&gt;4, "Role Stagnent", "Normal")</f>
        <v>Role Stagnent</v>
      </c>
      <c r="W1356" t="str">
        <f>IF(AND(Table1[[#This Row],[Years
InCurrentRole]]&gt; 4, Table1[[#This Row],[Performance
Rating]]&gt;=3), "High Risk", "Normal")</f>
        <v>High Risk</v>
      </c>
      <c r="X1356" t="str">
        <f>IF(Table1[[#This Row],[Performance
Rating]]&gt;=4, "High Performer", "Low Performer")</f>
        <v>Low Performer</v>
      </c>
    </row>
    <row r="1357" spans="2:24" x14ac:dyDescent="0.3">
      <c r="B1357" t="s">
        <v>19</v>
      </c>
      <c r="C1357" t="s">
        <v>25</v>
      </c>
      <c r="D1357">
        <v>1</v>
      </c>
      <c r="E1357" t="s">
        <v>21</v>
      </c>
      <c r="F1357">
        <v>2</v>
      </c>
      <c r="G1357" t="s">
        <v>29</v>
      </c>
      <c r="H1357">
        <v>4</v>
      </c>
      <c r="I1357">
        <v>6674</v>
      </c>
      <c r="J1357">
        <v>11</v>
      </c>
      <c r="K1357">
        <v>3</v>
      </c>
      <c r="L1357">
        <v>3</v>
      </c>
      <c r="M1357">
        <v>10</v>
      </c>
      <c r="N1357">
        <v>6</v>
      </c>
      <c r="O1357">
        <v>3</v>
      </c>
      <c r="P1357">
        <v>9</v>
      </c>
      <c r="Q1357">
        <v>8</v>
      </c>
      <c r="R1357">
        <v>7</v>
      </c>
      <c r="S1357" t="s">
        <v>34</v>
      </c>
      <c r="T1357" t="s">
        <v>37</v>
      </c>
      <c r="U1357" t="str">
        <f>IF(Table1[[#This Row],[YearsSince
LastPromotion]]&gt; 4, "Delayed", "Normal")</f>
        <v>Delayed</v>
      </c>
      <c r="V1357" t="str">
        <f>IF(Table1[[#This Row],[Years
InCurrentRole]]&gt;4, "Role Stagnent", "Normal")</f>
        <v>Role Stagnent</v>
      </c>
      <c r="W1357" t="str">
        <f>IF(AND(Table1[[#This Row],[Years
InCurrentRole]]&gt; 4, Table1[[#This Row],[Performance
Rating]]&gt;=3), "High Risk", "Normal")</f>
        <v>High Risk</v>
      </c>
      <c r="X1357" t="str">
        <f>IF(Table1[[#This Row],[Performance
Rating]]&gt;=4, "High Performer", "Low Performer")</f>
        <v>Low Performer</v>
      </c>
    </row>
    <row r="1358" spans="2:24" x14ac:dyDescent="0.3">
      <c r="B1358" t="s">
        <v>27</v>
      </c>
      <c r="C1358" t="s">
        <v>20</v>
      </c>
      <c r="D1358">
        <v>1</v>
      </c>
      <c r="E1358" t="s">
        <v>21</v>
      </c>
      <c r="F1358">
        <v>3</v>
      </c>
      <c r="G1358" t="s">
        <v>32</v>
      </c>
      <c r="H1358">
        <v>4</v>
      </c>
      <c r="I1358">
        <v>7654</v>
      </c>
      <c r="J1358">
        <v>18</v>
      </c>
      <c r="K1358">
        <v>3</v>
      </c>
      <c r="L1358">
        <v>2</v>
      </c>
      <c r="M1358">
        <v>9</v>
      </c>
      <c r="N1358">
        <v>3</v>
      </c>
      <c r="O1358">
        <v>4</v>
      </c>
      <c r="P1358">
        <v>9</v>
      </c>
      <c r="Q1358">
        <v>8</v>
      </c>
      <c r="R1358">
        <v>7</v>
      </c>
      <c r="S1358" t="s">
        <v>34</v>
      </c>
      <c r="T1358" t="s">
        <v>37</v>
      </c>
      <c r="U1358" t="str">
        <f>IF(Table1[[#This Row],[YearsSince
LastPromotion]]&gt; 4, "Delayed", "Normal")</f>
        <v>Delayed</v>
      </c>
      <c r="V1358" t="str">
        <f>IF(Table1[[#This Row],[Years
InCurrentRole]]&gt;4, "Role Stagnent", "Normal")</f>
        <v>Role Stagnent</v>
      </c>
      <c r="W1358" t="str">
        <f>IF(AND(Table1[[#This Row],[Years
InCurrentRole]]&gt; 4, Table1[[#This Row],[Performance
Rating]]&gt;=3), "High Risk", "Normal")</f>
        <v>High Risk</v>
      </c>
      <c r="X1358" t="str">
        <f>IF(Table1[[#This Row],[Performance
Rating]]&gt;=4, "High Performer", "Low Performer")</f>
        <v>Low Performer</v>
      </c>
    </row>
    <row r="1359" spans="2:24" x14ac:dyDescent="0.3">
      <c r="B1359" t="s">
        <v>19</v>
      </c>
      <c r="C1359" t="s">
        <v>25</v>
      </c>
      <c r="D1359">
        <v>1</v>
      </c>
      <c r="E1359" t="s">
        <v>28</v>
      </c>
      <c r="F1359">
        <v>1</v>
      </c>
      <c r="G1359" t="s">
        <v>26</v>
      </c>
      <c r="H1359">
        <v>1</v>
      </c>
      <c r="I1359">
        <v>3143</v>
      </c>
      <c r="J1359">
        <v>19</v>
      </c>
      <c r="K1359">
        <v>3</v>
      </c>
      <c r="L1359">
        <v>1</v>
      </c>
      <c r="M1359">
        <v>14</v>
      </c>
      <c r="N1359">
        <v>1</v>
      </c>
      <c r="O1359">
        <v>3</v>
      </c>
      <c r="P1359">
        <v>10</v>
      </c>
      <c r="Q1359">
        <v>8</v>
      </c>
      <c r="R1359">
        <v>7</v>
      </c>
      <c r="S1359" t="s">
        <v>34</v>
      </c>
      <c r="T1359" t="s">
        <v>37</v>
      </c>
      <c r="U1359" t="str">
        <f>IF(Table1[[#This Row],[YearsSince
LastPromotion]]&gt; 4, "Delayed", "Normal")</f>
        <v>Delayed</v>
      </c>
      <c r="V1359" t="str">
        <f>IF(Table1[[#This Row],[Years
InCurrentRole]]&gt;4, "Role Stagnent", "Normal")</f>
        <v>Role Stagnent</v>
      </c>
      <c r="W1359" t="str">
        <f>IF(AND(Table1[[#This Row],[Years
InCurrentRole]]&gt; 4, Table1[[#This Row],[Performance
Rating]]&gt;=3), "High Risk", "Normal")</f>
        <v>High Risk</v>
      </c>
      <c r="X1359" t="str">
        <f>IF(Table1[[#This Row],[Performance
Rating]]&gt;=4, "High Performer", "Low Performer")</f>
        <v>Low Performer</v>
      </c>
    </row>
    <row r="1360" spans="2:24" x14ac:dyDescent="0.3">
      <c r="B1360" t="s">
        <v>19</v>
      </c>
      <c r="C1360" t="s">
        <v>25</v>
      </c>
      <c r="D1360">
        <v>1</v>
      </c>
      <c r="E1360" t="s">
        <v>28</v>
      </c>
      <c r="F1360">
        <v>3</v>
      </c>
      <c r="G1360" t="s">
        <v>31</v>
      </c>
      <c r="H1360">
        <v>2</v>
      </c>
      <c r="I1360">
        <v>7441</v>
      </c>
      <c r="J1360">
        <v>12</v>
      </c>
      <c r="K1360">
        <v>3</v>
      </c>
      <c r="L1360">
        <v>3</v>
      </c>
      <c r="M1360">
        <v>10</v>
      </c>
      <c r="N1360">
        <v>4</v>
      </c>
      <c r="O1360">
        <v>3</v>
      </c>
      <c r="P1360">
        <v>10</v>
      </c>
      <c r="Q1360">
        <v>8</v>
      </c>
      <c r="R1360">
        <v>7</v>
      </c>
      <c r="S1360" t="s">
        <v>34</v>
      </c>
      <c r="T1360" t="s">
        <v>37</v>
      </c>
      <c r="U1360" t="str">
        <f>IF(Table1[[#This Row],[YearsSince
LastPromotion]]&gt; 4, "Delayed", "Normal")</f>
        <v>Delayed</v>
      </c>
      <c r="V1360" t="str">
        <f>IF(Table1[[#This Row],[Years
InCurrentRole]]&gt;4, "Role Stagnent", "Normal")</f>
        <v>Role Stagnent</v>
      </c>
      <c r="W1360" t="str">
        <f>IF(AND(Table1[[#This Row],[Years
InCurrentRole]]&gt; 4, Table1[[#This Row],[Performance
Rating]]&gt;=3), "High Risk", "Normal")</f>
        <v>High Risk</v>
      </c>
      <c r="X1360" t="str">
        <f>IF(Table1[[#This Row],[Performance
Rating]]&gt;=4, "High Performer", "Low Performer")</f>
        <v>Low Performer</v>
      </c>
    </row>
    <row r="1361" spans="2:24" x14ac:dyDescent="0.3">
      <c r="B1361" t="s">
        <v>19</v>
      </c>
      <c r="C1361" t="s">
        <v>25</v>
      </c>
      <c r="D1361">
        <v>1</v>
      </c>
      <c r="E1361" t="s">
        <v>21</v>
      </c>
      <c r="F1361">
        <v>2</v>
      </c>
      <c r="G1361" t="s">
        <v>26</v>
      </c>
      <c r="H1361">
        <v>2</v>
      </c>
      <c r="I1361">
        <v>5433</v>
      </c>
      <c r="J1361">
        <v>12</v>
      </c>
      <c r="K1361">
        <v>3</v>
      </c>
      <c r="L1361">
        <v>1</v>
      </c>
      <c r="M1361">
        <v>11</v>
      </c>
      <c r="N1361">
        <v>2</v>
      </c>
      <c r="O1361">
        <v>3</v>
      </c>
      <c r="P1361">
        <v>11</v>
      </c>
      <c r="Q1361">
        <v>8</v>
      </c>
      <c r="R1361">
        <v>7</v>
      </c>
      <c r="S1361" t="s">
        <v>34</v>
      </c>
      <c r="T1361" t="s">
        <v>37</v>
      </c>
      <c r="U1361" t="str">
        <f>IF(Table1[[#This Row],[YearsSince
LastPromotion]]&gt; 4, "Delayed", "Normal")</f>
        <v>Delayed</v>
      </c>
      <c r="V1361" t="str">
        <f>IF(Table1[[#This Row],[Years
InCurrentRole]]&gt;4, "Role Stagnent", "Normal")</f>
        <v>Role Stagnent</v>
      </c>
      <c r="W1361" t="str">
        <f>IF(AND(Table1[[#This Row],[Years
InCurrentRole]]&gt; 4, Table1[[#This Row],[Performance
Rating]]&gt;=3), "High Risk", "Normal")</f>
        <v>High Risk</v>
      </c>
      <c r="X1361" t="str">
        <f>IF(Table1[[#This Row],[Performance
Rating]]&gt;=4, "High Performer", "Low Performer")</f>
        <v>Low Performer</v>
      </c>
    </row>
    <row r="1362" spans="2:24" x14ac:dyDescent="0.3">
      <c r="B1362" t="s">
        <v>19</v>
      </c>
      <c r="C1362" t="s">
        <v>25</v>
      </c>
      <c r="D1362">
        <v>1</v>
      </c>
      <c r="E1362" t="s">
        <v>21</v>
      </c>
      <c r="F1362">
        <v>3</v>
      </c>
      <c r="G1362" t="s">
        <v>33</v>
      </c>
      <c r="H1362">
        <v>4</v>
      </c>
      <c r="I1362">
        <v>8858</v>
      </c>
      <c r="J1362">
        <v>11</v>
      </c>
      <c r="K1362">
        <v>3</v>
      </c>
      <c r="L1362">
        <v>0</v>
      </c>
      <c r="M1362">
        <v>15</v>
      </c>
      <c r="N1362">
        <v>2</v>
      </c>
      <c r="O1362">
        <v>2</v>
      </c>
      <c r="P1362">
        <v>14</v>
      </c>
      <c r="Q1362">
        <v>8</v>
      </c>
      <c r="R1362">
        <v>7</v>
      </c>
      <c r="S1362" t="s">
        <v>23</v>
      </c>
      <c r="T1362" t="s">
        <v>37</v>
      </c>
      <c r="U1362" t="str">
        <f>IF(Table1[[#This Row],[YearsSince
LastPromotion]]&gt; 4, "Delayed", "Normal")</f>
        <v>Delayed</v>
      </c>
      <c r="V1362" t="str">
        <f>IF(Table1[[#This Row],[Years
InCurrentRole]]&gt;4, "Role Stagnent", "Normal")</f>
        <v>Role Stagnent</v>
      </c>
      <c r="W1362" t="str">
        <f>IF(AND(Table1[[#This Row],[Years
InCurrentRole]]&gt; 4, Table1[[#This Row],[Performance
Rating]]&gt;=3), "High Risk", "Normal")</f>
        <v>High Risk</v>
      </c>
      <c r="X1362" t="str">
        <f>IF(Table1[[#This Row],[Performance
Rating]]&gt;=4, "High Performer", "Low Performer")</f>
        <v>Low Performer</v>
      </c>
    </row>
    <row r="1363" spans="2:24" x14ac:dyDescent="0.3">
      <c r="B1363" t="s">
        <v>27</v>
      </c>
      <c r="C1363" t="s">
        <v>25</v>
      </c>
      <c r="D1363">
        <v>1</v>
      </c>
      <c r="E1363" t="s">
        <v>28</v>
      </c>
      <c r="F1363">
        <v>1</v>
      </c>
      <c r="G1363" t="s">
        <v>26</v>
      </c>
      <c r="H1363">
        <v>4</v>
      </c>
      <c r="I1363">
        <v>2686</v>
      </c>
      <c r="J1363">
        <v>13</v>
      </c>
      <c r="K1363">
        <v>3</v>
      </c>
      <c r="L1363">
        <v>0</v>
      </c>
      <c r="M1363">
        <v>10</v>
      </c>
      <c r="N1363">
        <v>2</v>
      </c>
      <c r="O1363">
        <v>2</v>
      </c>
      <c r="P1363">
        <v>10</v>
      </c>
      <c r="Q1363">
        <v>9</v>
      </c>
      <c r="R1363">
        <v>7</v>
      </c>
      <c r="S1363" t="s">
        <v>23</v>
      </c>
      <c r="T1363" t="s">
        <v>37</v>
      </c>
      <c r="U1363" t="str">
        <f>IF(Table1[[#This Row],[YearsSince
LastPromotion]]&gt; 4, "Delayed", "Normal")</f>
        <v>Delayed</v>
      </c>
      <c r="V1363" t="str">
        <f>IF(Table1[[#This Row],[Years
InCurrentRole]]&gt;4, "Role Stagnent", "Normal")</f>
        <v>Role Stagnent</v>
      </c>
      <c r="W1363" t="str">
        <f>IF(AND(Table1[[#This Row],[Years
InCurrentRole]]&gt; 4, Table1[[#This Row],[Performance
Rating]]&gt;=3), "High Risk", "Normal")</f>
        <v>High Risk</v>
      </c>
      <c r="X1363" t="str">
        <f>IF(Table1[[#This Row],[Performance
Rating]]&gt;=4, "High Performer", "Low Performer")</f>
        <v>Low Performer</v>
      </c>
    </row>
    <row r="1364" spans="2:24" x14ac:dyDescent="0.3">
      <c r="B1364" t="s">
        <v>19</v>
      </c>
      <c r="C1364" t="s">
        <v>20</v>
      </c>
      <c r="D1364">
        <v>1</v>
      </c>
      <c r="E1364" t="s">
        <v>21</v>
      </c>
      <c r="F1364">
        <v>3</v>
      </c>
      <c r="G1364" t="s">
        <v>32</v>
      </c>
      <c r="H1364">
        <v>4</v>
      </c>
      <c r="I1364">
        <v>9419</v>
      </c>
      <c r="J1364">
        <v>12</v>
      </c>
      <c r="K1364">
        <v>3</v>
      </c>
      <c r="L1364">
        <v>1</v>
      </c>
      <c r="M1364">
        <v>12</v>
      </c>
      <c r="N1364">
        <v>2</v>
      </c>
      <c r="O1364">
        <v>3</v>
      </c>
      <c r="P1364">
        <v>10</v>
      </c>
      <c r="Q1364">
        <v>9</v>
      </c>
      <c r="R1364">
        <v>7</v>
      </c>
      <c r="S1364" t="s">
        <v>34</v>
      </c>
      <c r="T1364" t="s">
        <v>37</v>
      </c>
      <c r="U1364" t="str">
        <f>IF(Table1[[#This Row],[YearsSince
LastPromotion]]&gt; 4, "Delayed", "Normal")</f>
        <v>Delayed</v>
      </c>
      <c r="V1364" t="str">
        <f>IF(Table1[[#This Row],[Years
InCurrentRole]]&gt;4, "Role Stagnent", "Normal")</f>
        <v>Role Stagnent</v>
      </c>
      <c r="W1364" t="str">
        <f>IF(AND(Table1[[#This Row],[Years
InCurrentRole]]&gt; 4, Table1[[#This Row],[Performance
Rating]]&gt;=3), "High Risk", "Normal")</f>
        <v>High Risk</v>
      </c>
      <c r="X1364" t="str">
        <f>IF(Table1[[#This Row],[Performance
Rating]]&gt;=4, "High Performer", "Low Performer")</f>
        <v>Low Performer</v>
      </c>
    </row>
    <row r="1365" spans="2:24" x14ac:dyDescent="0.3">
      <c r="B1365" t="s">
        <v>19</v>
      </c>
      <c r="C1365" t="s">
        <v>20</v>
      </c>
      <c r="D1365">
        <v>1</v>
      </c>
      <c r="E1365" t="s">
        <v>21</v>
      </c>
      <c r="F1365">
        <v>4</v>
      </c>
      <c r="G1365" t="s">
        <v>22</v>
      </c>
      <c r="H1365">
        <v>2</v>
      </c>
      <c r="I1365">
        <v>16835</v>
      </c>
      <c r="J1365">
        <v>23</v>
      </c>
      <c r="K1365">
        <v>4</v>
      </c>
      <c r="L1365">
        <v>0</v>
      </c>
      <c r="M1365">
        <v>37</v>
      </c>
      <c r="N1365">
        <v>2</v>
      </c>
      <c r="O1365">
        <v>3</v>
      </c>
      <c r="P1365">
        <v>10</v>
      </c>
      <c r="Q1365">
        <v>9</v>
      </c>
      <c r="R1365">
        <v>7</v>
      </c>
      <c r="S1365" t="s">
        <v>34</v>
      </c>
      <c r="T1365" t="s">
        <v>37</v>
      </c>
      <c r="U1365" t="str">
        <f>IF(Table1[[#This Row],[YearsSince
LastPromotion]]&gt; 4, "Delayed", "Normal")</f>
        <v>Delayed</v>
      </c>
      <c r="V1365" t="str">
        <f>IF(Table1[[#This Row],[Years
InCurrentRole]]&gt;4, "Role Stagnent", "Normal")</f>
        <v>Role Stagnent</v>
      </c>
      <c r="W1365" t="str">
        <f>IF(AND(Table1[[#This Row],[Years
InCurrentRole]]&gt; 4, Table1[[#This Row],[Performance
Rating]]&gt;=3), "High Risk", "Normal")</f>
        <v>High Risk</v>
      </c>
      <c r="X1365" t="str">
        <f>IF(Table1[[#This Row],[Performance
Rating]]&gt;=4, "High Performer", "Low Performer")</f>
        <v>High Performer</v>
      </c>
    </row>
    <row r="1366" spans="2:24" x14ac:dyDescent="0.3">
      <c r="B1366" t="s">
        <v>19</v>
      </c>
      <c r="C1366" t="s">
        <v>20</v>
      </c>
      <c r="D1366">
        <v>1</v>
      </c>
      <c r="E1366" t="s">
        <v>21</v>
      </c>
      <c r="F1366">
        <v>3</v>
      </c>
      <c r="G1366" t="s">
        <v>32</v>
      </c>
      <c r="H1366">
        <v>1</v>
      </c>
      <c r="I1366">
        <v>7637</v>
      </c>
      <c r="J1366">
        <v>11</v>
      </c>
      <c r="K1366">
        <v>3</v>
      </c>
      <c r="L1366">
        <v>0</v>
      </c>
      <c r="M1366">
        <v>28</v>
      </c>
      <c r="N1366">
        <v>3</v>
      </c>
      <c r="O1366">
        <v>2</v>
      </c>
      <c r="P1366">
        <v>21</v>
      </c>
      <c r="Q1366">
        <v>16</v>
      </c>
      <c r="R1366">
        <v>7</v>
      </c>
      <c r="S1366" t="s">
        <v>23</v>
      </c>
      <c r="T1366" t="s">
        <v>37</v>
      </c>
      <c r="U1366" t="str">
        <f>IF(Table1[[#This Row],[YearsSince
LastPromotion]]&gt; 4, "Delayed", "Normal")</f>
        <v>Delayed</v>
      </c>
      <c r="V1366" t="str">
        <f>IF(Table1[[#This Row],[Years
InCurrentRole]]&gt;4, "Role Stagnent", "Normal")</f>
        <v>Role Stagnent</v>
      </c>
      <c r="W1366" t="str">
        <f>IF(AND(Table1[[#This Row],[Years
InCurrentRole]]&gt; 4, Table1[[#This Row],[Performance
Rating]]&gt;=3), "High Risk", "Normal")</f>
        <v>High Risk</v>
      </c>
      <c r="X1366" t="str">
        <f>IF(Table1[[#This Row],[Performance
Rating]]&gt;=4, "High Performer", "Low Performer")</f>
        <v>Low Performer</v>
      </c>
    </row>
    <row r="1367" spans="2:24" x14ac:dyDescent="0.3">
      <c r="B1367" t="s">
        <v>19</v>
      </c>
      <c r="C1367" t="s">
        <v>20</v>
      </c>
      <c r="D1367">
        <v>1</v>
      </c>
      <c r="E1367" t="s">
        <v>28</v>
      </c>
      <c r="F1367">
        <v>2</v>
      </c>
      <c r="G1367" t="s">
        <v>32</v>
      </c>
      <c r="H1367">
        <v>3</v>
      </c>
      <c r="I1367">
        <v>4568</v>
      </c>
      <c r="J1367">
        <v>20</v>
      </c>
      <c r="K1367">
        <v>4</v>
      </c>
      <c r="L1367">
        <v>0</v>
      </c>
      <c r="M1367">
        <v>10</v>
      </c>
      <c r="N1367">
        <v>2</v>
      </c>
      <c r="O1367">
        <v>3</v>
      </c>
      <c r="P1367">
        <v>9</v>
      </c>
      <c r="Q1367">
        <v>5</v>
      </c>
      <c r="R1367">
        <v>8</v>
      </c>
      <c r="S1367" t="s">
        <v>34</v>
      </c>
      <c r="T1367" t="s">
        <v>37</v>
      </c>
      <c r="U1367" t="str">
        <f>IF(Table1[[#This Row],[YearsSince
LastPromotion]]&gt; 4, "Delayed", "Normal")</f>
        <v>Delayed</v>
      </c>
      <c r="V1367" t="str">
        <f>IF(Table1[[#This Row],[Years
InCurrentRole]]&gt;4, "Role Stagnent", "Normal")</f>
        <v>Role Stagnent</v>
      </c>
      <c r="W1367" t="str">
        <f>IF(AND(Table1[[#This Row],[Years
InCurrentRole]]&gt; 4, Table1[[#This Row],[Performance
Rating]]&gt;=3), "High Risk", "Normal")</f>
        <v>High Risk</v>
      </c>
      <c r="X1367" t="str">
        <f>IF(Table1[[#This Row],[Performance
Rating]]&gt;=4, "High Performer", "Low Performer")</f>
        <v>High Performer</v>
      </c>
    </row>
    <row r="1368" spans="2:24" x14ac:dyDescent="0.3">
      <c r="B1368" t="s">
        <v>19</v>
      </c>
      <c r="C1368" t="s">
        <v>25</v>
      </c>
      <c r="D1368">
        <v>1</v>
      </c>
      <c r="E1368" t="s">
        <v>21</v>
      </c>
      <c r="F1368">
        <v>3</v>
      </c>
      <c r="G1368" t="s">
        <v>22</v>
      </c>
      <c r="H1368">
        <v>2</v>
      </c>
      <c r="I1368">
        <v>11878</v>
      </c>
      <c r="J1368">
        <v>11</v>
      </c>
      <c r="K1368">
        <v>3</v>
      </c>
      <c r="L1368">
        <v>2</v>
      </c>
      <c r="M1368">
        <v>12</v>
      </c>
      <c r="N1368">
        <v>2</v>
      </c>
      <c r="O1368">
        <v>3</v>
      </c>
      <c r="P1368">
        <v>10</v>
      </c>
      <c r="Q1368">
        <v>6</v>
      </c>
      <c r="R1368">
        <v>8</v>
      </c>
      <c r="S1368" t="s">
        <v>34</v>
      </c>
      <c r="T1368" t="s">
        <v>37</v>
      </c>
      <c r="U1368" t="str">
        <f>IF(Table1[[#This Row],[YearsSince
LastPromotion]]&gt; 4, "Delayed", "Normal")</f>
        <v>Delayed</v>
      </c>
      <c r="V1368" t="str">
        <f>IF(Table1[[#This Row],[Years
InCurrentRole]]&gt;4, "Role Stagnent", "Normal")</f>
        <v>Role Stagnent</v>
      </c>
      <c r="W1368" t="str">
        <f>IF(AND(Table1[[#This Row],[Years
InCurrentRole]]&gt; 4, Table1[[#This Row],[Performance
Rating]]&gt;=3), "High Risk", "Normal")</f>
        <v>High Risk</v>
      </c>
      <c r="X1368" t="str">
        <f>IF(Table1[[#This Row],[Performance
Rating]]&gt;=4, "High Performer", "Low Performer")</f>
        <v>Low Performer</v>
      </c>
    </row>
    <row r="1369" spans="2:24" x14ac:dyDescent="0.3">
      <c r="B1369" t="s">
        <v>19</v>
      </c>
      <c r="C1369" t="s">
        <v>25</v>
      </c>
      <c r="D1369">
        <v>1</v>
      </c>
      <c r="E1369" t="s">
        <v>21</v>
      </c>
      <c r="F1369">
        <v>4</v>
      </c>
      <c r="G1369" t="s">
        <v>35</v>
      </c>
      <c r="H1369">
        <v>2</v>
      </c>
      <c r="I1369">
        <v>16704</v>
      </c>
      <c r="J1369">
        <v>11</v>
      </c>
      <c r="K1369">
        <v>3</v>
      </c>
      <c r="L1369">
        <v>0</v>
      </c>
      <c r="M1369">
        <v>21</v>
      </c>
      <c r="N1369">
        <v>2</v>
      </c>
      <c r="O1369">
        <v>3</v>
      </c>
      <c r="P1369">
        <v>21</v>
      </c>
      <c r="Q1369">
        <v>6</v>
      </c>
      <c r="R1369">
        <v>8</v>
      </c>
      <c r="S1369" t="s">
        <v>34</v>
      </c>
      <c r="T1369" t="s">
        <v>37</v>
      </c>
      <c r="U1369" t="str">
        <f>IF(Table1[[#This Row],[YearsSince
LastPromotion]]&gt; 4, "Delayed", "Normal")</f>
        <v>Delayed</v>
      </c>
      <c r="V1369" t="str">
        <f>IF(Table1[[#This Row],[Years
InCurrentRole]]&gt;4, "Role Stagnent", "Normal")</f>
        <v>Role Stagnent</v>
      </c>
      <c r="W1369" t="str">
        <f>IF(AND(Table1[[#This Row],[Years
InCurrentRole]]&gt; 4, Table1[[#This Row],[Performance
Rating]]&gt;=3), "High Risk", "Normal")</f>
        <v>High Risk</v>
      </c>
      <c r="X1369" t="str">
        <f>IF(Table1[[#This Row],[Performance
Rating]]&gt;=4, "High Performer", "Low Performer")</f>
        <v>Low Performer</v>
      </c>
    </row>
    <row r="1370" spans="2:24" x14ac:dyDescent="0.3">
      <c r="B1370" t="s">
        <v>19</v>
      </c>
      <c r="C1370" t="s">
        <v>25</v>
      </c>
      <c r="D1370">
        <v>1</v>
      </c>
      <c r="E1370" t="s">
        <v>21</v>
      </c>
      <c r="F1370">
        <v>2</v>
      </c>
      <c r="G1370" t="s">
        <v>31</v>
      </c>
      <c r="H1370">
        <v>4</v>
      </c>
      <c r="I1370">
        <v>5855</v>
      </c>
      <c r="J1370">
        <v>11</v>
      </c>
      <c r="K1370">
        <v>3</v>
      </c>
      <c r="L1370">
        <v>2</v>
      </c>
      <c r="M1370">
        <v>10</v>
      </c>
      <c r="N1370">
        <v>2</v>
      </c>
      <c r="O1370">
        <v>1</v>
      </c>
      <c r="P1370">
        <v>9</v>
      </c>
      <c r="Q1370">
        <v>7</v>
      </c>
      <c r="R1370">
        <v>8</v>
      </c>
      <c r="S1370" t="s">
        <v>23</v>
      </c>
      <c r="T1370" t="s">
        <v>37</v>
      </c>
      <c r="U1370" t="str">
        <f>IF(Table1[[#This Row],[YearsSince
LastPromotion]]&gt; 4, "Delayed", "Normal")</f>
        <v>Delayed</v>
      </c>
      <c r="V1370" t="str">
        <f>IF(Table1[[#This Row],[Years
InCurrentRole]]&gt;4, "Role Stagnent", "Normal")</f>
        <v>Role Stagnent</v>
      </c>
      <c r="W1370" t="str">
        <f>IF(AND(Table1[[#This Row],[Years
InCurrentRole]]&gt; 4, Table1[[#This Row],[Performance
Rating]]&gt;=3), "High Risk", "Normal")</f>
        <v>High Risk</v>
      </c>
      <c r="X1370" t="str">
        <f>IF(Table1[[#This Row],[Performance
Rating]]&gt;=4, "High Performer", "Low Performer")</f>
        <v>Low Performer</v>
      </c>
    </row>
    <row r="1371" spans="2:24" x14ac:dyDescent="0.3">
      <c r="B1371" t="s">
        <v>19</v>
      </c>
      <c r="C1371" t="s">
        <v>25</v>
      </c>
      <c r="D1371">
        <v>1</v>
      </c>
      <c r="E1371" t="s">
        <v>21</v>
      </c>
      <c r="F1371">
        <v>2</v>
      </c>
      <c r="G1371" t="s">
        <v>31</v>
      </c>
      <c r="H1371">
        <v>4</v>
      </c>
      <c r="I1371">
        <v>4878</v>
      </c>
      <c r="J1371">
        <v>13</v>
      </c>
      <c r="K1371">
        <v>3</v>
      </c>
      <c r="L1371">
        <v>1</v>
      </c>
      <c r="M1371">
        <v>10</v>
      </c>
      <c r="N1371">
        <v>6</v>
      </c>
      <c r="O1371">
        <v>3</v>
      </c>
      <c r="P1371">
        <v>9</v>
      </c>
      <c r="Q1371">
        <v>7</v>
      </c>
      <c r="R1371">
        <v>8</v>
      </c>
      <c r="S1371" t="s">
        <v>34</v>
      </c>
      <c r="T1371" t="s">
        <v>37</v>
      </c>
      <c r="U1371" t="str">
        <f>IF(Table1[[#This Row],[YearsSince
LastPromotion]]&gt; 4, "Delayed", "Normal")</f>
        <v>Delayed</v>
      </c>
      <c r="V1371" t="str">
        <f>IF(Table1[[#This Row],[Years
InCurrentRole]]&gt;4, "Role Stagnent", "Normal")</f>
        <v>Role Stagnent</v>
      </c>
      <c r="W1371" t="str">
        <f>IF(AND(Table1[[#This Row],[Years
InCurrentRole]]&gt; 4, Table1[[#This Row],[Performance
Rating]]&gt;=3), "High Risk", "Normal")</f>
        <v>High Risk</v>
      </c>
      <c r="X1371" t="str">
        <f>IF(Table1[[#This Row],[Performance
Rating]]&gt;=4, "High Performer", "Low Performer")</f>
        <v>Low Performer</v>
      </c>
    </row>
    <row r="1372" spans="2:24" x14ac:dyDescent="0.3">
      <c r="B1372" t="s">
        <v>19</v>
      </c>
      <c r="C1372" t="s">
        <v>25</v>
      </c>
      <c r="D1372">
        <v>1</v>
      </c>
      <c r="E1372" t="s">
        <v>28</v>
      </c>
      <c r="F1372">
        <v>2</v>
      </c>
      <c r="G1372" t="s">
        <v>29</v>
      </c>
      <c r="H1372">
        <v>3</v>
      </c>
      <c r="I1372">
        <v>3491</v>
      </c>
      <c r="J1372">
        <v>13</v>
      </c>
      <c r="K1372">
        <v>3</v>
      </c>
      <c r="L1372">
        <v>3</v>
      </c>
      <c r="M1372">
        <v>10</v>
      </c>
      <c r="N1372">
        <v>4</v>
      </c>
      <c r="O1372">
        <v>2</v>
      </c>
      <c r="P1372">
        <v>10</v>
      </c>
      <c r="Q1372">
        <v>7</v>
      </c>
      <c r="R1372">
        <v>8</v>
      </c>
      <c r="S1372" t="s">
        <v>23</v>
      </c>
      <c r="T1372" t="s">
        <v>37</v>
      </c>
      <c r="U1372" t="str">
        <f>IF(Table1[[#This Row],[YearsSince
LastPromotion]]&gt; 4, "Delayed", "Normal")</f>
        <v>Delayed</v>
      </c>
      <c r="V1372" t="str">
        <f>IF(Table1[[#This Row],[Years
InCurrentRole]]&gt;4, "Role Stagnent", "Normal")</f>
        <v>Role Stagnent</v>
      </c>
      <c r="W1372" t="str">
        <f>IF(AND(Table1[[#This Row],[Years
InCurrentRole]]&gt; 4, Table1[[#This Row],[Performance
Rating]]&gt;=3), "High Risk", "Normal")</f>
        <v>High Risk</v>
      </c>
      <c r="X1372" t="str">
        <f>IF(Table1[[#This Row],[Performance
Rating]]&gt;=4, "High Performer", "Low Performer")</f>
        <v>Low Performer</v>
      </c>
    </row>
    <row r="1373" spans="2:24" x14ac:dyDescent="0.3">
      <c r="B1373" t="s">
        <v>19</v>
      </c>
      <c r="C1373" t="s">
        <v>20</v>
      </c>
      <c r="D1373">
        <v>1</v>
      </c>
      <c r="E1373" t="s">
        <v>21</v>
      </c>
      <c r="F1373">
        <v>2</v>
      </c>
      <c r="G1373" t="s">
        <v>32</v>
      </c>
      <c r="H1373">
        <v>1</v>
      </c>
      <c r="I1373">
        <v>8381</v>
      </c>
      <c r="J1373">
        <v>20</v>
      </c>
      <c r="K1373">
        <v>4</v>
      </c>
      <c r="L1373">
        <v>0</v>
      </c>
      <c r="M1373">
        <v>18</v>
      </c>
      <c r="N1373">
        <v>2</v>
      </c>
      <c r="O1373">
        <v>4</v>
      </c>
      <c r="P1373">
        <v>14</v>
      </c>
      <c r="Q1373">
        <v>7</v>
      </c>
      <c r="R1373">
        <v>8</v>
      </c>
      <c r="S1373" t="s">
        <v>34</v>
      </c>
      <c r="T1373" t="s">
        <v>37</v>
      </c>
      <c r="U1373" t="str">
        <f>IF(Table1[[#This Row],[YearsSince
LastPromotion]]&gt; 4, "Delayed", "Normal")</f>
        <v>Delayed</v>
      </c>
      <c r="V1373" t="str">
        <f>IF(Table1[[#This Row],[Years
InCurrentRole]]&gt;4, "Role Stagnent", "Normal")</f>
        <v>Role Stagnent</v>
      </c>
      <c r="W1373" t="str">
        <f>IF(AND(Table1[[#This Row],[Years
InCurrentRole]]&gt; 4, Table1[[#This Row],[Performance
Rating]]&gt;=3), "High Risk", "Normal")</f>
        <v>High Risk</v>
      </c>
      <c r="X1373" t="str">
        <f>IF(Table1[[#This Row],[Performance
Rating]]&gt;=4, "High Performer", "Low Performer")</f>
        <v>High Performer</v>
      </c>
    </row>
    <row r="1374" spans="2:24" x14ac:dyDescent="0.3">
      <c r="B1374" t="s">
        <v>19</v>
      </c>
      <c r="C1374" t="s">
        <v>25</v>
      </c>
      <c r="D1374">
        <v>1</v>
      </c>
      <c r="E1374" t="s">
        <v>28</v>
      </c>
      <c r="F1374">
        <v>4</v>
      </c>
      <c r="G1374" t="s">
        <v>35</v>
      </c>
      <c r="H1374">
        <v>2</v>
      </c>
      <c r="I1374">
        <v>16598</v>
      </c>
      <c r="J1374">
        <v>12</v>
      </c>
      <c r="K1374">
        <v>3</v>
      </c>
      <c r="L1374">
        <v>0</v>
      </c>
      <c r="M1374">
        <v>35</v>
      </c>
      <c r="N1374">
        <v>2</v>
      </c>
      <c r="O1374">
        <v>2</v>
      </c>
      <c r="P1374">
        <v>9</v>
      </c>
      <c r="Q1374">
        <v>8</v>
      </c>
      <c r="R1374">
        <v>8</v>
      </c>
      <c r="S1374" t="s">
        <v>23</v>
      </c>
      <c r="T1374" t="s">
        <v>37</v>
      </c>
      <c r="U1374" t="str">
        <f>IF(Table1[[#This Row],[YearsSince
LastPromotion]]&gt; 4, "Delayed", "Normal")</f>
        <v>Delayed</v>
      </c>
      <c r="V1374" t="str">
        <f>IF(Table1[[#This Row],[Years
InCurrentRole]]&gt;4, "Role Stagnent", "Normal")</f>
        <v>Role Stagnent</v>
      </c>
      <c r="W1374" t="str">
        <f>IF(AND(Table1[[#This Row],[Years
InCurrentRole]]&gt; 4, Table1[[#This Row],[Performance
Rating]]&gt;=3), "High Risk", "Normal")</f>
        <v>High Risk</v>
      </c>
      <c r="X1374" t="str">
        <f>IF(Table1[[#This Row],[Performance
Rating]]&gt;=4, "High Performer", "Low Performer")</f>
        <v>Low Performer</v>
      </c>
    </row>
    <row r="1375" spans="2:24" x14ac:dyDescent="0.3">
      <c r="B1375" t="s">
        <v>19</v>
      </c>
      <c r="C1375" t="s">
        <v>25</v>
      </c>
      <c r="D1375">
        <v>1</v>
      </c>
      <c r="E1375" t="s">
        <v>28</v>
      </c>
      <c r="F1375">
        <v>2</v>
      </c>
      <c r="G1375" t="s">
        <v>26</v>
      </c>
      <c r="H1375">
        <v>4</v>
      </c>
      <c r="I1375">
        <v>4661</v>
      </c>
      <c r="J1375">
        <v>13</v>
      </c>
      <c r="K1375">
        <v>3</v>
      </c>
      <c r="L1375">
        <v>0</v>
      </c>
      <c r="M1375">
        <v>9</v>
      </c>
      <c r="N1375">
        <v>4</v>
      </c>
      <c r="O1375">
        <v>3</v>
      </c>
      <c r="P1375">
        <v>9</v>
      </c>
      <c r="Q1375">
        <v>8</v>
      </c>
      <c r="R1375">
        <v>8</v>
      </c>
      <c r="S1375" t="s">
        <v>34</v>
      </c>
      <c r="T1375" t="s">
        <v>37</v>
      </c>
      <c r="U1375" t="str">
        <f>IF(Table1[[#This Row],[YearsSince
LastPromotion]]&gt; 4, "Delayed", "Normal")</f>
        <v>Delayed</v>
      </c>
      <c r="V1375" t="str">
        <f>IF(Table1[[#This Row],[Years
InCurrentRole]]&gt;4, "Role Stagnent", "Normal")</f>
        <v>Role Stagnent</v>
      </c>
      <c r="W1375" t="str">
        <f>IF(AND(Table1[[#This Row],[Years
InCurrentRole]]&gt; 4, Table1[[#This Row],[Performance
Rating]]&gt;=3), "High Risk", "Normal")</f>
        <v>High Risk</v>
      </c>
      <c r="X1375" t="str">
        <f>IF(Table1[[#This Row],[Performance
Rating]]&gt;=4, "High Performer", "Low Performer")</f>
        <v>Low Performer</v>
      </c>
    </row>
    <row r="1376" spans="2:24" x14ac:dyDescent="0.3">
      <c r="B1376" t="s">
        <v>19</v>
      </c>
      <c r="C1376" t="s">
        <v>20</v>
      </c>
      <c r="D1376">
        <v>1</v>
      </c>
      <c r="E1376" t="s">
        <v>28</v>
      </c>
      <c r="F1376">
        <v>3</v>
      </c>
      <c r="G1376" t="s">
        <v>32</v>
      </c>
      <c r="H1376">
        <v>3</v>
      </c>
      <c r="I1376">
        <v>9241</v>
      </c>
      <c r="J1376">
        <v>12</v>
      </c>
      <c r="K1376">
        <v>3</v>
      </c>
      <c r="L1376">
        <v>0</v>
      </c>
      <c r="M1376">
        <v>10</v>
      </c>
      <c r="N1376">
        <v>3</v>
      </c>
      <c r="O1376">
        <v>3</v>
      </c>
      <c r="P1376">
        <v>10</v>
      </c>
      <c r="Q1376">
        <v>8</v>
      </c>
      <c r="R1376">
        <v>8</v>
      </c>
      <c r="S1376" t="s">
        <v>34</v>
      </c>
      <c r="T1376" t="s">
        <v>37</v>
      </c>
      <c r="U1376" t="str">
        <f>IF(Table1[[#This Row],[YearsSince
LastPromotion]]&gt; 4, "Delayed", "Normal")</f>
        <v>Delayed</v>
      </c>
      <c r="V1376" t="str">
        <f>IF(Table1[[#This Row],[Years
InCurrentRole]]&gt;4, "Role Stagnent", "Normal")</f>
        <v>Role Stagnent</v>
      </c>
      <c r="W1376" t="str">
        <f>IF(AND(Table1[[#This Row],[Years
InCurrentRole]]&gt; 4, Table1[[#This Row],[Performance
Rating]]&gt;=3), "High Risk", "Normal")</f>
        <v>High Risk</v>
      </c>
      <c r="X1376" t="str">
        <f>IF(Table1[[#This Row],[Performance
Rating]]&gt;=4, "High Performer", "Low Performer")</f>
        <v>Low Performer</v>
      </c>
    </row>
    <row r="1377" spans="2:24" x14ac:dyDescent="0.3">
      <c r="B1377" t="s">
        <v>19</v>
      </c>
      <c r="C1377" t="s">
        <v>25</v>
      </c>
      <c r="D1377">
        <v>1</v>
      </c>
      <c r="E1377" t="s">
        <v>28</v>
      </c>
      <c r="F1377">
        <v>2</v>
      </c>
      <c r="G1377" t="s">
        <v>26</v>
      </c>
      <c r="H1377">
        <v>1</v>
      </c>
      <c r="I1377">
        <v>5003</v>
      </c>
      <c r="J1377">
        <v>21</v>
      </c>
      <c r="K1377">
        <v>4</v>
      </c>
      <c r="L1377">
        <v>0</v>
      </c>
      <c r="M1377">
        <v>10</v>
      </c>
      <c r="N1377">
        <v>6</v>
      </c>
      <c r="O1377">
        <v>3</v>
      </c>
      <c r="P1377">
        <v>10</v>
      </c>
      <c r="Q1377">
        <v>8</v>
      </c>
      <c r="R1377">
        <v>8</v>
      </c>
      <c r="S1377" t="s">
        <v>34</v>
      </c>
      <c r="T1377" t="s">
        <v>37</v>
      </c>
      <c r="U1377" t="str">
        <f>IF(Table1[[#This Row],[YearsSince
LastPromotion]]&gt; 4, "Delayed", "Normal")</f>
        <v>Delayed</v>
      </c>
      <c r="V1377" t="str">
        <f>IF(Table1[[#This Row],[Years
InCurrentRole]]&gt;4, "Role Stagnent", "Normal")</f>
        <v>Role Stagnent</v>
      </c>
      <c r="W1377" t="str">
        <f>IF(AND(Table1[[#This Row],[Years
InCurrentRole]]&gt; 4, Table1[[#This Row],[Performance
Rating]]&gt;=3), "High Risk", "Normal")</f>
        <v>High Risk</v>
      </c>
      <c r="X1377" t="str">
        <f>IF(Table1[[#This Row],[Performance
Rating]]&gt;=4, "High Performer", "Low Performer")</f>
        <v>High Performer</v>
      </c>
    </row>
    <row r="1378" spans="2:24" x14ac:dyDescent="0.3">
      <c r="B1378" t="s">
        <v>19</v>
      </c>
      <c r="C1378" t="s">
        <v>25</v>
      </c>
      <c r="D1378">
        <v>1</v>
      </c>
      <c r="E1378" t="s">
        <v>28</v>
      </c>
      <c r="F1378">
        <v>1</v>
      </c>
      <c r="G1378" t="s">
        <v>26</v>
      </c>
      <c r="H1378">
        <v>4</v>
      </c>
      <c r="I1378">
        <v>2691</v>
      </c>
      <c r="J1378">
        <v>12</v>
      </c>
      <c r="K1378">
        <v>3</v>
      </c>
      <c r="L1378">
        <v>1</v>
      </c>
      <c r="M1378">
        <v>10</v>
      </c>
      <c r="N1378">
        <v>4</v>
      </c>
      <c r="O1378">
        <v>2</v>
      </c>
      <c r="P1378">
        <v>10</v>
      </c>
      <c r="Q1378">
        <v>9</v>
      </c>
      <c r="R1378">
        <v>8</v>
      </c>
      <c r="S1378" t="s">
        <v>23</v>
      </c>
      <c r="T1378" t="s">
        <v>37</v>
      </c>
      <c r="U1378" t="str">
        <f>IF(Table1[[#This Row],[YearsSince
LastPromotion]]&gt; 4, "Delayed", "Normal")</f>
        <v>Delayed</v>
      </c>
      <c r="V1378" t="str">
        <f>IF(Table1[[#This Row],[Years
InCurrentRole]]&gt;4, "Role Stagnent", "Normal")</f>
        <v>Role Stagnent</v>
      </c>
      <c r="W1378" t="str">
        <f>IF(AND(Table1[[#This Row],[Years
InCurrentRole]]&gt; 4, Table1[[#This Row],[Performance
Rating]]&gt;=3), "High Risk", "Normal")</f>
        <v>High Risk</v>
      </c>
      <c r="X1378" t="str">
        <f>IF(Table1[[#This Row],[Performance
Rating]]&gt;=4, "High Performer", "Low Performer")</f>
        <v>Low Performer</v>
      </c>
    </row>
    <row r="1379" spans="2:24" x14ac:dyDescent="0.3">
      <c r="B1379" t="s">
        <v>19</v>
      </c>
      <c r="C1379" t="s">
        <v>25</v>
      </c>
      <c r="D1379">
        <v>1</v>
      </c>
      <c r="E1379" t="s">
        <v>21</v>
      </c>
      <c r="F1379">
        <v>3</v>
      </c>
      <c r="G1379" t="s">
        <v>33</v>
      </c>
      <c r="H1379">
        <v>1</v>
      </c>
      <c r="I1379">
        <v>9980</v>
      </c>
      <c r="J1379">
        <v>11</v>
      </c>
      <c r="K1379">
        <v>3</v>
      </c>
      <c r="L1379">
        <v>1</v>
      </c>
      <c r="M1379">
        <v>10</v>
      </c>
      <c r="N1379">
        <v>1</v>
      </c>
      <c r="O1379">
        <v>3</v>
      </c>
      <c r="P1379">
        <v>10</v>
      </c>
      <c r="Q1379">
        <v>9</v>
      </c>
      <c r="R1379">
        <v>8</v>
      </c>
      <c r="S1379" t="s">
        <v>34</v>
      </c>
      <c r="T1379" t="s">
        <v>37</v>
      </c>
      <c r="U1379" t="str">
        <f>IF(Table1[[#This Row],[YearsSince
LastPromotion]]&gt; 4, "Delayed", "Normal")</f>
        <v>Delayed</v>
      </c>
      <c r="V1379" t="str">
        <f>IF(Table1[[#This Row],[Years
InCurrentRole]]&gt;4, "Role Stagnent", "Normal")</f>
        <v>Role Stagnent</v>
      </c>
      <c r="W1379" t="str">
        <f>IF(AND(Table1[[#This Row],[Years
InCurrentRole]]&gt; 4, Table1[[#This Row],[Performance
Rating]]&gt;=3), "High Risk", "Normal")</f>
        <v>High Risk</v>
      </c>
      <c r="X1379" t="str">
        <f>IF(Table1[[#This Row],[Performance
Rating]]&gt;=4, "High Performer", "Low Performer")</f>
        <v>Low Performer</v>
      </c>
    </row>
    <row r="1380" spans="2:24" x14ac:dyDescent="0.3">
      <c r="B1380" t="s">
        <v>19</v>
      </c>
      <c r="C1380" t="s">
        <v>25</v>
      </c>
      <c r="D1380">
        <v>1</v>
      </c>
      <c r="E1380" t="s">
        <v>21</v>
      </c>
      <c r="F1380">
        <v>3</v>
      </c>
      <c r="G1380" t="s">
        <v>33</v>
      </c>
      <c r="H1380">
        <v>3</v>
      </c>
      <c r="I1380">
        <v>8943</v>
      </c>
      <c r="J1380">
        <v>24</v>
      </c>
      <c r="K1380">
        <v>4</v>
      </c>
      <c r="L1380">
        <v>1</v>
      </c>
      <c r="M1380">
        <v>10</v>
      </c>
      <c r="N1380">
        <v>2</v>
      </c>
      <c r="O1380">
        <v>3</v>
      </c>
      <c r="P1380">
        <v>10</v>
      </c>
      <c r="Q1380">
        <v>9</v>
      </c>
      <c r="R1380">
        <v>8</v>
      </c>
      <c r="S1380" t="s">
        <v>34</v>
      </c>
      <c r="T1380" t="s">
        <v>37</v>
      </c>
      <c r="U1380" t="str">
        <f>IF(Table1[[#This Row],[YearsSince
LastPromotion]]&gt; 4, "Delayed", "Normal")</f>
        <v>Delayed</v>
      </c>
      <c r="V1380" t="str">
        <f>IF(Table1[[#This Row],[Years
InCurrentRole]]&gt;4, "Role Stagnent", "Normal")</f>
        <v>Role Stagnent</v>
      </c>
      <c r="W1380" t="str">
        <f>IF(AND(Table1[[#This Row],[Years
InCurrentRole]]&gt; 4, Table1[[#This Row],[Performance
Rating]]&gt;=3), "High Risk", "Normal")</f>
        <v>High Risk</v>
      </c>
      <c r="X1380" t="str">
        <f>IF(Table1[[#This Row],[Performance
Rating]]&gt;=4, "High Performer", "Low Performer")</f>
        <v>High Performer</v>
      </c>
    </row>
    <row r="1381" spans="2:24" x14ac:dyDescent="0.3">
      <c r="B1381" t="s">
        <v>19</v>
      </c>
      <c r="C1381" t="s">
        <v>25</v>
      </c>
      <c r="D1381">
        <v>1</v>
      </c>
      <c r="E1381" t="s">
        <v>21</v>
      </c>
      <c r="F1381">
        <v>1</v>
      </c>
      <c r="G1381" t="s">
        <v>26</v>
      </c>
      <c r="H1381">
        <v>4</v>
      </c>
      <c r="I1381">
        <v>2929</v>
      </c>
      <c r="J1381">
        <v>12</v>
      </c>
      <c r="K1381">
        <v>3</v>
      </c>
      <c r="L1381">
        <v>0</v>
      </c>
      <c r="M1381">
        <v>10</v>
      </c>
      <c r="N1381">
        <v>3</v>
      </c>
      <c r="O1381">
        <v>3</v>
      </c>
      <c r="P1381">
        <v>10</v>
      </c>
      <c r="Q1381">
        <v>9</v>
      </c>
      <c r="R1381">
        <v>8</v>
      </c>
      <c r="S1381" t="s">
        <v>34</v>
      </c>
      <c r="T1381" t="s">
        <v>37</v>
      </c>
      <c r="U1381" t="str">
        <f>IF(Table1[[#This Row],[YearsSince
LastPromotion]]&gt; 4, "Delayed", "Normal")</f>
        <v>Delayed</v>
      </c>
      <c r="V1381" t="str">
        <f>IF(Table1[[#This Row],[Years
InCurrentRole]]&gt;4, "Role Stagnent", "Normal")</f>
        <v>Role Stagnent</v>
      </c>
      <c r="W1381" t="str">
        <f>IF(AND(Table1[[#This Row],[Years
InCurrentRole]]&gt; 4, Table1[[#This Row],[Performance
Rating]]&gt;=3), "High Risk", "Normal")</f>
        <v>High Risk</v>
      </c>
      <c r="X1381" t="str">
        <f>IF(Table1[[#This Row],[Performance
Rating]]&gt;=4, "High Performer", "Low Performer")</f>
        <v>Low Performer</v>
      </c>
    </row>
    <row r="1382" spans="2:24" x14ac:dyDescent="0.3">
      <c r="B1382" t="s">
        <v>19</v>
      </c>
      <c r="C1382" t="s">
        <v>20</v>
      </c>
      <c r="D1382">
        <v>1</v>
      </c>
      <c r="E1382" t="s">
        <v>28</v>
      </c>
      <c r="F1382">
        <v>3</v>
      </c>
      <c r="G1382" t="s">
        <v>32</v>
      </c>
      <c r="H1382">
        <v>3</v>
      </c>
      <c r="I1382">
        <v>7083</v>
      </c>
      <c r="J1382">
        <v>14</v>
      </c>
      <c r="K1382">
        <v>3</v>
      </c>
      <c r="L1382">
        <v>0</v>
      </c>
      <c r="M1382">
        <v>10</v>
      </c>
      <c r="N1382">
        <v>3</v>
      </c>
      <c r="O1382">
        <v>3</v>
      </c>
      <c r="P1382">
        <v>10</v>
      </c>
      <c r="Q1382">
        <v>9</v>
      </c>
      <c r="R1382">
        <v>8</v>
      </c>
      <c r="S1382" t="s">
        <v>34</v>
      </c>
      <c r="T1382" t="s">
        <v>37</v>
      </c>
      <c r="U1382" t="str">
        <f>IF(Table1[[#This Row],[YearsSince
LastPromotion]]&gt; 4, "Delayed", "Normal")</f>
        <v>Delayed</v>
      </c>
      <c r="V1382" t="str">
        <f>IF(Table1[[#This Row],[Years
InCurrentRole]]&gt;4, "Role Stagnent", "Normal")</f>
        <v>Role Stagnent</v>
      </c>
      <c r="W1382" t="str">
        <f>IF(AND(Table1[[#This Row],[Years
InCurrentRole]]&gt; 4, Table1[[#This Row],[Performance
Rating]]&gt;=3), "High Risk", "Normal")</f>
        <v>High Risk</v>
      </c>
      <c r="X1382" t="str">
        <f>IF(Table1[[#This Row],[Performance
Rating]]&gt;=4, "High Performer", "Low Performer")</f>
        <v>Low Performer</v>
      </c>
    </row>
    <row r="1383" spans="2:24" x14ac:dyDescent="0.3">
      <c r="B1383" t="s">
        <v>19</v>
      </c>
      <c r="C1383" t="s">
        <v>20</v>
      </c>
      <c r="D1383">
        <v>1</v>
      </c>
      <c r="E1383" t="s">
        <v>28</v>
      </c>
      <c r="F1383">
        <v>2</v>
      </c>
      <c r="G1383" t="s">
        <v>32</v>
      </c>
      <c r="H1383">
        <v>4</v>
      </c>
      <c r="I1383">
        <v>7847</v>
      </c>
      <c r="J1383">
        <v>17</v>
      </c>
      <c r="K1383">
        <v>3</v>
      </c>
      <c r="L1383">
        <v>1</v>
      </c>
      <c r="M1383">
        <v>10</v>
      </c>
      <c r="N1383">
        <v>3</v>
      </c>
      <c r="O1383">
        <v>3</v>
      </c>
      <c r="P1383">
        <v>10</v>
      </c>
      <c r="Q1383">
        <v>9</v>
      </c>
      <c r="R1383">
        <v>8</v>
      </c>
      <c r="S1383" t="s">
        <v>34</v>
      </c>
      <c r="T1383" t="s">
        <v>37</v>
      </c>
      <c r="U1383" t="str">
        <f>IF(Table1[[#This Row],[YearsSince
LastPromotion]]&gt; 4, "Delayed", "Normal")</f>
        <v>Delayed</v>
      </c>
      <c r="V1383" t="str">
        <f>IF(Table1[[#This Row],[Years
InCurrentRole]]&gt;4, "Role Stagnent", "Normal")</f>
        <v>Role Stagnent</v>
      </c>
      <c r="W1383" t="str">
        <f>IF(AND(Table1[[#This Row],[Years
InCurrentRole]]&gt; 4, Table1[[#This Row],[Performance
Rating]]&gt;=3), "High Risk", "Normal")</f>
        <v>High Risk</v>
      </c>
      <c r="X1383" t="str">
        <f>IF(Table1[[#This Row],[Performance
Rating]]&gt;=4, "High Performer", "Low Performer")</f>
        <v>Low Performer</v>
      </c>
    </row>
    <row r="1384" spans="2:24" x14ac:dyDescent="0.3">
      <c r="B1384" t="s">
        <v>19</v>
      </c>
      <c r="C1384" t="s">
        <v>25</v>
      </c>
      <c r="D1384">
        <v>1</v>
      </c>
      <c r="E1384" t="s">
        <v>21</v>
      </c>
      <c r="F1384">
        <v>3</v>
      </c>
      <c r="G1384" t="s">
        <v>35</v>
      </c>
      <c r="H1384">
        <v>4</v>
      </c>
      <c r="I1384">
        <v>13458</v>
      </c>
      <c r="J1384">
        <v>12</v>
      </c>
      <c r="K1384">
        <v>3</v>
      </c>
      <c r="L1384">
        <v>0</v>
      </c>
      <c r="M1384">
        <v>15</v>
      </c>
      <c r="N1384">
        <v>1</v>
      </c>
      <c r="O1384">
        <v>3</v>
      </c>
      <c r="P1384">
        <v>15</v>
      </c>
      <c r="Q1384">
        <v>14</v>
      </c>
      <c r="R1384">
        <v>8</v>
      </c>
      <c r="S1384" t="s">
        <v>34</v>
      </c>
      <c r="T1384" t="s">
        <v>37</v>
      </c>
      <c r="U1384" t="str">
        <f>IF(Table1[[#This Row],[YearsSince
LastPromotion]]&gt; 4, "Delayed", "Normal")</f>
        <v>Delayed</v>
      </c>
      <c r="V1384" t="str">
        <f>IF(Table1[[#This Row],[Years
InCurrentRole]]&gt;4, "Role Stagnent", "Normal")</f>
        <v>Role Stagnent</v>
      </c>
      <c r="W1384" t="str">
        <f>IF(AND(Table1[[#This Row],[Years
InCurrentRole]]&gt; 4, Table1[[#This Row],[Performance
Rating]]&gt;=3), "High Risk", "Normal")</f>
        <v>High Risk</v>
      </c>
      <c r="X1384" t="str">
        <f>IF(Table1[[#This Row],[Performance
Rating]]&gt;=4, "High Performer", "Low Performer")</f>
        <v>Low Performer</v>
      </c>
    </row>
    <row r="1385" spans="2:24" x14ac:dyDescent="0.3">
      <c r="B1385" t="s">
        <v>19</v>
      </c>
      <c r="C1385" t="s">
        <v>20</v>
      </c>
      <c r="D1385">
        <v>1</v>
      </c>
      <c r="E1385" t="s">
        <v>28</v>
      </c>
      <c r="F1385">
        <v>3</v>
      </c>
      <c r="G1385" t="s">
        <v>32</v>
      </c>
      <c r="H1385">
        <v>4</v>
      </c>
      <c r="I1385">
        <v>9980</v>
      </c>
      <c r="J1385">
        <v>14</v>
      </c>
      <c r="K1385">
        <v>3</v>
      </c>
      <c r="L1385">
        <v>0</v>
      </c>
      <c r="M1385">
        <v>10</v>
      </c>
      <c r="N1385">
        <v>3</v>
      </c>
      <c r="O1385">
        <v>2</v>
      </c>
      <c r="P1385">
        <v>10</v>
      </c>
      <c r="Q1385">
        <v>3</v>
      </c>
      <c r="R1385">
        <v>9</v>
      </c>
      <c r="S1385" t="s">
        <v>23</v>
      </c>
      <c r="T1385" t="s">
        <v>37</v>
      </c>
      <c r="U1385" t="str">
        <f>IF(Table1[[#This Row],[YearsSince
LastPromotion]]&gt; 4, "Delayed", "Normal")</f>
        <v>Delayed</v>
      </c>
      <c r="V1385" t="str">
        <f>IF(Table1[[#This Row],[Years
InCurrentRole]]&gt;4, "Role Stagnent", "Normal")</f>
        <v>Normal</v>
      </c>
      <c r="W1385" t="str">
        <f>IF(AND(Table1[[#This Row],[Years
InCurrentRole]]&gt; 4, Table1[[#This Row],[Performance
Rating]]&gt;=3), "High Risk", "Normal")</f>
        <v>Normal</v>
      </c>
      <c r="X1385" t="str">
        <f>IF(Table1[[#This Row],[Performance
Rating]]&gt;=4, "High Performer", "Low Performer")</f>
        <v>Low Performer</v>
      </c>
    </row>
    <row r="1386" spans="2:24" x14ac:dyDescent="0.3">
      <c r="B1386" t="s">
        <v>19</v>
      </c>
      <c r="C1386" t="s">
        <v>25</v>
      </c>
      <c r="D1386">
        <v>1</v>
      </c>
      <c r="E1386" t="s">
        <v>21</v>
      </c>
      <c r="F1386">
        <v>2</v>
      </c>
      <c r="G1386" t="s">
        <v>29</v>
      </c>
      <c r="H1386">
        <v>4</v>
      </c>
      <c r="I1386">
        <v>2406</v>
      </c>
      <c r="J1386">
        <v>11</v>
      </c>
      <c r="K1386">
        <v>3</v>
      </c>
      <c r="L1386">
        <v>0</v>
      </c>
      <c r="M1386">
        <v>10</v>
      </c>
      <c r="N1386">
        <v>2</v>
      </c>
      <c r="O1386">
        <v>3</v>
      </c>
      <c r="P1386">
        <v>10</v>
      </c>
      <c r="Q1386">
        <v>3</v>
      </c>
      <c r="R1386">
        <v>9</v>
      </c>
      <c r="S1386" t="s">
        <v>34</v>
      </c>
      <c r="T1386" t="s">
        <v>37</v>
      </c>
      <c r="U1386" t="str">
        <f>IF(Table1[[#This Row],[YearsSince
LastPromotion]]&gt; 4, "Delayed", "Normal")</f>
        <v>Delayed</v>
      </c>
      <c r="V1386" t="str">
        <f>IF(Table1[[#This Row],[Years
InCurrentRole]]&gt;4, "Role Stagnent", "Normal")</f>
        <v>Normal</v>
      </c>
      <c r="W1386" t="str">
        <f>IF(AND(Table1[[#This Row],[Years
InCurrentRole]]&gt; 4, Table1[[#This Row],[Performance
Rating]]&gt;=3), "High Risk", "Normal")</f>
        <v>Normal</v>
      </c>
      <c r="X1386" t="str">
        <f>IF(Table1[[#This Row],[Performance
Rating]]&gt;=4, "High Performer", "Low Performer")</f>
        <v>Low Performer</v>
      </c>
    </row>
    <row r="1387" spans="2:24" x14ac:dyDescent="0.3">
      <c r="B1387" t="s">
        <v>27</v>
      </c>
      <c r="C1387" t="s">
        <v>25</v>
      </c>
      <c r="D1387">
        <v>1</v>
      </c>
      <c r="E1387" t="s">
        <v>28</v>
      </c>
      <c r="F1387">
        <v>3</v>
      </c>
      <c r="G1387" t="s">
        <v>22</v>
      </c>
      <c r="H1387">
        <v>2</v>
      </c>
      <c r="I1387">
        <v>11849</v>
      </c>
      <c r="J1387">
        <v>12</v>
      </c>
      <c r="K1387">
        <v>3</v>
      </c>
      <c r="L1387">
        <v>1</v>
      </c>
      <c r="M1387">
        <v>10</v>
      </c>
      <c r="N1387">
        <v>2</v>
      </c>
      <c r="O1387">
        <v>2</v>
      </c>
      <c r="P1387">
        <v>10</v>
      </c>
      <c r="Q1387">
        <v>7</v>
      </c>
      <c r="R1387">
        <v>9</v>
      </c>
      <c r="S1387" t="s">
        <v>23</v>
      </c>
      <c r="T1387" t="s">
        <v>37</v>
      </c>
      <c r="U1387" t="str">
        <f>IF(Table1[[#This Row],[YearsSince
LastPromotion]]&gt; 4, "Delayed", "Normal")</f>
        <v>Delayed</v>
      </c>
      <c r="V1387" t="str">
        <f>IF(Table1[[#This Row],[Years
InCurrentRole]]&gt;4, "Role Stagnent", "Normal")</f>
        <v>Role Stagnent</v>
      </c>
      <c r="W1387" t="str">
        <f>IF(AND(Table1[[#This Row],[Years
InCurrentRole]]&gt; 4, Table1[[#This Row],[Performance
Rating]]&gt;=3), "High Risk", "Normal")</f>
        <v>High Risk</v>
      </c>
      <c r="X1387" t="str">
        <f>IF(Table1[[#This Row],[Performance
Rating]]&gt;=4, "High Performer", "Low Performer")</f>
        <v>Low Performer</v>
      </c>
    </row>
    <row r="1388" spans="2:24" x14ac:dyDescent="0.3">
      <c r="B1388" t="s">
        <v>19</v>
      </c>
      <c r="C1388" t="s">
        <v>20</v>
      </c>
      <c r="D1388">
        <v>1</v>
      </c>
      <c r="E1388" t="s">
        <v>28</v>
      </c>
      <c r="F1388">
        <v>3</v>
      </c>
      <c r="G1388" t="s">
        <v>32</v>
      </c>
      <c r="H1388">
        <v>4</v>
      </c>
      <c r="I1388">
        <v>10793</v>
      </c>
      <c r="J1388">
        <v>18</v>
      </c>
      <c r="K1388">
        <v>3</v>
      </c>
      <c r="L1388">
        <v>1</v>
      </c>
      <c r="M1388">
        <v>13</v>
      </c>
      <c r="N1388">
        <v>5</v>
      </c>
      <c r="O1388">
        <v>3</v>
      </c>
      <c r="P1388">
        <v>13</v>
      </c>
      <c r="Q1388">
        <v>7</v>
      </c>
      <c r="R1388">
        <v>9</v>
      </c>
      <c r="S1388" t="s">
        <v>34</v>
      </c>
      <c r="T1388" t="s">
        <v>37</v>
      </c>
      <c r="U1388" t="str">
        <f>IF(Table1[[#This Row],[YearsSince
LastPromotion]]&gt; 4, "Delayed", "Normal")</f>
        <v>Delayed</v>
      </c>
      <c r="V1388" t="str">
        <f>IF(Table1[[#This Row],[Years
InCurrentRole]]&gt;4, "Role Stagnent", "Normal")</f>
        <v>Role Stagnent</v>
      </c>
      <c r="W1388" t="str">
        <f>IF(AND(Table1[[#This Row],[Years
InCurrentRole]]&gt; 4, Table1[[#This Row],[Performance
Rating]]&gt;=3), "High Risk", "Normal")</f>
        <v>High Risk</v>
      </c>
      <c r="X1388" t="str">
        <f>IF(Table1[[#This Row],[Performance
Rating]]&gt;=4, "High Performer", "Low Performer")</f>
        <v>Low Performer</v>
      </c>
    </row>
    <row r="1389" spans="2:24" x14ac:dyDescent="0.3">
      <c r="B1389" t="s">
        <v>19</v>
      </c>
      <c r="C1389" t="s">
        <v>20</v>
      </c>
      <c r="D1389">
        <v>1</v>
      </c>
      <c r="E1389" t="s">
        <v>21</v>
      </c>
      <c r="F1389">
        <v>3</v>
      </c>
      <c r="G1389" t="s">
        <v>32</v>
      </c>
      <c r="H1389">
        <v>3</v>
      </c>
      <c r="I1389">
        <v>9852</v>
      </c>
      <c r="J1389">
        <v>19</v>
      </c>
      <c r="K1389">
        <v>3</v>
      </c>
      <c r="L1389">
        <v>1</v>
      </c>
      <c r="M1389">
        <v>10</v>
      </c>
      <c r="N1389">
        <v>5</v>
      </c>
      <c r="O1389">
        <v>2</v>
      </c>
      <c r="P1389">
        <v>10</v>
      </c>
      <c r="Q1389">
        <v>8</v>
      </c>
      <c r="R1389">
        <v>9</v>
      </c>
      <c r="S1389" t="s">
        <v>23</v>
      </c>
      <c r="T1389" t="s">
        <v>37</v>
      </c>
      <c r="U1389" t="str">
        <f>IF(Table1[[#This Row],[YearsSince
LastPromotion]]&gt; 4, "Delayed", "Normal")</f>
        <v>Delayed</v>
      </c>
      <c r="V1389" t="str">
        <f>IF(Table1[[#This Row],[Years
InCurrentRole]]&gt;4, "Role Stagnent", "Normal")</f>
        <v>Role Stagnent</v>
      </c>
      <c r="W1389" t="str">
        <f>IF(AND(Table1[[#This Row],[Years
InCurrentRole]]&gt; 4, Table1[[#This Row],[Performance
Rating]]&gt;=3), "High Risk", "Normal")</f>
        <v>High Risk</v>
      </c>
      <c r="X1389" t="str">
        <f>IF(Table1[[#This Row],[Performance
Rating]]&gt;=4, "High Performer", "Low Performer")</f>
        <v>Low Performer</v>
      </c>
    </row>
    <row r="1390" spans="2:24" x14ac:dyDescent="0.3">
      <c r="B1390" t="s">
        <v>27</v>
      </c>
      <c r="C1390" t="s">
        <v>25</v>
      </c>
      <c r="D1390">
        <v>1</v>
      </c>
      <c r="E1390" t="s">
        <v>28</v>
      </c>
      <c r="F1390">
        <v>1</v>
      </c>
      <c r="G1390" t="s">
        <v>26</v>
      </c>
      <c r="H1390">
        <v>1</v>
      </c>
      <c r="I1390">
        <v>3348</v>
      </c>
      <c r="J1390">
        <v>11</v>
      </c>
      <c r="K1390">
        <v>3</v>
      </c>
      <c r="L1390">
        <v>0</v>
      </c>
      <c r="M1390">
        <v>10</v>
      </c>
      <c r="N1390">
        <v>3</v>
      </c>
      <c r="O1390">
        <v>3</v>
      </c>
      <c r="P1390">
        <v>10</v>
      </c>
      <c r="Q1390">
        <v>8</v>
      </c>
      <c r="R1390">
        <v>9</v>
      </c>
      <c r="S1390" t="s">
        <v>34</v>
      </c>
      <c r="T1390" t="s">
        <v>37</v>
      </c>
      <c r="U1390" t="str">
        <f>IF(Table1[[#This Row],[YearsSince
LastPromotion]]&gt; 4, "Delayed", "Normal")</f>
        <v>Delayed</v>
      </c>
      <c r="V1390" t="str">
        <f>IF(Table1[[#This Row],[Years
InCurrentRole]]&gt;4, "Role Stagnent", "Normal")</f>
        <v>Role Stagnent</v>
      </c>
      <c r="W1390" t="str">
        <f>IF(AND(Table1[[#This Row],[Years
InCurrentRole]]&gt; 4, Table1[[#This Row],[Performance
Rating]]&gt;=3), "High Risk", "Normal")</f>
        <v>High Risk</v>
      </c>
      <c r="X1390" t="str">
        <f>IF(Table1[[#This Row],[Performance
Rating]]&gt;=4, "High Performer", "Low Performer")</f>
        <v>Low Performer</v>
      </c>
    </row>
    <row r="1391" spans="2:24" x14ac:dyDescent="0.3">
      <c r="B1391" t="s">
        <v>19</v>
      </c>
      <c r="C1391" t="s">
        <v>20</v>
      </c>
      <c r="D1391">
        <v>1</v>
      </c>
      <c r="E1391" t="s">
        <v>21</v>
      </c>
      <c r="F1391">
        <v>2</v>
      </c>
      <c r="G1391" t="s">
        <v>32</v>
      </c>
      <c r="H1391">
        <v>1</v>
      </c>
      <c r="I1391">
        <v>6125</v>
      </c>
      <c r="J1391">
        <v>12</v>
      </c>
      <c r="K1391">
        <v>3</v>
      </c>
      <c r="L1391">
        <v>0</v>
      </c>
      <c r="M1391">
        <v>10</v>
      </c>
      <c r="N1391">
        <v>6</v>
      </c>
      <c r="O1391">
        <v>4</v>
      </c>
      <c r="P1391">
        <v>10</v>
      </c>
      <c r="Q1391">
        <v>8</v>
      </c>
      <c r="R1391">
        <v>9</v>
      </c>
      <c r="S1391" t="s">
        <v>34</v>
      </c>
      <c r="T1391" t="s">
        <v>37</v>
      </c>
      <c r="U1391" t="str">
        <f>IF(Table1[[#This Row],[YearsSince
LastPromotion]]&gt; 4, "Delayed", "Normal")</f>
        <v>Delayed</v>
      </c>
      <c r="V1391" t="str">
        <f>IF(Table1[[#This Row],[Years
InCurrentRole]]&gt;4, "Role Stagnent", "Normal")</f>
        <v>Role Stagnent</v>
      </c>
      <c r="W1391" t="str">
        <f>IF(AND(Table1[[#This Row],[Years
InCurrentRole]]&gt; 4, Table1[[#This Row],[Performance
Rating]]&gt;=3), "High Risk", "Normal")</f>
        <v>High Risk</v>
      </c>
      <c r="X1391" t="str">
        <f>IF(Table1[[#This Row],[Performance
Rating]]&gt;=4, "High Performer", "Low Performer")</f>
        <v>Low Performer</v>
      </c>
    </row>
    <row r="1392" spans="2:24" x14ac:dyDescent="0.3">
      <c r="B1392" t="s">
        <v>27</v>
      </c>
      <c r="C1392" t="s">
        <v>20</v>
      </c>
      <c r="D1392">
        <v>1</v>
      </c>
      <c r="E1392" t="s">
        <v>28</v>
      </c>
      <c r="F1392">
        <v>3</v>
      </c>
      <c r="G1392" t="s">
        <v>32</v>
      </c>
      <c r="H1392">
        <v>4</v>
      </c>
      <c r="I1392">
        <v>10400</v>
      </c>
      <c r="J1392">
        <v>11</v>
      </c>
      <c r="K1392">
        <v>3</v>
      </c>
      <c r="L1392">
        <v>0</v>
      </c>
      <c r="M1392">
        <v>14</v>
      </c>
      <c r="N1392">
        <v>2</v>
      </c>
      <c r="O1392">
        <v>2</v>
      </c>
      <c r="P1392">
        <v>14</v>
      </c>
      <c r="Q1392">
        <v>8</v>
      </c>
      <c r="R1392">
        <v>9</v>
      </c>
      <c r="S1392" t="s">
        <v>23</v>
      </c>
      <c r="T1392" t="s">
        <v>37</v>
      </c>
      <c r="U1392" t="str">
        <f>IF(Table1[[#This Row],[YearsSince
LastPromotion]]&gt; 4, "Delayed", "Normal")</f>
        <v>Delayed</v>
      </c>
      <c r="V1392" t="str">
        <f>IF(Table1[[#This Row],[Years
InCurrentRole]]&gt;4, "Role Stagnent", "Normal")</f>
        <v>Role Stagnent</v>
      </c>
      <c r="W1392" t="str">
        <f>IF(AND(Table1[[#This Row],[Years
InCurrentRole]]&gt; 4, Table1[[#This Row],[Performance
Rating]]&gt;=3), "High Risk", "Normal")</f>
        <v>High Risk</v>
      </c>
      <c r="X1392" t="str">
        <f>IF(Table1[[#This Row],[Performance
Rating]]&gt;=4, "High Performer", "Low Performer")</f>
        <v>Low Performer</v>
      </c>
    </row>
    <row r="1393" spans="2:24" x14ac:dyDescent="0.3">
      <c r="B1393" t="s">
        <v>19</v>
      </c>
      <c r="C1393" t="s">
        <v>25</v>
      </c>
      <c r="D1393">
        <v>1</v>
      </c>
      <c r="E1393" t="s">
        <v>21</v>
      </c>
      <c r="F1393">
        <v>5</v>
      </c>
      <c r="G1393" t="s">
        <v>22</v>
      </c>
      <c r="H1393">
        <v>3</v>
      </c>
      <c r="I1393">
        <v>19033</v>
      </c>
      <c r="J1393">
        <v>14</v>
      </c>
      <c r="K1393">
        <v>3</v>
      </c>
      <c r="L1393">
        <v>1</v>
      </c>
      <c r="M1393">
        <v>21</v>
      </c>
      <c r="N1393">
        <v>2</v>
      </c>
      <c r="O1393">
        <v>3</v>
      </c>
      <c r="P1393">
        <v>20</v>
      </c>
      <c r="Q1393">
        <v>8</v>
      </c>
      <c r="R1393">
        <v>9</v>
      </c>
      <c r="S1393" t="s">
        <v>34</v>
      </c>
      <c r="T1393" t="s">
        <v>37</v>
      </c>
      <c r="U1393" t="str">
        <f>IF(Table1[[#This Row],[YearsSince
LastPromotion]]&gt; 4, "Delayed", "Normal")</f>
        <v>Delayed</v>
      </c>
      <c r="V1393" t="str">
        <f>IF(Table1[[#This Row],[Years
InCurrentRole]]&gt;4, "Role Stagnent", "Normal")</f>
        <v>Role Stagnent</v>
      </c>
      <c r="W1393" t="str">
        <f>IF(AND(Table1[[#This Row],[Years
InCurrentRole]]&gt; 4, Table1[[#This Row],[Performance
Rating]]&gt;=3), "High Risk", "Normal")</f>
        <v>High Risk</v>
      </c>
      <c r="X1393" t="str">
        <f>IF(Table1[[#This Row],[Performance
Rating]]&gt;=4, "High Performer", "Low Performer")</f>
        <v>Low Performer</v>
      </c>
    </row>
    <row r="1394" spans="2:24" x14ac:dyDescent="0.3">
      <c r="B1394" t="s">
        <v>27</v>
      </c>
      <c r="C1394" t="s">
        <v>25</v>
      </c>
      <c r="D1394">
        <v>1</v>
      </c>
      <c r="E1394" t="s">
        <v>28</v>
      </c>
      <c r="F1394">
        <v>1</v>
      </c>
      <c r="G1394" t="s">
        <v>29</v>
      </c>
      <c r="H1394">
        <v>3</v>
      </c>
      <c r="I1394">
        <v>2339</v>
      </c>
      <c r="J1394">
        <v>11</v>
      </c>
      <c r="K1394">
        <v>3</v>
      </c>
      <c r="L1394">
        <v>1</v>
      </c>
      <c r="M1394">
        <v>14</v>
      </c>
      <c r="N1394">
        <v>4</v>
      </c>
      <c r="O1394">
        <v>1</v>
      </c>
      <c r="P1394">
        <v>10</v>
      </c>
      <c r="Q1394">
        <v>9</v>
      </c>
      <c r="R1394">
        <v>9</v>
      </c>
      <c r="S1394" t="s">
        <v>23</v>
      </c>
      <c r="T1394" t="s">
        <v>37</v>
      </c>
      <c r="U1394" t="str">
        <f>IF(Table1[[#This Row],[YearsSince
LastPromotion]]&gt; 4, "Delayed", "Normal")</f>
        <v>Delayed</v>
      </c>
      <c r="V1394" t="str">
        <f>IF(Table1[[#This Row],[Years
InCurrentRole]]&gt;4, "Role Stagnent", "Normal")</f>
        <v>Role Stagnent</v>
      </c>
      <c r="W1394" t="str">
        <f>IF(AND(Table1[[#This Row],[Years
InCurrentRole]]&gt; 4, Table1[[#This Row],[Performance
Rating]]&gt;=3), "High Risk", "Normal")</f>
        <v>High Risk</v>
      </c>
      <c r="X1394" t="str">
        <f>IF(Table1[[#This Row],[Performance
Rating]]&gt;=4, "High Performer", "Low Performer")</f>
        <v>Low Performer</v>
      </c>
    </row>
    <row r="1395" spans="2:24" x14ac:dyDescent="0.3">
      <c r="B1395" t="s">
        <v>19</v>
      </c>
      <c r="C1395" t="s">
        <v>25</v>
      </c>
      <c r="D1395">
        <v>1</v>
      </c>
      <c r="E1395" t="s">
        <v>28</v>
      </c>
      <c r="F1395">
        <v>3</v>
      </c>
      <c r="G1395" t="s">
        <v>31</v>
      </c>
      <c r="H1395">
        <v>1</v>
      </c>
      <c r="I1395">
        <v>10673</v>
      </c>
      <c r="J1395">
        <v>13</v>
      </c>
      <c r="K1395">
        <v>3</v>
      </c>
      <c r="L1395">
        <v>1</v>
      </c>
      <c r="M1395">
        <v>21</v>
      </c>
      <c r="N1395">
        <v>5</v>
      </c>
      <c r="O1395">
        <v>2</v>
      </c>
      <c r="P1395">
        <v>10</v>
      </c>
      <c r="Q1395">
        <v>9</v>
      </c>
      <c r="R1395">
        <v>9</v>
      </c>
      <c r="S1395" t="s">
        <v>23</v>
      </c>
      <c r="T1395" t="s">
        <v>37</v>
      </c>
      <c r="U1395" t="str">
        <f>IF(Table1[[#This Row],[YearsSince
LastPromotion]]&gt; 4, "Delayed", "Normal")</f>
        <v>Delayed</v>
      </c>
      <c r="V1395" t="str">
        <f>IF(Table1[[#This Row],[Years
InCurrentRole]]&gt;4, "Role Stagnent", "Normal")</f>
        <v>Role Stagnent</v>
      </c>
      <c r="W1395" t="str">
        <f>IF(AND(Table1[[#This Row],[Years
InCurrentRole]]&gt; 4, Table1[[#This Row],[Performance
Rating]]&gt;=3), "High Risk", "Normal")</f>
        <v>High Risk</v>
      </c>
      <c r="X1395" t="str">
        <f>IF(Table1[[#This Row],[Performance
Rating]]&gt;=4, "High Performer", "Low Performer")</f>
        <v>Low Performer</v>
      </c>
    </row>
    <row r="1396" spans="2:24" x14ac:dyDescent="0.3">
      <c r="B1396" t="s">
        <v>19</v>
      </c>
      <c r="C1396" t="s">
        <v>20</v>
      </c>
      <c r="D1396">
        <v>1</v>
      </c>
      <c r="E1396" t="s">
        <v>28</v>
      </c>
      <c r="F1396">
        <v>3</v>
      </c>
      <c r="G1396" t="s">
        <v>32</v>
      </c>
      <c r="H1396">
        <v>3</v>
      </c>
      <c r="I1396">
        <v>7596</v>
      </c>
      <c r="J1396">
        <v>13</v>
      </c>
      <c r="K1396">
        <v>3</v>
      </c>
      <c r="L1396">
        <v>2</v>
      </c>
      <c r="M1396">
        <v>10</v>
      </c>
      <c r="N1396">
        <v>2</v>
      </c>
      <c r="O1396">
        <v>3</v>
      </c>
      <c r="P1396">
        <v>10</v>
      </c>
      <c r="Q1396">
        <v>9</v>
      </c>
      <c r="R1396">
        <v>9</v>
      </c>
      <c r="S1396" t="s">
        <v>34</v>
      </c>
      <c r="T1396" t="s">
        <v>37</v>
      </c>
      <c r="U1396" t="str">
        <f>IF(Table1[[#This Row],[YearsSince
LastPromotion]]&gt; 4, "Delayed", "Normal")</f>
        <v>Delayed</v>
      </c>
      <c r="V1396" t="str">
        <f>IF(Table1[[#This Row],[Years
InCurrentRole]]&gt;4, "Role Stagnent", "Normal")</f>
        <v>Role Stagnent</v>
      </c>
      <c r="W1396" t="str">
        <f>IF(AND(Table1[[#This Row],[Years
InCurrentRole]]&gt; 4, Table1[[#This Row],[Performance
Rating]]&gt;=3), "High Risk", "Normal")</f>
        <v>High Risk</v>
      </c>
      <c r="X1396" t="str">
        <f>IF(Table1[[#This Row],[Performance
Rating]]&gt;=4, "High Performer", "Low Performer")</f>
        <v>Low Performer</v>
      </c>
    </row>
    <row r="1397" spans="2:24" x14ac:dyDescent="0.3">
      <c r="B1397" t="s">
        <v>19</v>
      </c>
      <c r="C1397" t="s">
        <v>25</v>
      </c>
      <c r="D1397">
        <v>1</v>
      </c>
      <c r="E1397" t="s">
        <v>28</v>
      </c>
      <c r="F1397">
        <v>2</v>
      </c>
      <c r="G1397" t="s">
        <v>26</v>
      </c>
      <c r="H1397">
        <v>4</v>
      </c>
      <c r="I1397">
        <v>3697</v>
      </c>
      <c r="J1397">
        <v>14</v>
      </c>
      <c r="K1397">
        <v>3</v>
      </c>
      <c r="L1397">
        <v>2</v>
      </c>
      <c r="M1397">
        <v>12</v>
      </c>
      <c r="N1397">
        <v>3</v>
      </c>
      <c r="O1397">
        <v>3</v>
      </c>
      <c r="P1397">
        <v>10</v>
      </c>
      <c r="Q1397">
        <v>9</v>
      </c>
      <c r="R1397">
        <v>9</v>
      </c>
      <c r="S1397" t="s">
        <v>34</v>
      </c>
      <c r="T1397" t="s">
        <v>37</v>
      </c>
      <c r="U1397" t="str">
        <f>IF(Table1[[#This Row],[YearsSince
LastPromotion]]&gt; 4, "Delayed", "Normal")</f>
        <v>Delayed</v>
      </c>
      <c r="V1397" t="str">
        <f>IF(Table1[[#This Row],[Years
InCurrentRole]]&gt;4, "Role Stagnent", "Normal")</f>
        <v>Role Stagnent</v>
      </c>
      <c r="W1397" t="str">
        <f>IF(AND(Table1[[#This Row],[Years
InCurrentRole]]&gt; 4, Table1[[#This Row],[Performance
Rating]]&gt;=3), "High Risk", "Normal")</f>
        <v>High Risk</v>
      </c>
      <c r="X1397" t="str">
        <f>IF(Table1[[#This Row],[Performance
Rating]]&gt;=4, "High Performer", "Low Performer")</f>
        <v>Low Performer</v>
      </c>
    </row>
    <row r="1398" spans="2:24" x14ac:dyDescent="0.3">
      <c r="B1398" t="s">
        <v>19</v>
      </c>
      <c r="C1398" t="s">
        <v>25</v>
      </c>
      <c r="D1398">
        <v>1</v>
      </c>
      <c r="E1398" t="s">
        <v>21</v>
      </c>
      <c r="F1398">
        <v>2</v>
      </c>
      <c r="G1398" t="s">
        <v>29</v>
      </c>
      <c r="H1398">
        <v>3</v>
      </c>
      <c r="I1398">
        <v>6323</v>
      </c>
      <c r="J1398">
        <v>11</v>
      </c>
      <c r="K1398">
        <v>3</v>
      </c>
      <c r="L1398">
        <v>1</v>
      </c>
      <c r="M1398">
        <v>10</v>
      </c>
      <c r="N1398">
        <v>2</v>
      </c>
      <c r="O1398">
        <v>4</v>
      </c>
      <c r="P1398">
        <v>10</v>
      </c>
      <c r="Q1398">
        <v>9</v>
      </c>
      <c r="R1398">
        <v>9</v>
      </c>
      <c r="S1398" t="s">
        <v>34</v>
      </c>
      <c r="T1398" t="s">
        <v>37</v>
      </c>
      <c r="U1398" t="str">
        <f>IF(Table1[[#This Row],[YearsSince
LastPromotion]]&gt; 4, "Delayed", "Normal")</f>
        <v>Delayed</v>
      </c>
      <c r="V1398" t="str">
        <f>IF(Table1[[#This Row],[Years
InCurrentRole]]&gt;4, "Role Stagnent", "Normal")</f>
        <v>Role Stagnent</v>
      </c>
      <c r="W1398" t="str">
        <f>IF(AND(Table1[[#This Row],[Years
InCurrentRole]]&gt; 4, Table1[[#This Row],[Performance
Rating]]&gt;=3), "High Risk", "Normal")</f>
        <v>High Risk</v>
      </c>
      <c r="X1398" t="str">
        <f>IF(Table1[[#This Row],[Performance
Rating]]&gt;=4, "High Performer", "Low Performer")</f>
        <v>Low Performer</v>
      </c>
    </row>
    <row r="1399" spans="2:24" x14ac:dyDescent="0.3">
      <c r="B1399" t="s">
        <v>19</v>
      </c>
      <c r="C1399" t="s">
        <v>25</v>
      </c>
      <c r="D1399">
        <v>1</v>
      </c>
      <c r="E1399" t="s">
        <v>21</v>
      </c>
      <c r="F1399">
        <v>5</v>
      </c>
      <c r="G1399" t="s">
        <v>22</v>
      </c>
      <c r="H1399">
        <v>3</v>
      </c>
      <c r="I1399">
        <v>19187</v>
      </c>
      <c r="J1399">
        <v>14</v>
      </c>
      <c r="K1399">
        <v>3</v>
      </c>
      <c r="L1399">
        <v>1</v>
      </c>
      <c r="M1399">
        <v>23</v>
      </c>
      <c r="N1399">
        <v>5</v>
      </c>
      <c r="O1399">
        <v>3</v>
      </c>
      <c r="P1399">
        <v>19</v>
      </c>
      <c r="Q1399">
        <v>9</v>
      </c>
      <c r="R1399">
        <v>9</v>
      </c>
      <c r="S1399" t="s">
        <v>34</v>
      </c>
      <c r="T1399" t="s">
        <v>37</v>
      </c>
      <c r="U1399" t="str">
        <f>IF(Table1[[#This Row],[YearsSince
LastPromotion]]&gt; 4, "Delayed", "Normal")</f>
        <v>Delayed</v>
      </c>
      <c r="V1399" t="str">
        <f>IF(Table1[[#This Row],[Years
InCurrentRole]]&gt;4, "Role Stagnent", "Normal")</f>
        <v>Role Stagnent</v>
      </c>
      <c r="W1399" t="str">
        <f>IF(AND(Table1[[#This Row],[Years
InCurrentRole]]&gt; 4, Table1[[#This Row],[Performance
Rating]]&gt;=3), "High Risk", "Normal")</f>
        <v>High Risk</v>
      </c>
      <c r="X1399" t="str">
        <f>IF(Table1[[#This Row],[Performance
Rating]]&gt;=4, "High Performer", "Low Performer")</f>
        <v>Low Performer</v>
      </c>
    </row>
    <row r="1400" spans="2:24" x14ac:dyDescent="0.3">
      <c r="B1400" t="s">
        <v>19</v>
      </c>
      <c r="C1400" t="s">
        <v>20</v>
      </c>
      <c r="D1400">
        <v>1</v>
      </c>
      <c r="E1400" t="s">
        <v>21</v>
      </c>
      <c r="F1400">
        <v>4</v>
      </c>
      <c r="G1400" t="s">
        <v>32</v>
      </c>
      <c r="H1400">
        <v>4</v>
      </c>
      <c r="I1400">
        <v>12031</v>
      </c>
      <c r="J1400">
        <v>11</v>
      </c>
      <c r="K1400">
        <v>3</v>
      </c>
      <c r="L1400">
        <v>1</v>
      </c>
      <c r="M1400">
        <v>21</v>
      </c>
      <c r="N1400">
        <v>2</v>
      </c>
      <c r="O1400">
        <v>2</v>
      </c>
      <c r="P1400">
        <v>20</v>
      </c>
      <c r="Q1400">
        <v>9</v>
      </c>
      <c r="R1400">
        <v>9</v>
      </c>
      <c r="S1400" t="s">
        <v>23</v>
      </c>
      <c r="T1400" t="s">
        <v>37</v>
      </c>
      <c r="U1400" t="str">
        <f>IF(Table1[[#This Row],[YearsSince
LastPromotion]]&gt; 4, "Delayed", "Normal")</f>
        <v>Delayed</v>
      </c>
      <c r="V1400" t="str">
        <f>IF(Table1[[#This Row],[Years
InCurrentRole]]&gt;4, "Role Stagnent", "Normal")</f>
        <v>Role Stagnent</v>
      </c>
      <c r="W1400" t="str">
        <f>IF(AND(Table1[[#This Row],[Years
InCurrentRole]]&gt; 4, Table1[[#This Row],[Performance
Rating]]&gt;=3), "High Risk", "Normal")</f>
        <v>High Risk</v>
      </c>
      <c r="X1400" t="str">
        <f>IF(Table1[[#This Row],[Performance
Rating]]&gt;=4, "High Performer", "Low Performer")</f>
        <v>Low Performer</v>
      </c>
    </row>
    <row r="1401" spans="2:24" x14ac:dyDescent="0.3">
      <c r="B1401" t="s">
        <v>19</v>
      </c>
      <c r="C1401" t="s">
        <v>25</v>
      </c>
      <c r="D1401">
        <v>1</v>
      </c>
      <c r="E1401" t="s">
        <v>28</v>
      </c>
      <c r="F1401">
        <v>3</v>
      </c>
      <c r="G1401" t="s">
        <v>29</v>
      </c>
      <c r="H1401">
        <v>1</v>
      </c>
      <c r="I1401">
        <v>5210</v>
      </c>
      <c r="J1401">
        <v>18</v>
      </c>
      <c r="K1401">
        <v>3</v>
      </c>
      <c r="L1401">
        <v>1</v>
      </c>
      <c r="M1401">
        <v>24</v>
      </c>
      <c r="N1401">
        <v>2</v>
      </c>
      <c r="O1401">
        <v>3</v>
      </c>
      <c r="P1401">
        <v>24</v>
      </c>
      <c r="Q1401">
        <v>9</v>
      </c>
      <c r="R1401">
        <v>9</v>
      </c>
      <c r="S1401" t="s">
        <v>34</v>
      </c>
      <c r="T1401" t="s">
        <v>37</v>
      </c>
      <c r="U1401" t="str">
        <f>IF(Table1[[#This Row],[YearsSince
LastPromotion]]&gt; 4, "Delayed", "Normal")</f>
        <v>Delayed</v>
      </c>
      <c r="V1401" t="str">
        <f>IF(Table1[[#This Row],[Years
InCurrentRole]]&gt;4, "Role Stagnent", "Normal")</f>
        <v>Role Stagnent</v>
      </c>
      <c r="W1401" t="str">
        <f>IF(AND(Table1[[#This Row],[Years
InCurrentRole]]&gt; 4, Table1[[#This Row],[Performance
Rating]]&gt;=3), "High Risk", "Normal")</f>
        <v>High Risk</v>
      </c>
      <c r="X1401" t="str">
        <f>IF(Table1[[#This Row],[Performance
Rating]]&gt;=4, "High Performer", "Low Performer")</f>
        <v>Low Performer</v>
      </c>
    </row>
    <row r="1402" spans="2:24" x14ac:dyDescent="0.3">
      <c r="B1402" t="s">
        <v>19</v>
      </c>
      <c r="C1402" t="s">
        <v>36</v>
      </c>
      <c r="D1402">
        <v>1</v>
      </c>
      <c r="E1402" t="s">
        <v>28</v>
      </c>
      <c r="F1402">
        <v>5</v>
      </c>
      <c r="G1402" t="s">
        <v>22</v>
      </c>
      <c r="H1402">
        <v>2</v>
      </c>
      <c r="I1402">
        <v>18200</v>
      </c>
      <c r="J1402">
        <v>11</v>
      </c>
      <c r="K1402">
        <v>3</v>
      </c>
      <c r="L1402">
        <v>1</v>
      </c>
      <c r="M1402">
        <v>32</v>
      </c>
      <c r="N1402">
        <v>2</v>
      </c>
      <c r="O1402">
        <v>3</v>
      </c>
      <c r="P1402">
        <v>32</v>
      </c>
      <c r="Q1402">
        <v>5</v>
      </c>
      <c r="R1402">
        <v>10</v>
      </c>
      <c r="S1402" t="s">
        <v>34</v>
      </c>
      <c r="T1402" t="s">
        <v>37</v>
      </c>
      <c r="U1402" t="str">
        <f>IF(Table1[[#This Row],[YearsSince
LastPromotion]]&gt; 4, "Delayed", "Normal")</f>
        <v>Delayed</v>
      </c>
      <c r="V1402" t="str">
        <f>IF(Table1[[#This Row],[Years
InCurrentRole]]&gt;4, "Role Stagnent", "Normal")</f>
        <v>Role Stagnent</v>
      </c>
      <c r="W1402" t="str">
        <f>IF(AND(Table1[[#This Row],[Years
InCurrentRole]]&gt; 4, Table1[[#This Row],[Performance
Rating]]&gt;=3), "High Risk", "Normal")</f>
        <v>High Risk</v>
      </c>
      <c r="X1402" t="str">
        <f>IF(Table1[[#This Row],[Performance
Rating]]&gt;=4, "High Performer", "Low Performer")</f>
        <v>Low Performer</v>
      </c>
    </row>
    <row r="1403" spans="2:24" x14ac:dyDescent="0.3">
      <c r="B1403" t="s">
        <v>27</v>
      </c>
      <c r="C1403" t="s">
        <v>20</v>
      </c>
      <c r="D1403">
        <v>1</v>
      </c>
      <c r="E1403" t="s">
        <v>21</v>
      </c>
      <c r="F1403">
        <v>2</v>
      </c>
      <c r="G1403" t="s">
        <v>32</v>
      </c>
      <c r="H1403">
        <v>2</v>
      </c>
      <c r="I1403">
        <v>4599</v>
      </c>
      <c r="J1403">
        <v>23</v>
      </c>
      <c r="K1403">
        <v>4</v>
      </c>
      <c r="L1403">
        <v>0</v>
      </c>
      <c r="M1403">
        <v>16</v>
      </c>
      <c r="N1403">
        <v>2</v>
      </c>
      <c r="O1403">
        <v>4</v>
      </c>
      <c r="P1403">
        <v>15</v>
      </c>
      <c r="Q1403">
        <v>9</v>
      </c>
      <c r="R1403">
        <v>10</v>
      </c>
      <c r="S1403" t="s">
        <v>34</v>
      </c>
      <c r="T1403" t="s">
        <v>37</v>
      </c>
      <c r="U1403" t="str">
        <f>IF(Table1[[#This Row],[YearsSince
LastPromotion]]&gt; 4, "Delayed", "Normal")</f>
        <v>Delayed</v>
      </c>
      <c r="V1403" t="str">
        <f>IF(Table1[[#This Row],[Years
InCurrentRole]]&gt;4, "Role Stagnent", "Normal")</f>
        <v>Role Stagnent</v>
      </c>
      <c r="W1403" t="str">
        <f>IF(AND(Table1[[#This Row],[Years
InCurrentRole]]&gt; 4, Table1[[#This Row],[Performance
Rating]]&gt;=3), "High Risk", "Normal")</f>
        <v>High Risk</v>
      </c>
      <c r="X1403" t="str">
        <f>IF(Table1[[#This Row],[Performance
Rating]]&gt;=4, "High Performer", "Low Performer")</f>
        <v>High Performer</v>
      </c>
    </row>
    <row r="1404" spans="2:24" x14ac:dyDescent="0.3">
      <c r="B1404" t="s">
        <v>19</v>
      </c>
      <c r="C1404" t="s">
        <v>25</v>
      </c>
      <c r="D1404">
        <v>1</v>
      </c>
      <c r="E1404" t="s">
        <v>28</v>
      </c>
      <c r="F1404">
        <v>2</v>
      </c>
      <c r="G1404" t="s">
        <v>31</v>
      </c>
      <c r="H1404">
        <v>4</v>
      </c>
      <c r="I1404">
        <v>4152</v>
      </c>
      <c r="J1404">
        <v>19</v>
      </c>
      <c r="K1404">
        <v>3</v>
      </c>
      <c r="L1404">
        <v>3</v>
      </c>
      <c r="M1404">
        <v>11</v>
      </c>
      <c r="N1404">
        <v>3</v>
      </c>
      <c r="O1404">
        <v>3</v>
      </c>
      <c r="P1404">
        <v>11</v>
      </c>
      <c r="Q1404">
        <v>10</v>
      </c>
      <c r="R1404">
        <v>10</v>
      </c>
      <c r="S1404" t="s">
        <v>34</v>
      </c>
      <c r="T1404" t="s">
        <v>37</v>
      </c>
      <c r="U1404" t="str">
        <f>IF(Table1[[#This Row],[YearsSince
LastPromotion]]&gt; 4, "Delayed", "Normal")</f>
        <v>Delayed</v>
      </c>
      <c r="V1404" t="str">
        <f>IF(Table1[[#This Row],[Years
InCurrentRole]]&gt;4, "Role Stagnent", "Normal")</f>
        <v>Role Stagnent</v>
      </c>
      <c r="W1404" t="str">
        <f>IF(AND(Table1[[#This Row],[Years
InCurrentRole]]&gt; 4, Table1[[#This Row],[Performance
Rating]]&gt;=3), "High Risk", "Normal")</f>
        <v>High Risk</v>
      </c>
      <c r="X1404" t="str">
        <f>IF(Table1[[#This Row],[Performance
Rating]]&gt;=4, "High Performer", "Low Performer")</f>
        <v>Low Performer</v>
      </c>
    </row>
    <row r="1405" spans="2:24" x14ac:dyDescent="0.3">
      <c r="B1405" t="s">
        <v>19</v>
      </c>
      <c r="C1405" t="s">
        <v>25</v>
      </c>
      <c r="D1405">
        <v>1</v>
      </c>
      <c r="E1405" t="s">
        <v>21</v>
      </c>
      <c r="F1405">
        <v>3</v>
      </c>
      <c r="G1405" t="s">
        <v>31</v>
      </c>
      <c r="H1405">
        <v>3</v>
      </c>
      <c r="I1405">
        <v>10388</v>
      </c>
      <c r="J1405">
        <v>11</v>
      </c>
      <c r="K1405">
        <v>3</v>
      </c>
      <c r="L1405">
        <v>1</v>
      </c>
      <c r="M1405">
        <v>16</v>
      </c>
      <c r="N1405">
        <v>3</v>
      </c>
      <c r="O1405">
        <v>2</v>
      </c>
      <c r="P1405">
        <v>16</v>
      </c>
      <c r="Q1405">
        <v>10</v>
      </c>
      <c r="R1405">
        <v>10</v>
      </c>
      <c r="S1405" t="s">
        <v>23</v>
      </c>
      <c r="T1405" t="s">
        <v>37</v>
      </c>
      <c r="U1405" t="str">
        <f>IF(Table1[[#This Row],[YearsSince
LastPromotion]]&gt; 4, "Delayed", "Normal")</f>
        <v>Delayed</v>
      </c>
      <c r="V1405" t="str">
        <f>IF(Table1[[#This Row],[Years
InCurrentRole]]&gt;4, "Role Stagnent", "Normal")</f>
        <v>Role Stagnent</v>
      </c>
      <c r="W1405" t="str">
        <f>IF(AND(Table1[[#This Row],[Years
InCurrentRole]]&gt; 4, Table1[[#This Row],[Performance
Rating]]&gt;=3), "High Risk", "Normal")</f>
        <v>High Risk</v>
      </c>
      <c r="X1405" t="str">
        <f>IF(Table1[[#This Row],[Performance
Rating]]&gt;=4, "High Performer", "Low Performer")</f>
        <v>Low Performer</v>
      </c>
    </row>
    <row r="1406" spans="2:24" x14ac:dyDescent="0.3">
      <c r="B1406" t="s">
        <v>19</v>
      </c>
      <c r="C1406" t="s">
        <v>25</v>
      </c>
      <c r="D1406">
        <v>1</v>
      </c>
      <c r="E1406" t="s">
        <v>21</v>
      </c>
      <c r="F1406">
        <v>2</v>
      </c>
      <c r="G1406" t="s">
        <v>26</v>
      </c>
      <c r="H1406">
        <v>3</v>
      </c>
      <c r="I1406">
        <v>4449</v>
      </c>
      <c r="J1406">
        <v>15</v>
      </c>
      <c r="K1406">
        <v>3</v>
      </c>
      <c r="L1406">
        <v>2</v>
      </c>
      <c r="M1406">
        <v>15</v>
      </c>
      <c r="N1406">
        <v>2</v>
      </c>
      <c r="O1406">
        <v>3</v>
      </c>
      <c r="P1406">
        <v>13</v>
      </c>
      <c r="Q1406">
        <v>11</v>
      </c>
      <c r="R1406">
        <v>10</v>
      </c>
      <c r="S1406" t="s">
        <v>34</v>
      </c>
      <c r="T1406" t="s">
        <v>37</v>
      </c>
      <c r="U1406" t="str">
        <f>IF(Table1[[#This Row],[YearsSince
LastPromotion]]&gt; 4, "Delayed", "Normal")</f>
        <v>Delayed</v>
      </c>
      <c r="V1406" t="str">
        <f>IF(Table1[[#This Row],[Years
InCurrentRole]]&gt;4, "Role Stagnent", "Normal")</f>
        <v>Role Stagnent</v>
      </c>
      <c r="W1406" t="str">
        <f>IF(AND(Table1[[#This Row],[Years
InCurrentRole]]&gt; 4, Table1[[#This Row],[Performance
Rating]]&gt;=3), "High Risk", "Normal")</f>
        <v>High Risk</v>
      </c>
      <c r="X1406" t="str">
        <f>IF(Table1[[#This Row],[Performance
Rating]]&gt;=4, "High Performer", "Low Performer")</f>
        <v>Low Performer</v>
      </c>
    </row>
    <row r="1407" spans="2:24" x14ac:dyDescent="0.3">
      <c r="B1407" t="s">
        <v>19</v>
      </c>
      <c r="C1407" t="s">
        <v>25</v>
      </c>
      <c r="D1407">
        <v>1</v>
      </c>
      <c r="E1407" t="s">
        <v>28</v>
      </c>
      <c r="F1407">
        <v>1</v>
      </c>
      <c r="G1407" t="s">
        <v>29</v>
      </c>
      <c r="H1407">
        <v>4</v>
      </c>
      <c r="I1407">
        <v>3210</v>
      </c>
      <c r="J1407">
        <v>11</v>
      </c>
      <c r="K1407">
        <v>3</v>
      </c>
      <c r="L1407">
        <v>1</v>
      </c>
      <c r="M1407">
        <v>16</v>
      </c>
      <c r="N1407">
        <v>4</v>
      </c>
      <c r="O1407">
        <v>3</v>
      </c>
      <c r="P1407">
        <v>15</v>
      </c>
      <c r="Q1407">
        <v>13</v>
      </c>
      <c r="R1407">
        <v>10</v>
      </c>
      <c r="S1407" t="s">
        <v>34</v>
      </c>
      <c r="T1407" t="s">
        <v>37</v>
      </c>
      <c r="U1407" t="str">
        <f>IF(Table1[[#This Row],[YearsSince
LastPromotion]]&gt; 4, "Delayed", "Normal")</f>
        <v>Delayed</v>
      </c>
      <c r="V1407" t="str">
        <f>IF(Table1[[#This Row],[Years
InCurrentRole]]&gt;4, "Role Stagnent", "Normal")</f>
        <v>Role Stagnent</v>
      </c>
      <c r="W1407" t="str">
        <f>IF(AND(Table1[[#This Row],[Years
InCurrentRole]]&gt; 4, Table1[[#This Row],[Performance
Rating]]&gt;=3), "High Risk", "Normal")</f>
        <v>High Risk</v>
      </c>
      <c r="X1407" t="str">
        <f>IF(Table1[[#This Row],[Performance
Rating]]&gt;=4, "High Performer", "Low Performer")</f>
        <v>Low Performer</v>
      </c>
    </row>
    <row r="1408" spans="2:24" x14ac:dyDescent="0.3">
      <c r="B1408" t="s">
        <v>27</v>
      </c>
      <c r="C1408" t="s">
        <v>20</v>
      </c>
      <c r="D1408">
        <v>1</v>
      </c>
      <c r="E1408" t="s">
        <v>28</v>
      </c>
      <c r="F1408">
        <v>3</v>
      </c>
      <c r="G1408" t="s">
        <v>32</v>
      </c>
      <c r="H1408">
        <v>3</v>
      </c>
      <c r="I1408">
        <v>10609</v>
      </c>
      <c r="J1408">
        <v>11</v>
      </c>
      <c r="K1408">
        <v>3</v>
      </c>
      <c r="L1408">
        <v>0</v>
      </c>
      <c r="M1408">
        <v>17</v>
      </c>
      <c r="N1408">
        <v>2</v>
      </c>
      <c r="O1408">
        <v>1</v>
      </c>
      <c r="P1408">
        <v>14</v>
      </c>
      <c r="Q1408">
        <v>1</v>
      </c>
      <c r="R1408">
        <v>11</v>
      </c>
      <c r="S1408" t="s">
        <v>23</v>
      </c>
      <c r="T1408" t="s">
        <v>37</v>
      </c>
      <c r="U1408" t="str">
        <f>IF(Table1[[#This Row],[YearsSince
LastPromotion]]&gt; 4, "Delayed", "Normal")</f>
        <v>Delayed</v>
      </c>
      <c r="V1408" t="str">
        <f>IF(Table1[[#This Row],[Years
InCurrentRole]]&gt;4, "Role Stagnent", "Normal")</f>
        <v>Normal</v>
      </c>
      <c r="W1408" t="str">
        <f>IF(AND(Table1[[#This Row],[Years
InCurrentRole]]&gt; 4, Table1[[#This Row],[Performance
Rating]]&gt;=3), "High Risk", "Normal")</f>
        <v>Normal</v>
      </c>
      <c r="X1408" t="str">
        <f>IF(Table1[[#This Row],[Performance
Rating]]&gt;=4, "High Performer", "Low Performer")</f>
        <v>Low Performer</v>
      </c>
    </row>
    <row r="1409" spans="2:24" x14ac:dyDescent="0.3">
      <c r="B1409" t="s">
        <v>19</v>
      </c>
      <c r="C1409" t="s">
        <v>20</v>
      </c>
      <c r="D1409">
        <v>1</v>
      </c>
      <c r="E1409" t="s">
        <v>28</v>
      </c>
      <c r="F1409">
        <v>2</v>
      </c>
      <c r="G1409" t="s">
        <v>32</v>
      </c>
      <c r="H1409">
        <v>2</v>
      </c>
      <c r="I1409">
        <v>6151</v>
      </c>
      <c r="J1409">
        <v>13</v>
      </c>
      <c r="K1409">
        <v>3</v>
      </c>
      <c r="L1409">
        <v>0</v>
      </c>
      <c r="M1409">
        <v>19</v>
      </c>
      <c r="N1409">
        <v>4</v>
      </c>
      <c r="O1409">
        <v>3</v>
      </c>
      <c r="P1409">
        <v>19</v>
      </c>
      <c r="Q1409">
        <v>2</v>
      </c>
      <c r="R1409">
        <v>11</v>
      </c>
      <c r="S1409" t="s">
        <v>34</v>
      </c>
      <c r="T1409" t="s">
        <v>37</v>
      </c>
      <c r="U1409" t="str">
        <f>IF(Table1[[#This Row],[YearsSince
LastPromotion]]&gt; 4, "Delayed", "Normal")</f>
        <v>Delayed</v>
      </c>
      <c r="V1409" t="str">
        <f>IF(Table1[[#This Row],[Years
InCurrentRole]]&gt;4, "Role Stagnent", "Normal")</f>
        <v>Normal</v>
      </c>
      <c r="W1409" t="str">
        <f>IF(AND(Table1[[#This Row],[Years
InCurrentRole]]&gt; 4, Table1[[#This Row],[Performance
Rating]]&gt;=3), "High Risk", "Normal")</f>
        <v>Normal</v>
      </c>
      <c r="X1409" t="str">
        <f>IF(Table1[[#This Row],[Performance
Rating]]&gt;=4, "High Performer", "Low Performer")</f>
        <v>Low Performer</v>
      </c>
    </row>
    <row r="1410" spans="2:24" x14ac:dyDescent="0.3">
      <c r="B1410" t="s">
        <v>19</v>
      </c>
      <c r="C1410" t="s">
        <v>20</v>
      </c>
      <c r="D1410">
        <v>1</v>
      </c>
      <c r="E1410" t="s">
        <v>21</v>
      </c>
      <c r="F1410">
        <v>4</v>
      </c>
      <c r="G1410" t="s">
        <v>32</v>
      </c>
      <c r="H1410">
        <v>3</v>
      </c>
      <c r="I1410">
        <v>13770</v>
      </c>
      <c r="J1410">
        <v>12</v>
      </c>
      <c r="K1410">
        <v>3</v>
      </c>
      <c r="L1410">
        <v>2</v>
      </c>
      <c r="M1410">
        <v>28</v>
      </c>
      <c r="N1410">
        <v>2</v>
      </c>
      <c r="O1410">
        <v>2</v>
      </c>
      <c r="P1410">
        <v>22</v>
      </c>
      <c r="Q1410">
        <v>2</v>
      </c>
      <c r="R1410">
        <v>11</v>
      </c>
      <c r="S1410" t="s">
        <v>23</v>
      </c>
      <c r="T1410" t="s">
        <v>37</v>
      </c>
      <c r="U1410" t="str">
        <f>IF(Table1[[#This Row],[YearsSince
LastPromotion]]&gt; 4, "Delayed", "Normal")</f>
        <v>Delayed</v>
      </c>
      <c r="V1410" t="str">
        <f>IF(Table1[[#This Row],[Years
InCurrentRole]]&gt;4, "Role Stagnent", "Normal")</f>
        <v>Normal</v>
      </c>
      <c r="W1410" t="str">
        <f>IF(AND(Table1[[#This Row],[Years
InCurrentRole]]&gt; 4, Table1[[#This Row],[Performance
Rating]]&gt;=3), "High Risk", "Normal")</f>
        <v>Normal</v>
      </c>
      <c r="X1410" t="str">
        <f>IF(Table1[[#This Row],[Performance
Rating]]&gt;=4, "High Performer", "Low Performer")</f>
        <v>Low Performer</v>
      </c>
    </row>
    <row r="1411" spans="2:24" x14ac:dyDescent="0.3">
      <c r="B1411" t="s">
        <v>19</v>
      </c>
      <c r="C1411" t="s">
        <v>25</v>
      </c>
      <c r="D1411">
        <v>1</v>
      </c>
      <c r="E1411" t="s">
        <v>28</v>
      </c>
      <c r="F1411">
        <v>4</v>
      </c>
      <c r="G1411" t="s">
        <v>31</v>
      </c>
      <c r="H1411">
        <v>2</v>
      </c>
      <c r="I1411">
        <v>13503</v>
      </c>
      <c r="J1411">
        <v>22</v>
      </c>
      <c r="K1411">
        <v>4</v>
      </c>
      <c r="L1411">
        <v>1</v>
      </c>
      <c r="M1411">
        <v>22</v>
      </c>
      <c r="N1411">
        <v>3</v>
      </c>
      <c r="O1411">
        <v>2</v>
      </c>
      <c r="P1411">
        <v>22</v>
      </c>
      <c r="Q1411">
        <v>3</v>
      </c>
      <c r="R1411">
        <v>11</v>
      </c>
      <c r="S1411" t="s">
        <v>23</v>
      </c>
      <c r="T1411" t="s">
        <v>37</v>
      </c>
      <c r="U1411" t="str">
        <f>IF(Table1[[#This Row],[YearsSince
LastPromotion]]&gt; 4, "Delayed", "Normal")</f>
        <v>Delayed</v>
      </c>
      <c r="V1411" t="str">
        <f>IF(Table1[[#This Row],[Years
InCurrentRole]]&gt;4, "Role Stagnent", "Normal")</f>
        <v>Normal</v>
      </c>
      <c r="W1411" t="str">
        <f>IF(AND(Table1[[#This Row],[Years
InCurrentRole]]&gt; 4, Table1[[#This Row],[Performance
Rating]]&gt;=3), "High Risk", "Normal")</f>
        <v>Normal</v>
      </c>
      <c r="X1411" t="str">
        <f>IF(Table1[[#This Row],[Performance
Rating]]&gt;=4, "High Performer", "Low Performer")</f>
        <v>High Performer</v>
      </c>
    </row>
    <row r="1412" spans="2:24" x14ac:dyDescent="0.3">
      <c r="B1412" t="s">
        <v>19</v>
      </c>
      <c r="C1412" t="s">
        <v>25</v>
      </c>
      <c r="D1412">
        <v>1</v>
      </c>
      <c r="E1412" t="s">
        <v>21</v>
      </c>
      <c r="F1412">
        <v>3</v>
      </c>
      <c r="G1412" t="s">
        <v>31</v>
      </c>
      <c r="H1412">
        <v>3</v>
      </c>
      <c r="I1412">
        <v>10938</v>
      </c>
      <c r="J1412">
        <v>25</v>
      </c>
      <c r="K1412">
        <v>4</v>
      </c>
      <c r="L1412">
        <v>0</v>
      </c>
      <c r="M1412">
        <v>20</v>
      </c>
      <c r="N1412">
        <v>1</v>
      </c>
      <c r="O1412">
        <v>3</v>
      </c>
      <c r="P1412">
        <v>19</v>
      </c>
      <c r="Q1412">
        <v>6</v>
      </c>
      <c r="R1412">
        <v>11</v>
      </c>
      <c r="S1412" t="s">
        <v>34</v>
      </c>
      <c r="T1412" t="s">
        <v>37</v>
      </c>
      <c r="U1412" t="str">
        <f>IF(Table1[[#This Row],[YearsSince
LastPromotion]]&gt; 4, "Delayed", "Normal")</f>
        <v>Delayed</v>
      </c>
      <c r="V1412" t="str">
        <f>IF(Table1[[#This Row],[Years
InCurrentRole]]&gt;4, "Role Stagnent", "Normal")</f>
        <v>Role Stagnent</v>
      </c>
      <c r="W1412" t="str">
        <f>IF(AND(Table1[[#This Row],[Years
InCurrentRole]]&gt; 4, Table1[[#This Row],[Performance
Rating]]&gt;=3), "High Risk", "Normal")</f>
        <v>High Risk</v>
      </c>
      <c r="X1412" t="str">
        <f>IF(Table1[[#This Row],[Performance
Rating]]&gt;=4, "High Performer", "Low Performer")</f>
        <v>High Performer</v>
      </c>
    </row>
    <row r="1413" spans="2:24" x14ac:dyDescent="0.3">
      <c r="B1413" t="s">
        <v>19</v>
      </c>
      <c r="C1413" t="s">
        <v>25</v>
      </c>
      <c r="D1413">
        <v>1</v>
      </c>
      <c r="E1413" t="s">
        <v>21</v>
      </c>
      <c r="F1413">
        <v>4</v>
      </c>
      <c r="G1413" t="s">
        <v>33</v>
      </c>
      <c r="H1413">
        <v>4</v>
      </c>
      <c r="I1413">
        <v>12742</v>
      </c>
      <c r="J1413">
        <v>16</v>
      </c>
      <c r="K1413">
        <v>3</v>
      </c>
      <c r="L1413">
        <v>1</v>
      </c>
      <c r="M1413">
        <v>21</v>
      </c>
      <c r="N1413">
        <v>3</v>
      </c>
      <c r="O1413">
        <v>3</v>
      </c>
      <c r="P1413">
        <v>21</v>
      </c>
      <c r="Q1413">
        <v>6</v>
      </c>
      <c r="R1413">
        <v>11</v>
      </c>
      <c r="S1413" t="s">
        <v>34</v>
      </c>
      <c r="T1413" t="s">
        <v>37</v>
      </c>
      <c r="U1413" t="str">
        <f>IF(Table1[[#This Row],[YearsSince
LastPromotion]]&gt; 4, "Delayed", "Normal")</f>
        <v>Delayed</v>
      </c>
      <c r="V1413" t="str">
        <f>IF(Table1[[#This Row],[Years
InCurrentRole]]&gt;4, "Role Stagnent", "Normal")</f>
        <v>Role Stagnent</v>
      </c>
      <c r="W1413" t="str">
        <f>IF(AND(Table1[[#This Row],[Years
InCurrentRole]]&gt; 4, Table1[[#This Row],[Performance
Rating]]&gt;=3), "High Risk", "Normal")</f>
        <v>High Risk</v>
      </c>
      <c r="X1413" t="str">
        <f>IF(Table1[[#This Row],[Performance
Rating]]&gt;=4, "High Performer", "Low Performer")</f>
        <v>Low Performer</v>
      </c>
    </row>
    <row r="1414" spans="2:24" x14ac:dyDescent="0.3">
      <c r="B1414" t="s">
        <v>27</v>
      </c>
      <c r="C1414" t="s">
        <v>25</v>
      </c>
      <c r="D1414">
        <v>1</v>
      </c>
      <c r="E1414" t="s">
        <v>28</v>
      </c>
      <c r="F1414">
        <v>4</v>
      </c>
      <c r="G1414" t="s">
        <v>31</v>
      </c>
      <c r="H1414">
        <v>4</v>
      </c>
      <c r="I1414">
        <v>12169</v>
      </c>
      <c r="J1414">
        <v>11</v>
      </c>
      <c r="K1414">
        <v>3</v>
      </c>
      <c r="L1414">
        <v>3</v>
      </c>
      <c r="M1414">
        <v>21</v>
      </c>
      <c r="N1414">
        <v>4</v>
      </c>
      <c r="O1414">
        <v>3</v>
      </c>
      <c r="P1414">
        <v>18</v>
      </c>
      <c r="Q1414">
        <v>7</v>
      </c>
      <c r="R1414">
        <v>11</v>
      </c>
      <c r="S1414" t="s">
        <v>34</v>
      </c>
      <c r="T1414" t="s">
        <v>37</v>
      </c>
      <c r="U1414" t="str">
        <f>IF(Table1[[#This Row],[YearsSince
LastPromotion]]&gt; 4, "Delayed", "Normal")</f>
        <v>Delayed</v>
      </c>
      <c r="V1414" t="str">
        <f>IF(Table1[[#This Row],[Years
InCurrentRole]]&gt;4, "Role Stagnent", "Normal")</f>
        <v>Role Stagnent</v>
      </c>
      <c r="W1414" t="str">
        <f>IF(AND(Table1[[#This Row],[Years
InCurrentRole]]&gt; 4, Table1[[#This Row],[Performance
Rating]]&gt;=3), "High Risk", "Normal")</f>
        <v>High Risk</v>
      </c>
      <c r="X1414" t="str">
        <f>IF(Table1[[#This Row],[Performance
Rating]]&gt;=4, "High Performer", "Low Performer")</f>
        <v>Low Performer</v>
      </c>
    </row>
    <row r="1415" spans="2:24" x14ac:dyDescent="0.3">
      <c r="B1415" t="s">
        <v>19</v>
      </c>
      <c r="C1415" t="s">
        <v>25</v>
      </c>
      <c r="D1415">
        <v>1</v>
      </c>
      <c r="E1415" t="s">
        <v>28</v>
      </c>
      <c r="F1415">
        <v>4</v>
      </c>
      <c r="G1415" t="s">
        <v>22</v>
      </c>
      <c r="H1415">
        <v>1</v>
      </c>
      <c r="I1415">
        <v>16823</v>
      </c>
      <c r="J1415">
        <v>11</v>
      </c>
      <c r="K1415">
        <v>3</v>
      </c>
      <c r="L1415">
        <v>1</v>
      </c>
      <c r="M1415">
        <v>22</v>
      </c>
      <c r="N1415">
        <v>3</v>
      </c>
      <c r="O1415">
        <v>3</v>
      </c>
      <c r="P1415">
        <v>19</v>
      </c>
      <c r="Q1415">
        <v>7</v>
      </c>
      <c r="R1415">
        <v>11</v>
      </c>
      <c r="S1415" t="s">
        <v>34</v>
      </c>
      <c r="T1415" t="s">
        <v>37</v>
      </c>
      <c r="U1415" t="str">
        <f>IF(Table1[[#This Row],[YearsSince
LastPromotion]]&gt; 4, "Delayed", "Normal")</f>
        <v>Delayed</v>
      </c>
      <c r="V1415" t="str">
        <f>IF(Table1[[#This Row],[Years
InCurrentRole]]&gt;4, "Role Stagnent", "Normal")</f>
        <v>Role Stagnent</v>
      </c>
      <c r="W1415" t="str">
        <f>IF(AND(Table1[[#This Row],[Years
InCurrentRole]]&gt; 4, Table1[[#This Row],[Performance
Rating]]&gt;=3), "High Risk", "Normal")</f>
        <v>High Risk</v>
      </c>
      <c r="X1415" t="str">
        <f>IF(Table1[[#This Row],[Performance
Rating]]&gt;=4, "High Performer", "Low Performer")</f>
        <v>Low Performer</v>
      </c>
    </row>
    <row r="1416" spans="2:24" x14ac:dyDescent="0.3">
      <c r="B1416" t="s">
        <v>19</v>
      </c>
      <c r="C1416" t="s">
        <v>25</v>
      </c>
      <c r="D1416">
        <v>1</v>
      </c>
      <c r="E1416" t="s">
        <v>21</v>
      </c>
      <c r="F1416">
        <v>2</v>
      </c>
      <c r="G1416" t="s">
        <v>31</v>
      </c>
      <c r="H1416">
        <v>3</v>
      </c>
      <c r="I1416">
        <v>4553</v>
      </c>
      <c r="J1416">
        <v>11</v>
      </c>
      <c r="K1416">
        <v>3</v>
      </c>
      <c r="L1416">
        <v>0</v>
      </c>
      <c r="M1416">
        <v>20</v>
      </c>
      <c r="N1416">
        <v>4</v>
      </c>
      <c r="O1416">
        <v>3</v>
      </c>
      <c r="P1416">
        <v>20</v>
      </c>
      <c r="Q1416">
        <v>7</v>
      </c>
      <c r="R1416">
        <v>11</v>
      </c>
      <c r="S1416" t="s">
        <v>34</v>
      </c>
      <c r="T1416" t="s">
        <v>37</v>
      </c>
      <c r="U1416" t="str">
        <f>IF(Table1[[#This Row],[YearsSince
LastPromotion]]&gt; 4, "Delayed", "Normal")</f>
        <v>Delayed</v>
      </c>
      <c r="V1416" t="str">
        <f>IF(Table1[[#This Row],[Years
InCurrentRole]]&gt;4, "Role Stagnent", "Normal")</f>
        <v>Role Stagnent</v>
      </c>
      <c r="W1416" t="str">
        <f>IF(AND(Table1[[#This Row],[Years
InCurrentRole]]&gt; 4, Table1[[#This Row],[Performance
Rating]]&gt;=3), "High Risk", "Normal")</f>
        <v>High Risk</v>
      </c>
      <c r="X1416" t="str">
        <f>IF(Table1[[#This Row],[Performance
Rating]]&gt;=4, "High Performer", "Low Performer")</f>
        <v>Low Performer</v>
      </c>
    </row>
    <row r="1417" spans="2:24" x14ac:dyDescent="0.3">
      <c r="B1417" t="s">
        <v>19</v>
      </c>
      <c r="C1417" t="s">
        <v>25</v>
      </c>
      <c r="D1417">
        <v>1</v>
      </c>
      <c r="E1417" t="s">
        <v>28</v>
      </c>
      <c r="F1417">
        <v>4</v>
      </c>
      <c r="G1417" t="s">
        <v>22</v>
      </c>
      <c r="H1417">
        <v>4</v>
      </c>
      <c r="I1417">
        <v>16792</v>
      </c>
      <c r="J1417">
        <v>23</v>
      </c>
      <c r="K1417">
        <v>4</v>
      </c>
      <c r="L1417">
        <v>1</v>
      </c>
      <c r="M1417">
        <v>22</v>
      </c>
      <c r="N1417">
        <v>1</v>
      </c>
      <c r="O1417">
        <v>3</v>
      </c>
      <c r="P1417">
        <v>20</v>
      </c>
      <c r="Q1417">
        <v>8</v>
      </c>
      <c r="R1417">
        <v>11</v>
      </c>
      <c r="S1417" t="s">
        <v>34</v>
      </c>
      <c r="T1417" t="s">
        <v>37</v>
      </c>
      <c r="U1417" t="str">
        <f>IF(Table1[[#This Row],[YearsSince
LastPromotion]]&gt; 4, "Delayed", "Normal")</f>
        <v>Delayed</v>
      </c>
      <c r="V1417" t="str">
        <f>IF(Table1[[#This Row],[Years
InCurrentRole]]&gt;4, "Role Stagnent", "Normal")</f>
        <v>Role Stagnent</v>
      </c>
      <c r="W1417" t="str">
        <f>IF(AND(Table1[[#This Row],[Years
InCurrentRole]]&gt; 4, Table1[[#This Row],[Performance
Rating]]&gt;=3), "High Risk", "Normal")</f>
        <v>High Risk</v>
      </c>
      <c r="X1417" t="str">
        <f>IF(Table1[[#This Row],[Performance
Rating]]&gt;=4, "High Performer", "Low Performer")</f>
        <v>High Performer</v>
      </c>
    </row>
    <row r="1418" spans="2:24" x14ac:dyDescent="0.3">
      <c r="B1418" t="s">
        <v>19</v>
      </c>
      <c r="C1418" t="s">
        <v>20</v>
      </c>
      <c r="D1418">
        <v>1</v>
      </c>
      <c r="E1418" t="s">
        <v>28</v>
      </c>
      <c r="F1418">
        <v>4</v>
      </c>
      <c r="G1418" t="s">
        <v>32</v>
      </c>
      <c r="H1418">
        <v>1</v>
      </c>
      <c r="I1418">
        <v>13341</v>
      </c>
      <c r="J1418">
        <v>12</v>
      </c>
      <c r="K1418">
        <v>3</v>
      </c>
      <c r="L1418">
        <v>0</v>
      </c>
      <c r="M1418">
        <v>21</v>
      </c>
      <c r="N1418">
        <v>3</v>
      </c>
      <c r="O1418">
        <v>3</v>
      </c>
      <c r="P1418">
        <v>20</v>
      </c>
      <c r="Q1418">
        <v>8</v>
      </c>
      <c r="R1418">
        <v>11</v>
      </c>
      <c r="S1418" t="s">
        <v>34</v>
      </c>
      <c r="T1418" t="s">
        <v>37</v>
      </c>
      <c r="U1418" t="str">
        <f>IF(Table1[[#This Row],[YearsSince
LastPromotion]]&gt; 4, "Delayed", "Normal")</f>
        <v>Delayed</v>
      </c>
      <c r="V1418" t="str">
        <f>IF(Table1[[#This Row],[Years
InCurrentRole]]&gt;4, "Role Stagnent", "Normal")</f>
        <v>Role Stagnent</v>
      </c>
      <c r="W1418" t="str">
        <f>IF(AND(Table1[[#This Row],[Years
InCurrentRole]]&gt; 4, Table1[[#This Row],[Performance
Rating]]&gt;=3), "High Risk", "Normal")</f>
        <v>High Risk</v>
      </c>
      <c r="X1418" t="str">
        <f>IF(Table1[[#This Row],[Performance
Rating]]&gt;=4, "High Performer", "Low Performer")</f>
        <v>Low Performer</v>
      </c>
    </row>
    <row r="1419" spans="2:24" x14ac:dyDescent="0.3">
      <c r="B1419" t="s">
        <v>19</v>
      </c>
      <c r="C1419" t="s">
        <v>25</v>
      </c>
      <c r="D1419">
        <v>1</v>
      </c>
      <c r="E1419" t="s">
        <v>21</v>
      </c>
      <c r="F1419">
        <v>5</v>
      </c>
      <c r="G1419" t="s">
        <v>22</v>
      </c>
      <c r="H1419">
        <v>1</v>
      </c>
      <c r="I1419">
        <v>19566</v>
      </c>
      <c r="J1419">
        <v>11</v>
      </c>
      <c r="K1419">
        <v>3</v>
      </c>
      <c r="L1419">
        <v>0</v>
      </c>
      <c r="M1419">
        <v>33</v>
      </c>
      <c r="N1419">
        <v>5</v>
      </c>
      <c r="O1419">
        <v>1</v>
      </c>
      <c r="P1419">
        <v>29</v>
      </c>
      <c r="Q1419">
        <v>8</v>
      </c>
      <c r="R1419">
        <v>11</v>
      </c>
      <c r="S1419" t="s">
        <v>23</v>
      </c>
      <c r="T1419" t="s">
        <v>37</v>
      </c>
      <c r="U1419" t="str">
        <f>IF(Table1[[#This Row],[YearsSince
LastPromotion]]&gt; 4, "Delayed", "Normal")</f>
        <v>Delayed</v>
      </c>
      <c r="V1419" t="str">
        <f>IF(Table1[[#This Row],[Years
InCurrentRole]]&gt;4, "Role Stagnent", "Normal")</f>
        <v>Role Stagnent</v>
      </c>
      <c r="W1419" t="str">
        <f>IF(AND(Table1[[#This Row],[Years
InCurrentRole]]&gt; 4, Table1[[#This Row],[Performance
Rating]]&gt;=3), "High Risk", "Normal")</f>
        <v>High Risk</v>
      </c>
      <c r="X1419" t="str">
        <f>IF(Table1[[#This Row],[Performance
Rating]]&gt;=4, "High Performer", "Low Performer")</f>
        <v>Low Performer</v>
      </c>
    </row>
    <row r="1420" spans="2:24" x14ac:dyDescent="0.3">
      <c r="B1420" t="s">
        <v>19</v>
      </c>
      <c r="C1420" t="s">
        <v>25</v>
      </c>
      <c r="D1420">
        <v>1</v>
      </c>
      <c r="E1420" t="s">
        <v>28</v>
      </c>
      <c r="F1420">
        <v>4</v>
      </c>
      <c r="G1420" t="s">
        <v>22</v>
      </c>
      <c r="H1420">
        <v>1</v>
      </c>
      <c r="I1420">
        <v>17068</v>
      </c>
      <c r="J1420">
        <v>14</v>
      </c>
      <c r="K1420">
        <v>3</v>
      </c>
      <c r="L1420">
        <v>0</v>
      </c>
      <c r="M1420">
        <v>21</v>
      </c>
      <c r="N1420">
        <v>3</v>
      </c>
      <c r="O1420">
        <v>3</v>
      </c>
      <c r="P1420">
        <v>21</v>
      </c>
      <c r="Q1420">
        <v>9</v>
      </c>
      <c r="R1420">
        <v>11</v>
      </c>
      <c r="S1420" t="s">
        <v>34</v>
      </c>
      <c r="T1420" t="s">
        <v>37</v>
      </c>
      <c r="U1420" t="str">
        <f>IF(Table1[[#This Row],[YearsSince
LastPromotion]]&gt; 4, "Delayed", "Normal")</f>
        <v>Delayed</v>
      </c>
      <c r="V1420" t="str">
        <f>IF(Table1[[#This Row],[Years
InCurrentRole]]&gt;4, "Role Stagnent", "Normal")</f>
        <v>Role Stagnent</v>
      </c>
      <c r="W1420" t="str">
        <f>IF(AND(Table1[[#This Row],[Years
InCurrentRole]]&gt; 4, Table1[[#This Row],[Performance
Rating]]&gt;=3), "High Risk", "Normal")</f>
        <v>High Risk</v>
      </c>
      <c r="X1420" t="str">
        <f>IF(Table1[[#This Row],[Performance
Rating]]&gt;=4, "High Performer", "Low Performer")</f>
        <v>Low Performer</v>
      </c>
    </row>
    <row r="1421" spans="2:24" x14ac:dyDescent="0.3">
      <c r="B1421" t="s">
        <v>19</v>
      </c>
      <c r="C1421" t="s">
        <v>25</v>
      </c>
      <c r="D1421">
        <v>1</v>
      </c>
      <c r="E1421" t="s">
        <v>28</v>
      </c>
      <c r="F1421">
        <v>3</v>
      </c>
      <c r="G1421" t="s">
        <v>31</v>
      </c>
      <c r="H1421">
        <v>4</v>
      </c>
      <c r="I1421">
        <v>10322</v>
      </c>
      <c r="J1421">
        <v>20</v>
      </c>
      <c r="K1421">
        <v>4</v>
      </c>
      <c r="L1421">
        <v>1</v>
      </c>
      <c r="M1421">
        <v>14</v>
      </c>
      <c r="N1421">
        <v>6</v>
      </c>
      <c r="O1421">
        <v>3</v>
      </c>
      <c r="P1421">
        <v>11</v>
      </c>
      <c r="Q1421">
        <v>10</v>
      </c>
      <c r="R1421">
        <v>11</v>
      </c>
      <c r="S1421" t="s">
        <v>34</v>
      </c>
      <c r="T1421" t="s">
        <v>37</v>
      </c>
      <c r="U1421" t="str">
        <f>IF(Table1[[#This Row],[YearsSince
LastPromotion]]&gt; 4, "Delayed", "Normal")</f>
        <v>Delayed</v>
      </c>
      <c r="V1421" t="str">
        <f>IF(Table1[[#This Row],[Years
InCurrentRole]]&gt;4, "Role Stagnent", "Normal")</f>
        <v>Role Stagnent</v>
      </c>
      <c r="W1421" t="str">
        <f>IF(AND(Table1[[#This Row],[Years
InCurrentRole]]&gt; 4, Table1[[#This Row],[Performance
Rating]]&gt;=3), "High Risk", "Normal")</f>
        <v>High Risk</v>
      </c>
      <c r="X1421" t="str">
        <f>IF(Table1[[#This Row],[Performance
Rating]]&gt;=4, "High Performer", "Low Performer")</f>
        <v>High Performer</v>
      </c>
    </row>
    <row r="1422" spans="2:24" x14ac:dyDescent="0.3">
      <c r="B1422" t="s">
        <v>19</v>
      </c>
      <c r="C1422" t="s">
        <v>20</v>
      </c>
      <c r="D1422">
        <v>1</v>
      </c>
      <c r="E1422" t="s">
        <v>28</v>
      </c>
      <c r="F1422">
        <v>5</v>
      </c>
      <c r="G1422" t="s">
        <v>22</v>
      </c>
      <c r="H1422">
        <v>2</v>
      </c>
      <c r="I1422">
        <v>19847</v>
      </c>
      <c r="J1422">
        <v>24</v>
      </c>
      <c r="K1422">
        <v>4</v>
      </c>
      <c r="L1422">
        <v>1</v>
      </c>
      <c r="M1422">
        <v>31</v>
      </c>
      <c r="N1422">
        <v>5</v>
      </c>
      <c r="O1422">
        <v>2</v>
      </c>
      <c r="P1422">
        <v>29</v>
      </c>
      <c r="Q1422">
        <v>10</v>
      </c>
      <c r="R1422">
        <v>11</v>
      </c>
      <c r="S1422" t="s">
        <v>23</v>
      </c>
      <c r="T1422" t="s">
        <v>37</v>
      </c>
      <c r="U1422" t="str">
        <f>IF(Table1[[#This Row],[YearsSince
LastPromotion]]&gt; 4, "Delayed", "Normal")</f>
        <v>Delayed</v>
      </c>
      <c r="V1422" t="str">
        <f>IF(Table1[[#This Row],[Years
InCurrentRole]]&gt;4, "Role Stagnent", "Normal")</f>
        <v>Role Stagnent</v>
      </c>
      <c r="W1422" t="str">
        <f>IF(AND(Table1[[#This Row],[Years
InCurrentRole]]&gt; 4, Table1[[#This Row],[Performance
Rating]]&gt;=3), "High Risk", "Normal")</f>
        <v>High Risk</v>
      </c>
      <c r="X1422" t="str">
        <f>IF(Table1[[#This Row],[Performance
Rating]]&gt;=4, "High Performer", "Low Performer")</f>
        <v>High Performer</v>
      </c>
    </row>
    <row r="1423" spans="2:24" x14ac:dyDescent="0.3">
      <c r="B1423" t="s">
        <v>19</v>
      </c>
      <c r="C1423" t="s">
        <v>25</v>
      </c>
      <c r="D1423">
        <v>1</v>
      </c>
      <c r="E1423" t="s">
        <v>21</v>
      </c>
      <c r="F1423">
        <v>2</v>
      </c>
      <c r="G1423" t="s">
        <v>31</v>
      </c>
      <c r="H1423">
        <v>3</v>
      </c>
      <c r="I1423">
        <v>6377</v>
      </c>
      <c r="J1423">
        <v>20</v>
      </c>
      <c r="K1423">
        <v>4</v>
      </c>
      <c r="L1423">
        <v>3</v>
      </c>
      <c r="M1423">
        <v>15</v>
      </c>
      <c r="N1423">
        <v>0</v>
      </c>
      <c r="O1423">
        <v>3</v>
      </c>
      <c r="P1423">
        <v>12</v>
      </c>
      <c r="Q1423">
        <v>11</v>
      </c>
      <c r="R1423">
        <v>11</v>
      </c>
      <c r="S1423" t="s">
        <v>34</v>
      </c>
      <c r="T1423" t="s">
        <v>37</v>
      </c>
      <c r="U1423" t="str">
        <f>IF(Table1[[#This Row],[YearsSince
LastPromotion]]&gt; 4, "Delayed", "Normal")</f>
        <v>Delayed</v>
      </c>
      <c r="V1423" t="str">
        <f>IF(Table1[[#This Row],[Years
InCurrentRole]]&gt;4, "Role Stagnent", "Normal")</f>
        <v>Role Stagnent</v>
      </c>
      <c r="W1423" t="str">
        <f>IF(AND(Table1[[#This Row],[Years
InCurrentRole]]&gt; 4, Table1[[#This Row],[Performance
Rating]]&gt;=3), "High Risk", "Normal")</f>
        <v>High Risk</v>
      </c>
      <c r="X1423" t="str">
        <f>IF(Table1[[#This Row],[Performance
Rating]]&gt;=4, "High Performer", "Low Performer")</f>
        <v>High Performer</v>
      </c>
    </row>
    <row r="1424" spans="2:24" x14ac:dyDescent="0.3">
      <c r="B1424" t="s">
        <v>19</v>
      </c>
      <c r="C1424" t="s">
        <v>20</v>
      </c>
      <c r="D1424">
        <v>1</v>
      </c>
      <c r="E1424" t="s">
        <v>21</v>
      </c>
      <c r="F1424">
        <v>4</v>
      </c>
      <c r="G1424" t="s">
        <v>32</v>
      </c>
      <c r="H1424">
        <v>4</v>
      </c>
      <c r="I1424">
        <v>13320</v>
      </c>
      <c r="J1424">
        <v>18</v>
      </c>
      <c r="K1424">
        <v>3</v>
      </c>
      <c r="L1424">
        <v>1</v>
      </c>
      <c r="M1424">
        <v>23</v>
      </c>
      <c r="N1424">
        <v>2</v>
      </c>
      <c r="O1424">
        <v>3</v>
      </c>
      <c r="P1424">
        <v>12</v>
      </c>
      <c r="Q1424">
        <v>11</v>
      </c>
      <c r="R1424">
        <v>11</v>
      </c>
      <c r="S1424" t="s">
        <v>34</v>
      </c>
      <c r="T1424" t="s">
        <v>37</v>
      </c>
      <c r="U1424" t="str">
        <f>IF(Table1[[#This Row],[YearsSince
LastPromotion]]&gt; 4, "Delayed", "Normal")</f>
        <v>Delayed</v>
      </c>
      <c r="V1424" t="str">
        <f>IF(Table1[[#This Row],[Years
InCurrentRole]]&gt;4, "Role Stagnent", "Normal")</f>
        <v>Role Stagnent</v>
      </c>
      <c r="W1424" t="str">
        <f>IF(AND(Table1[[#This Row],[Years
InCurrentRole]]&gt; 4, Table1[[#This Row],[Performance
Rating]]&gt;=3), "High Risk", "Normal")</f>
        <v>High Risk</v>
      </c>
      <c r="X1424" t="str">
        <f>IF(Table1[[#This Row],[Performance
Rating]]&gt;=4, "High Performer", "Low Performer")</f>
        <v>Low Performer</v>
      </c>
    </row>
    <row r="1425" spans="2:24" x14ac:dyDescent="0.3">
      <c r="B1425" t="s">
        <v>19</v>
      </c>
      <c r="C1425" t="s">
        <v>25</v>
      </c>
      <c r="D1425">
        <v>1</v>
      </c>
      <c r="E1425" t="s">
        <v>28</v>
      </c>
      <c r="F1425">
        <v>2</v>
      </c>
      <c r="G1425" t="s">
        <v>26</v>
      </c>
      <c r="H1425">
        <v>4</v>
      </c>
      <c r="I1425">
        <v>6646</v>
      </c>
      <c r="J1425">
        <v>13</v>
      </c>
      <c r="K1425">
        <v>3</v>
      </c>
      <c r="L1425">
        <v>0</v>
      </c>
      <c r="M1425">
        <v>17</v>
      </c>
      <c r="N1425">
        <v>3</v>
      </c>
      <c r="O1425">
        <v>3</v>
      </c>
      <c r="P1425">
        <v>17</v>
      </c>
      <c r="Q1425">
        <v>11</v>
      </c>
      <c r="R1425">
        <v>11</v>
      </c>
      <c r="S1425" t="s">
        <v>34</v>
      </c>
      <c r="T1425" t="s">
        <v>37</v>
      </c>
      <c r="U1425" t="str">
        <f>IF(Table1[[#This Row],[YearsSince
LastPromotion]]&gt; 4, "Delayed", "Normal")</f>
        <v>Delayed</v>
      </c>
      <c r="V1425" t="str">
        <f>IF(Table1[[#This Row],[Years
InCurrentRole]]&gt;4, "Role Stagnent", "Normal")</f>
        <v>Role Stagnent</v>
      </c>
      <c r="W1425" t="str">
        <f>IF(AND(Table1[[#This Row],[Years
InCurrentRole]]&gt; 4, Table1[[#This Row],[Performance
Rating]]&gt;=3), "High Risk", "Normal")</f>
        <v>High Risk</v>
      </c>
      <c r="X1425" t="str">
        <f>IF(Table1[[#This Row],[Performance
Rating]]&gt;=4, "High Performer", "Low Performer")</f>
        <v>Low Performer</v>
      </c>
    </row>
    <row r="1426" spans="2:24" x14ac:dyDescent="0.3">
      <c r="B1426" t="s">
        <v>19</v>
      </c>
      <c r="C1426" t="s">
        <v>20</v>
      </c>
      <c r="D1426">
        <v>1</v>
      </c>
      <c r="E1426" t="s">
        <v>21</v>
      </c>
      <c r="F1426">
        <v>2</v>
      </c>
      <c r="G1426" t="s">
        <v>32</v>
      </c>
      <c r="H1426">
        <v>2</v>
      </c>
      <c r="I1426">
        <v>5228</v>
      </c>
      <c r="J1426">
        <v>11</v>
      </c>
      <c r="K1426">
        <v>3</v>
      </c>
      <c r="L1426">
        <v>0</v>
      </c>
      <c r="M1426">
        <v>13</v>
      </c>
      <c r="N1426">
        <v>2</v>
      </c>
      <c r="O1426">
        <v>3</v>
      </c>
      <c r="P1426">
        <v>13</v>
      </c>
      <c r="Q1426">
        <v>12</v>
      </c>
      <c r="R1426">
        <v>11</v>
      </c>
      <c r="S1426" t="s">
        <v>34</v>
      </c>
      <c r="T1426" t="s">
        <v>37</v>
      </c>
      <c r="U1426" t="str">
        <f>IF(Table1[[#This Row],[YearsSince
LastPromotion]]&gt; 4, "Delayed", "Normal")</f>
        <v>Delayed</v>
      </c>
      <c r="V1426" t="str">
        <f>IF(Table1[[#This Row],[Years
InCurrentRole]]&gt;4, "Role Stagnent", "Normal")</f>
        <v>Role Stagnent</v>
      </c>
      <c r="W1426" t="str">
        <f>IF(AND(Table1[[#This Row],[Years
InCurrentRole]]&gt; 4, Table1[[#This Row],[Performance
Rating]]&gt;=3), "High Risk", "Normal")</f>
        <v>High Risk</v>
      </c>
      <c r="X1426" t="str">
        <f>IF(Table1[[#This Row],[Performance
Rating]]&gt;=4, "High Performer", "Low Performer")</f>
        <v>Low Performer</v>
      </c>
    </row>
    <row r="1427" spans="2:24" x14ac:dyDescent="0.3">
      <c r="B1427" t="s">
        <v>19</v>
      </c>
      <c r="C1427" t="s">
        <v>20</v>
      </c>
      <c r="D1427">
        <v>1</v>
      </c>
      <c r="E1427" t="s">
        <v>28</v>
      </c>
      <c r="F1427">
        <v>2</v>
      </c>
      <c r="G1427" t="s">
        <v>32</v>
      </c>
      <c r="H1427">
        <v>4</v>
      </c>
      <c r="I1427">
        <v>5406</v>
      </c>
      <c r="J1427">
        <v>24</v>
      </c>
      <c r="K1427">
        <v>4</v>
      </c>
      <c r="L1427">
        <v>1</v>
      </c>
      <c r="M1427">
        <v>15</v>
      </c>
      <c r="N1427">
        <v>4</v>
      </c>
      <c r="O1427">
        <v>2</v>
      </c>
      <c r="P1427">
        <v>15</v>
      </c>
      <c r="Q1427">
        <v>12</v>
      </c>
      <c r="R1427">
        <v>11</v>
      </c>
      <c r="S1427" t="s">
        <v>23</v>
      </c>
      <c r="T1427" t="s">
        <v>37</v>
      </c>
      <c r="U1427" t="str">
        <f>IF(Table1[[#This Row],[YearsSince
LastPromotion]]&gt; 4, "Delayed", "Normal")</f>
        <v>Delayed</v>
      </c>
      <c r="V1427" t="str">
        <f>IF(Table1[[#This Row],[Years
InCurrentRole]]&gt;4, "Role Stagnent", "Normal")</f>
        <v>Role Stagnent</v>
      </c>
      <c r="W1427" t="str">
        <f>IF(AND(Table1[[#This Row],[Years
InCurrentRole]]&gt; 4, Table1[[#This Row],[Performance
Rating]]&gt;=3), "High Risk", "Normal")</f>
        <v>High Risk</v>
      </c>
      <c r="X1427" t="str">
        <f>IF(Table1[[#This Row],[Performance
Rating]]&gt;=4, "High Performer", "Low Performer")</f>
        <v>High Performer</v>
      </c>
    </row>
    <row r="1428" spans="2:24" x14ac:dyDescent="0.3">
      <c r="B1428" t="s">
        <v>19</v>
      </c>
      <c r="C1428" t="s">
        <v>20</v>
      </c>
      <c r="D1428">
        <v>1</v>
      </c>
      <c r="E1428" t="s">
        <v>21</v>
      </c>
      <c r="F1428">
        <v>4</v>
      </c>
      <c r="G1428" t="s">
        <v>22</v>
      </c>
      <c r="H1428">
        <v>1</v>
      </c>
      <c r="I1428">
        <v>16595</v>
      </c>
      <c r="J1428">
        <v>16</v>
      </c>
      <c r="K1428">
        <v>3</v>
      </c>
      <c r="L1428">
        <v>1</v>
      </c>
      <c r="M1428">
        <v>22</v>
      </c>
      <c r="N1428">
        <v>2</v>
      </c>
      <c r="O1428">
        <v>3</v>
      </c>
      <c r="P1428">
        <v>18</v>
      </c>
      <c r="Q1428">
        <v>16</v>
      </c>
      <c r="R1428">
        <v>11</v>
      </c>
      <c r="S1428" t="s">
        <v>34</v>
      </c>
      <c r="T1428" t="s">
        <v>37</v>
      </c>
      <c r="U1428" t="str">
        <f>IF(Table1[[#This Row],[YearsSince
LastPromotion]]&gt; 4, "Delayed", "Normal")</f>
        <v>Delayed</v>
      </c>
      <c r="V1428" t="str">
        <f>IF(Table1[[#This Row],[Years
InCurrentRole]]&gt;4, "Role Stagnent", "Normal")</f>
        <v>Role Stagnent</v>
      </c>
      <c r="W1428" t="str">
        <f>IF(AND(Table1[[#This Row],[Years
InCurrentRole]]&gt; 4, Table1[[#This Row],[Performance
Rating]]&gt;=3), "High Risk", "Normal")</f>
        <v>High Risk</v>
      </c>
      <c r="X1428" t="str">
        <f>IF(Table1[[#This Row],[Performance
Rating]]&gt;=4, "High Performer", "Low Performer")</f>
        <v>Low Performer</v>
      </c>
    </row>
    <row r="1429" spans="2:24" x14ac:dyDescent="0.3">
      <c r="B1429" t="s">
        <v>19</v>
      </c>
      <c r="C1429" t="s">
        <v>20</v>
      </c>
      <c r="D1429">
        <v>1</v>
      </c>
      <c r="E1429" t="s">
        <v>28</v>
      </c>
      <c r="F1429">
        <v>2</v>
      </c>
      <c r="G1429" t="s">
        <v>32</v>
      </c>
      <c r="H1429">
        <v>3</v>
      </c>
      <c r="I1429">
        <v>4907</v>
      </c>
      <c r="J1429">
        <v>25</v>
      </c>
      <c r="K1429">
        <v>4</v>
      </c>
      <c r="L1429">
        <v>0</v>
      </c>
      <c r="M1429">
        <v>20</v>
      </c>
      <c r="N1429">
        <v>3</v>
      </c>
      <c r="O1429">
        <v>3</v>
      </c>
      <c r="P1429">
        <v>20</v>
      </c>
      <c r="Q1429">
        <v>16</v>
      </c>
      <c r="R1429">
        <v>11</v>
      </c>
      <c r="S1429" t="s">
        <v>34</v>
      </c>
      <c r="T1429" t="s">
        <v>37</v>
      </c>
      <c r="U1429" t="str">
        <f>IF(Table1[[#This Row],[YearsSince
LastPromotion]]&gt; 4, "Delayed", "Normal")</f>
        <v>Delayed</v>
      </c>
      <c r="V1429" t="str">
        <f>IF(Table1[[#This Row],[Years
InCurrentRole]]&gt;4, "Role Stagnent", "Normal")</f>
        <v>Role Stagnent</v>
      </c>
      <c r="W1429" t="str">
        <f>IF(AND(Table1[[#This Row],[Years
InCurrentRole]]&gt; 4, Table1[[#This Row],[Performance
Rating]]&gt;=3), "High Risk", "Normal")</f>
        <v>High Risk</v>
      </c>
      <c r="X1429" t="str">
        <f>IF(Table1[[#This Row],[Performance
Rating]]&gt;=4, "High Performer", "Low Performer")</f>
        <v>High Performer</v>
      </c>
    </row>
    <row r="1430" spans="2:24" x14ac:dyDescent="0.3">
      <c r="B1430" t="s">
        <v>19</v>
      </c>
      <c r="C1430" t="s">
        <v>25</v>
      </c>
      <c r="D1430">
        <v>1</v>
      </c>
      <c r="E1430" t="s">
        <v>28</v>
      </c>
      <c r="F1430">
        <v>5</v>
      </c>
      <c r="G1430" t="s">
        <v>22</v>
      </c>
      <c r="H1430">
        <v>4</v>
      </c>
      <c r="I1430">
        <v>19232</v>
      </c>
      <c r="J1430">
        <v>11</v>
      </c>
      <c r="K1430">
        <v>3</v>
      </c>
      <c r="L1430">
        <v>0</v>
      </c>
      <c r="M1430">
        <v>22</v>
      </c>
      <c r="N1430">
        <v>3</v>
      </c>
      <c r="O1430">
        <v>3</v>
      </c>
      <c r="P1430">
        <v>22</v>
      </c>
      <c r="Q1430">
        <v>17</v>
      </c>
      <c r="R1430">
        <v>11</v>
      </c>
      <c r="S1430" t="s">
        <v>34</v>
      </c>
      <c r="T1430" t="s">
        <v>37</v>
      </c>
      <c r="U1430" t="str">
        <f>IF(Table1[[#This Row],[YearsSince
LastPromotion]]&gt; 4, "Delayed", "Normal")</f>
        <v>Delayed</v>
      </c>
      <c r="V1430" t="str">
        <f>IF(Table1[[#This Row],[Years
InCurrentRole]]&gt;4, "Role Stagnent", "Normal")</f>
        <v>Role Stagnent</v>
      </c>
      <c r="W1430" t="str">
        <f>IF(AND(Table1[[#This Row],[Years
InCurrentRole]]&gt; 4, Table1[[#This Row],[Performance
Rating]]&gt;=3), "High Risk", "Normal")</f>
        <v>High Risk</v>
      </c>
      <c r="X1430" t="str">
        <f>IF(Table1[[#This Row],[Performance
Rating]]&gt;=4, "High Performer", "Low Performer")</f>
        <v>Low Performer</v>
      </c>
    </row>
    <row r="1431" spans="2:24" x14ac:dyDescent="0.3">
      <c r="B1431" t="s">
        <v>19</v>
      </c>
      <c r="C1431" t="s">
        <v>25</v>
      </c>
      <c r="D1431">
        <v>1</v>
      </c>
      <c r="E1431" t="s">
        <v>28</v>
      </c>
      <c r="F1431">
        <v>5</v>
      </c>
      <c r="G1431" t="s">
        <v>22</v>
      </c>
      <c r="H1431">
        <v>3</v>
      </c>
      <c r="I1431">
        <v>19999</v>
      </c>
      <c r="J1431">
        <v>14</v>
      </c>
      <c r="K1431">
        <v>3</v>
      </c>
      <c r="L1431">
        <v>1</v>
      </c>
      <c r="M1431">
        <v>34</v>
      </c>
      <c r="N1431">
        <v>5</v>
      </c>
      <c r="O1431">
        <v>3</v>
      </c>
      <c r="P1431">
        <v>33</v>
      </c>
      <c r="Q1431">
        <v>18</v>
      </c>
      <c r="R1431">
        <v>11</v>
      </c>
      <c r="S1431" t="s">
        <v>34</v>
      </c>
      <c r="T1431" t="s">
        <v>37</v>
      </c>
      <c r="U1431" t="str">
        <f>IF(Table1[[#This Row],[YearsSince
LastPromotion]]&gt; 4, "Delayed", "Normal")</f>
        <v>Delayed</v>
      </c>
      <c r="V1431" t="str">
        <f>IF(Table1[[#This Row],[Years
InCurrentRole]]&gt;4, "Role Stagnent", "Normal")</f>
        <v>Role Stagnent</v>
      </c>
      <c r="W1431" t="str">
        <f>IF(AND(Table1[[#This Row],[Years
InCurrentRole]]&gt; 4, Table1[[#This Row],[Performance
Rating]]&gt;=3), "High Risk", "Normal")</f>
        <v>High Risk</v>
      </c>
      <c r="X1431" t="str">
        <f>IF(Table1[[#This Row],[Performance
Rating]]&gt;=4, "High Performer", "Low Performer")</f>
        <v>Low Performer</v>
      </c>
    </row>
    <row r="1432" spans="2:24" x14ac:dyDescent="0.3">
      <c r="B1432" t="s">
        <v>19</v>
      </c>
      <c r="C1432" t="s">
        <v>36</v>
      </c>
      <c r="D1432">
        <v>1</v>
      </c>
      <c r="E1432" t="s">
        <v>28</v>
      </c>
      <c r="F1432">
        <v>5</v>
      </c>
      <c r="G1432" t="s">
        <v>22</v>
      </c>
      <c r="H1432">
        <v>4</v>
      </c>
      <c r="I1432">
        <v>19141</v>
      </c>
      <c r="J1432">
        <v>15</v>
      </c>
      <c r="K1432">
        <v>3</v>
      </c>
      <c r="L1432">
        <v>3</v>
      </c>
      <c r="M1432">
        <v>23</v>
      </c>
      <c r="N1432">
        <v>2</v>
      </c>
      <c r="O1432">
        <v>2</v>
      </c>
      <c r="P1432">
        <v>21</v>
      </c>
      <c r="Q1432">
        <v>6</v>
      </c>
      <c r="R1432">
        <v>12</v>
      </c>
      <c r="S1432" t="s">
        <v>23</v>
      </c>
      <c r="T1432" t="s">
        <v>37</v>
      </c>
      <c r="U1432" t="str">
        <f>IF(Table1[[#This Row],[YearsSince
LastPromotion]]&gt; 4, "Delayed", "Normal")</f>
        <v>Delayed</v>
      </c>
      <c r="V1432" t="str">
        <f>IF(Table1[[#This Row],[Years
InCurrentRole]]&gt;4, "Role Stagnent", "Normal")</f>
        <v>Role Stagnent</v>
      </c>
      <c r="W1432" t="str">
        <f>IF(AND(Table1[[#This Row],[Years
InCurrentRole]]&gt; 4, Table1[[#This Row],[Performance
Rating]]&gt;=3), "High Risk", "Normal")</f>
        <v>High Risk</v>
      </c>
      <c r="X1432" t="str">
        <f>IF(Table1[[#This Row],[Performance
Rating]]&gt;=4, "High Performer", "Low Performer")</f>
        <v>Low Performer</v>
      </c>
    </row>
    <row r="1433" spans="2:24" x14ac:dyDescent="0.3">
      <c r="B1433" t="s">
        <v>19</v>
      </c>
      <c r="C1433" t="s">
        <v>25</v>
      </c>
      <c r="D1433">
        <v>1</v>
      </c>
      <c r="E1433" t="s">
        <v>21</v>
      </c>
      <c r="F1433">
        <v>1</v>
      </c>
      <c r="G1433" t="s">
        <v>29</v>
      </c>
      <c r="H1433">
        <v>1</v>
      </c>
      <c r="I1433">
        <v>3034</v>
      </c>
      <c r="J1433">
        <v>12</v>
      </c>
      <c r="K1433">
        <v>3</v>
      </c>
      <c r="L1433">
        <v>1</v>
      </c>
      <c r="M1433">
        <v>18</v>
      </c>
      <c r="N1433">
        <v>2</v>
      </c>
      <c r="O1433">
        <v>2</v>
      </c>
      <c r="P1433">
        <v>18</v>
      </c>
      <c r="Q1433">
        <v>7</v>
      </c>
      <c r="R1433">
        <v>12</v>
      </c>
      <c r="S1433" t="s">
        <v>23</v>
      </c>
      <c r="T1433" t="s">
        <v>37</v>
      </c>
      <c r="U1433" t="str">
        <f>IF(Table1[[#This Row],[YearsSince
LastPromotion]]&gt; 4, "Delayed", "Normal")</f>
        <v>Delayed</v>
      </c>
      <c r="V1433" t="str">
        <f>IF(Table1[[#This Row],[Years
InCurrentRole]]&gt;4, "Role Stagnent", "Normal")</f>
        <v>Role Stagnent</v>
      </c>
      <c r="W1433" t="str">
        <f>IF(AND(Table1[[#This Row],[Years
InCurrentRole]]&gt; 4, Table1[[#This Row],[Performance
Rating]]&gt;=3), "High Risk", "Normal")</f>
        <v>High Risk</v>
      </c>
      <c r="X1433" t="str">
        <f>IF(Table1[[#This Row],[Performance
Rating]]&gt;=4, "High Performer", "Low Performer")</f>
        <v>Low Performer</v>
      </c>
    </row>
    <row r="1434" spans="2:24" x14ac:dyDescent="0.3">
      <c r="B1434" t="s">
        <v>19</v>
      </c>
      <c r="C1434" t="s">
        <v>20</v>
      </c>
      <c r="D1434">
        <v>1</v>
      </c>
      <c r="E1434" t="s">
        <v>21</v>
      </c>
      <c r="F1434">
        <v>3</v>
      </c>
      <c r="G1434" t="s">
        <v>32</v>
      </c>
      <c r="H1434">
        <v>4</v>
      </c>
      <c r="I1434">
        <v>8865</v>
      </c>
      <c r="J1434">
        <v>12</v>
      </c>
      <c r="K1434">
        <v>3</v>
      </c>
      <c r="L1434">
        <v>0</v>
      </c>
      <c r="M1434">
        <v>23</v>
      </c>
      <c r="N1434">
        <v>2</v>
      </c>
      <c r="O1434">
        <v>3</v>
      </c>
      <c r="P1434">
        <v>19</v>
      </c>
      <c r="Q1434">
        <v>7</v>
      </c>
      <c r="R1434">
        <v>12</v>
      </c>
      <c r="S1434" t="s">
        <v>34</v>
      </c>
      <c r="T1434" t="s">
        <v>37</v>
      </c>
      <c r="U1434" t="str">
        <f>IF(Table1[[#This Row],[YearsSince
LastPromotion]]&gt; 4, "Delayed", "Normal")</f>
        <v>Delayed</v>
      </c>
      <c r="V1434" t="str">
        <f>IF(Table1[[#This Row],[Years
InCurrentRole]]&gt;4, "Role Stagnent", "Normal")</f>
        <v>Role Stagnent</v>
      </c>
      <c r="W1434" t="str">
        <f>IF(AND(Table1[[#This Row],[Years
InCurrentRole]]&gt; 4, Table1[[#This Row],[Performance
Rating]]&gt;=3), "High Risk", "Normal")</f>
        <v>High Risk</v>
      </c>
      <c r="X1434" t="str">
        <f>IF(Table1[[#This Row],[Performance
Rating]]&gt;=4, "High Performer", "Low Performer")</f>
        <v>Low Performer</v>
      </c>
    </row>
    <row r="1435" spans="2:24" x14ac:dyDescent="0.3">
      <c r="B1435" t="s">
        <v>19</v>
      </c>
      <c r="C1435" t="s">
        <v>25</v>
      </c>
      <c r="D1435">
        <v>1</v>
      </c>
      <c r="E1435" t="s">
        <v>21</v>
      </c>
      <c r="F1435">
        <v>4</v>
      </c>
      <c r="G1435" t="s">
        <v>35</v>
      </c>
      <c r="H1435">
        <v>4</v>
      </c>
      <c r="I1435">
        <v>17328</v>
      </c>
      <c r="J1435">
        <v>19</v>
      </c>
      <c r="K1435">
        <v>3</v>
      </c>
      <c r="L1435">
        <v>0</v>
      </c>
      <c r="M1435">
        <v>29</v>
      </c>
      <c r="N1435">
        <v>3</v>
      </c>
      <c r="O1435">
        <v>2</v>
      </c>
      <c r="P1435">
        <v>20</v>
      </c>
      <c r="Q1435">
        <v>7</v>
      </c>
      <c r="R1435">
        <v>12</v>
      </c>
      <c r="S1435" t="s">
        <v>23</v>
      </c>
      <c r="T1435" t="s">
        <v>37</v>
      </c>
      <c r="U1435" t="str">
        <f>IF(Table1[[#This Row],[YearsSince
LastPromotion]]&gt; 4, "Delayed", "Normal")</f>
        <v>Delayed</v>
      </c>
      <c r="V1435" t="str">
        <f>IF(Table1[[#This Row],[Years
InCurrentRole]]&gt;4, "Role Stagnent", "Normal")</f>
        <v>Role Stagnent</v>
      </c>
      <c r="W1435" t="str">
        <f>IF(AND(Table1[[#This Row],[Years
InCurrentRole]]&gt; 4, Table1[[#This Row],[Performance
Rating]]&gt;=3), "High Risk", "Normal")</f>
        <v>High Risk</v>
      </c>
      <c r="X1435" t="str">
        <f>IF(Table1[[#This Row],[Performance
Rating]]&gt;=4, "High Performer", "Low Performer")</f>
        <v>Low Performer</v>
      </c>
    </row>
    <row r="1436" spans="2:24" x14ac:dyDescent="0.3">
      <c r="B1436" t="s">
        <v>19</v>
      </c>
      <c r="C1436" t="s">
        <v>20</v>
      </c>
      <c r="D1436">
        <v>1</v>
      </c>
      <c r="E1436" t="s">
        <v>28</v>
      </c>
      <c r="F1436">
        <v>5</v>
      </c>
      <c r="G1436" t="s">
        <v>22</v>
      </c>
      <c r="H1436">
        <v>2</v>
      </c>
      <c r="I1436">
        <v>19833</v>
      </c>
      <c r="J1436">
        <v>14</v>
      </c>
      <c r="K1436">
        <v>3</v>
      </c>
      <c r="L1436">
        <v>0</v>
      </c>
      <c r="M1436">
        <v>21</v>
      </c>
      <c r="N1436">
        <v>3</v>
      </c>
      <c r="O1436">
        <v>2</v>
      </c>
      <c r="P1436">
        <v>21</v>
      </c>
      <c r="Q1436">
        <v>8</v>
      </c>
      <c r="R1436">
        <v>12</v>
      </c>
      <c r="S1436" t="s">
        <v>23</v>
      </c>
      <c r="T1436" t="s">
        <v>37</v>
      </c>
      <c r="U1436" t="str">
        <f>IF(Table1[[#This Row],[YearsSince
LastPromotion]]&gt; 4, "Delayed", "Normal")</f>
        <v>Delayed</v>
      </c>
      <c r="V1436" t="str">
        <f>IF(Table1[[#This Row],[Years
InCurrentRole]]&gt;4, "Role Stagnent", "Normal")</f>
        <v>Role Stagnent</v>
      </c>
      <c r="W1436" t="str">
        <f>IF(AND(Table1[[#This Row],[Years
InCurrentRole]]&gt; 4, Table1[[#This Row],[Performance
Rating]]&gt;=3), "High Risk", "Normal")</f>
        <v>High Risk</v>
      </c>
      <c r="X1436" t="str">
        <f>IF(Table1[[#This Row],[Performance
Rating]]&gt;=4, "High Performer", "Low Performer")</f>
        <v>Low Performer</v>
      </c>
    </row>
    <row r="1437" spans="2:24" x14ac:dyDescent="0.3">
      <c r="B1437" t="s">
        <v>19</v>
      </c>
      <c r="C1437" t="s">
        <v>25</v>
      </c>
      <c r="D1437">
        <v>1</v>
      </c>
      <c r="E1437" t="s">
        <v>28</v>
      </c>
      <c r="F1437">
        <v>4</v>
      </c>
      <c r="G1437" t="s">
        <v>31</v>
      </c>
      <c r="H1437">
        <v>3</v>
      </c>
      <c r="I1437">
        <v>11245</v>
      </c>
      <c r="J1437">
        <v>15</v>
      </c>
      <c r="K1437">
        <v>3</v>
      </c>
      <c r="L1437">
        <v>1</v>
      </c>
      <c r="M1437">
        <v>32</v>
      </c>
      <c r="N1437">
        <v>3</v>
      </c>
      <c r="O1437">
        <v>3</v>
      </c>
      <c r="P1437">
        <v>30</v>
      </c>
      <c r="Q1437">
        <v>8</v>
      </c>
      <c r="R1437">
        <v>12</v>
      </c>
      <c r="S1437" t="s">
        <v>34</v>
      </c>
      <c r="T1437" t="s">
        <v>37</v>
      </c>
      <c r="U1437" t="str">
        <f>IF(Table1[[#This Row],[YearsSince
LastPromotion]]&gt; 4, "Delayed", "Normal")</f>
        <v>Delayed</v>
      </c>
      <c r="V1437" t="str">
        <f>IF(Table1[[#This Row],[Years
InCurrentRole]]&gt;4, "Role Stagnent", "Normal")</f>
        <v>Role Stagnent</v>
      </c>
      <c r="W1437" t="str">
        <f>IF(AND(Table1[[#This Row],[Years
InCurrentRole]]&gt; 4, Table1[[#This Row],[Performance
Rating]]&gt;=3), "High Risk", "Normal")</f>
        <v>High Risk</v>
      </c>
      <c r="X1437" t="str">
        <f>IF(Table1[[#This Row],[Performance
Rating]]&gt;=4, "High Performer", "Low Performer")</f>
        <v>Low Performer</v>
      </c>
    </row>
    <row r="1438" spans="2:24" x14ac:dyDescent="0.3">
      <c r="B1438" t="s">
        <v>19</v>
      </c>
      <c r="C1438" t="s">
        <v>25</v>
      </c>
      <c r="D1438">
        <v>1</v>
      </c>
      <c r="E1438" t="s">
        <v>28</v>
      </c>
      <c r="F1438">
        <v>5</v>
      </c>
      <c r="G1438" t="s">
        <v>35</v>
      </c>
      <c r="H1438">
        <v>2</v>
      </c>
      <c r="I1438">
        <v>19665</v>
      </c>
      <c r="J1438">
        <v>12</v>
      </c>
      <c r="K1438">
        <v>3</v>
      </c>
      <c r="L1438">
        <v>0</v>
      </c>
      <c r="M1438">
        <v>29</v>
      </c>
      <c r="N1438">
        <v>3</v>
      </c>
      <c r="O1438">
        <v>3</v>
      </c>
      <c r="P1438">
        <v>22</v>
      </c>
      <c r="Q1438">
        <v>10</v>
      </c>
      <c r="R1438">
        <v>12</v>
      </c>
      <c r="S1438" t="s">
        <v>34</v>
      </c>
      <c r="T1438" t="s">
        <v>37</v>
      </c>
      <c r="U1438" t="str">
        <f>IF(Table1[[#This Row],[YearsSince
LastPromotion]]&gt; 4, "Delayed", "Normal")</f>
        <v>Delayed</v>
      </c>
      <c r="V1438" t="str">
        <f>IF(Table1[[#This Row],[Years
InCurrentRole]]&gt;4, "Role Stagnent", "Normal")</f>
        <v>Role Stagnent</v>
      </c>
      <c r="W1438" t="str">
        <f>IF(AND(Table1[[#This Row],[Years
InCurrentRole]]&gt; 4, Table1[[#This Row],[Performance
Rating]]&gt;=3), "High Risk", "Normal")</f>
        <v>High Risk</v>
      </c>
      <c r="X1438" t="str">
        <f>IF(Table1[[#This Row],[Performance
Rating]]&gt;=4, "High Performer", "Low Performer")</f>
        <v>Low Performer</v>
      </c>
    </row>
    <row r="1439" spans="2:24" x14ac:dyDescent="0.3">
      <c r="B1439" t="s">
        <v>19</v>
      </c>
      <c r="C1439" t="s">
        <v>25</v>
      </c>
      <c r="D1439">
        <v>1</v>
      </c>
      <c r="E1439" t="s">
        <v>21</v>
      </c>
      <c r="F1439">
        <v>3</v>
      </c>
      <c r="G1439" t="s">
        <v>31</v>
      </c>
      <c r="H1439">
        <v>1</v>
      </c>
      <c r="I1439">
        <v>7484</v>
      </c>
      <c r="J1439">
        <v>20</v>
      </c>
      <c r="K1439">
        <v>4</v>
      </c>
      <c r="L1439">
        <v>0</v>
      </c>
      <c r="M1439">
        <v>23</v>
      </c>
      <c r="N1439">
        <v>1</v>
      </c>
      <c r="O1439">
        <v>2</v>
      </c>
      <c r="P1439">
        <v>13</v>
      </c>
      <c r="Q1439">
        <v>12</v>
      </c>
      <c r="R1439">
        <v>12</v>
      </c>
      <c r="S1439" t="s">
        <v>23</v>
      </c>
      <c r="T1439" t="s">
        <v>37</v>
      </c>
      <c r="U1439" t="str">
        <f>IF(Table1[[#This Row],[YearsSince
LastPromotion]]&gt; 4, "Delayed", "Normal")</f>
        <v>Delayed</v>
      </c>
      <c r="V1439" t="str">
        <f>IF(Table1[[#This Row],[Years
InCurrentRole]]&gt;4, "Role Stagnent", "Normal")</f>
        <v>Role Stagnent</v>
      </c>
      <c r="W1439" t="str">
        <f>IF(AND(Table1[[#This Row],[Years
InCurrentRole]]&gt; 4, Table1[[#This Row],[Performance
Rating]]&gt;=3), "High Risk", "Normal")</f>
        <v>High Risk</v>
      </c>
      <c r="X1439" t="str">
        <f>IF(Table1[[#This Row],[Performance
Rating]]&gt;=4, "High Performer", "Low Performer")</f>
        <v>High Performer</v>
      </c>
    </row>
    <row r="1440" spans="2:24" x14ac:dyDescent="0.3">
      <c r="B1440" t="s">
        <v>19</v>
      </c>
      <c r="C1440" t="s">
        <v>25</v>
      </c>
      <c r="D1440">
        <v>1</v>
      </c>
      <c r="E1440" t="s">
        <v>21</v>
      </c>
      <c r="F1440">
        <v>3</v>
      </c>
      <c r="G1440" t="s">
        <v>31</v>
      </c>
      <c r="H1440">
        <v>3</v>
      </c>
      <c r="I1440">
        <v>10096</v>
      </c>
      <c r="J1440">
        <v>13</v>
      </c>
      <c r="K1440">
        <v>3</v>
      </c>
      <c r="L1440">
        <v>3</v>
      </c>
      <c r="M1440">
        <v>17</v>
      </c>
      <c r="N1440">
        <v>2</v>
      </c>
      <c r="O1440">
        <v>3</v>
      </c>
      <c r="P1440">
        <v>17</v>
      </c>
      <c r="Q1440">
        <v>14</v>
      </c>
      <c r="R1440">
        <v>12</v>
      </c>
      <c r="S1440" t="s">
        <v>34</v>
      </c>
      <c r="T1440" t="s">
        <v>37</v>
      </c>
      <c r="U1440" t="str">
        <f>IF(Table1[[#This Row],[YearsSince
LastPromotion]]&gt; 4, "Delayed", "Normal")</f>
        <v>Delayed</v>
      </c>
      <c r="V1440" t="str">
        <f>IF(Table1[[#This Row],[Years
InCurrentRole]]&gt;4, "Role Stagnent", "Normal")</f>
        <v>Role Stagnent</v>
      </c>
      <c r="W1440" t="str">
        <f>IF(AND(Table1[[#This Row],[Years
InCurrentRole]]&gt; 4, Table1[[#This Row],[Performance
Rating]]&gt;=3), "High Risk", "Normal")</f>
        <v>High Risk</v>
      </c>
      <c r="X1440" t="str">
        <f>IF(Table1[[#This Row],[Performance
Rating]]&gt;=4, "High Performer", "Low Performer")</f>
        <v>Low Performer</v>
      </c>
    </row>
    <row r="1441" spans="2:24" x14ac:dyDescent="0.3">
      <c r="B1441" t="s">
        <v>19</v>
      </c>
      <c r="C1441" t="s">
        <v>25</v>
      </c>
      <c r="D1441">
        <v>1</v>
      </c>
      <c r="E1441" t="s">
        <v>28</v>
      </c>
      <c r="F1441">
        <v>3</v>
      </c>
      <c r="G1441" t="s">
        <v>31</v>
      </c>
      <c r="H1441">
        <v>3</v>
      </c>
      <c r="I1441">
        <v>8633</v>
      </c>
      <c r="J1441">
        <v>23</v>
      </c>
      <c r="K1441">
        <v>4</v>
      </c>
      <c r="L1441">
        <v>0</v>
      </c>
      <c r="M1441">
        <v>25</v>
      </c>
      <c r="N1441">
        <v>3</v>
      </c>
      <c r="O1441">
        <v>3</v>
      </c>
      <c r="P1441">
        <v>17</v>
      </c>
      <c r="Q1441">
        <v>14</v>
      </c>
      <c r="R1441">
        <v>12</v>
      </c>
      <c r="S1441" t="s">
        <v>34</v>
      </c>
      <c r="T1441" t="s">
        <v>37</v>
      </c>
      <c r="U1441" t="str">
        <f>IF(Table1[[#This Row],[YearsSince
LastPromotion]]&gt; 4, "Delayed", "Normal")</f>
        <v>Delayed</v>
      </c>
      <c r="V1441" t="str">
        <f>IF(Table1[[#This Row],[Years
InCurrentRole]]&gt;4, "Role Stagnent", "Normal")</f>
        <v>Role Stagnent</v>
      </c>
      <c r="W1441" t="str">
        <f>IF(AND(Table1[[#This Row],[Years
InCurrentRole]]&gt; 4, Table1[[#This Row],[Performance
Rating]]&gt;=3), "High Risk", "Normal")</f>
        <v>High Risk</v>
      </c>
      <c r="X1441" t="str">
        <f>IF(Table1[[#This Row],[Performance
Rating]]&gt;=4, "High Performer", "Low Performer")</f>
        <v>High Performer</v>
      </c>
    </row>
    <row r="1442" spans="2:24" x14ac:dyDescent="0.3">
      <c r="B1442" t="s">
        <v>19</v>
      </c>
      <c r="C1442" t="s">
        <v>25</v>
      </c>
      <c r="D1442">
        <v>1</v>
      </c>
      <c r="E1442" t="s">
        <v>21</v>
      </c>
      <c r="F1442">
        <v>5</v>
      </c>
      <c r="G1442" t="s">
        <v>35</v>
      </c>
      <c r="H1442">
        <v>3</v>
      </c>
      <c r="I1442">
        <v>18740</v>
      </c>
      <c r="J1442">
        <v>12</v>
      </c>
      <c r="K1442">
        <v>3</v>
      </c>
      <c r="L1442">
        <v>1</v>
      </c>
      <c r="M1442">
        <v>29</v>
      </c>
      <c r="N1442">
        <v>2</v>
      </c>
      <c r="O1442">
        <v>2</v>
      </c>
      <c r="P1442">
        <v>27</v>
      </c>
      <c r="Q1442">
        <v>3</v>
      </c>
      <c r="R1442">
        <v>13</v>
      </c>
      <c r="S1442" t="s">
        <v>23</v>
      </c>
      <c r="T1442" t="s">
        <v>37</v>
      </c>
      <c r="U1442" t="str">
        <f>IF(Table1[[#This Row],[YearsSince
LastPromotion]]&gt; 4, "Delayed", "Normal")</f>
        <v>Delayed</v>
      </c>
      <c r="V1442" t="str">
        <f>IF(Table1[[#This Row],[Years
InCurrentRole]]&gt;4, "Role Stagnent", "Normal")</f>
        <v>Normal</v>
      </c>
      <c r="W1442" t="str">
        <f>IF(AND(Table1[[#This Row],[Years
InCurrentRole]]&gt; 4, Table1[[#This Row],[Performance
Rating]]&gt;=3), "High Risk", "Normal")</f>
        <v>Normal</v>
      </c>
      <c r="X1442" t="str">
        <f>IF(Table1[[#This Row],[Performance
Rating]]&gt;=4, "High Performer", "Low Performer")</f>
        <v>Low Performer</v>
      </c>
    </row>
    <row r="1443" spans="2:24" x14ac:dyDescent="0.3">
      <c r="B1443" t="s">
        <v>19</v>
      </c>
      <c r="C1443" t="s">
        <v>25</v>
      </c>
      <c r="D1443">
        <v>1</v>
      </c>
      <c r="E1443" t="s">
        <v>28</v>
      </c>
      <c r="F1443">
        <v>4</v>
      </c>
      <c r="G1443" t="s">
        <v>22</v>
      </c>
      <c r="H1443">
        <v>1</v>
      </c>
      <c r="I1443">
        <v>17665</v>
      </c>
      <c r="J1443">
        <v>17</v>
      </c>
      <c r="K1443">
        <v>3</v>
      </c>
      <c r="L1443">
        <v>1</v>
      </c>
      <c r="M1443">
        <v>23</v>
      </c>
      <c r="N1443">
        <v>3</v>
      </c>
      <c r="O1443">
        <v>3</v>
      </c>
      <c r="P1443">
        <v>22</v>
      </c>
      <c r="Q1443">
        <v>6</v>
      </c>
      <c r="R1443">
        <v>13</v>
      </c>
      <c r="S1443" t="s">
        <v>34</v>
      </c>
      <c r="T1443" t="s">
        <v>37</v>
      </c>
      <c r="U1443" t="str">
        <f>IF(Table1[[#This Row],[YearsSince
LastPromotion]]&gt; 4, "Delayed", "Normal")</f>
        <v>Delayed</v>
      </c>
      <c r="V1443" t="str">
        <f>IF(Table1[[#This Row],[Years
InCurrentRole]]&gt;4, "Role Stagnent", "Normal")</f>
        <v>Role Stagnent</v>
      </c>
      <c r="W1443" t="str">
        <f>IF(AND(Table1[[#This Row],[Years
InCurrentRole]]&gt; 4, Table1[[#This Row],[Performance
Rating]]&gt;=3), "High Risk", "Normal")</f>
        <v>High Risk</v>
      </c>
      <c r="X1443" t="str">
        <f>IF(Table1[[#This Row],[Performance
Rating]]&gt;=4, "High Performer", "Low Performer")</f>
        <v>Low Performer</v>
      </c>
    </row>
    <row r="1444" spans="2:24" x14ac:dyDescent="0.3">
      <c r="B1444" t="s">
        <v>19</v>
      </c>
      <c r="C1444" t="s">
        <v>25</v>
      </c>
      <c r="D1444">
        <v>1</v>
      </c>
      <c r="E1444" t="s">
        <v>28</v>
      </c>
      <c r="F1444">
        <v>4</v>
      </c>
      <c r="G1444" t="s">
        <v>35</v>
      </c>
      <c r="H1444">
        <v>4</v>
      </c>
      <c r="I1444">
        <v>14411</v>
      </c>
      <c r="J1444">
        <v>13</v>
      </c>
      <c r="K1444">
        <v>3</v>
      </c>
      <c r="L1444">
        <v>0</v>
      </c>
      <c r="M1444">
        <v>32</v>
      </c>
      <c r="N1444">
        <v>2</v>
      </c>
      <c r="O1444">
        <v>3</v>
      </c>
      <c r="P1444">
        <v>32</v>
      </c>
      <c r="Q1444">
        <v>6</v>
      </c>
      <c r="R1444">
        <v>13</v>
      </c>
      <c r="S1444" t="s">
        <v>34</v>
      </c>
      <c r="T1444" t="s">
        <v>37</v>
      </c>
      <c r="U1444" t="str">
        <f>IF(Table1[[#This Row],[YearsSince
LastPromotion]]&gt; 4, "Delayed", "Normal")</f>
        <v>Delayed</v>
      </c>
      <c r="V1444" t="str">
        <f>IF(Table1[[#This Row],[Years
InCurrentRole]]&gt;4, "Role Stagnent", "Normal")</f>
        <v>Role Stagnent</v>
      </c>
      <c r="W1444" t="str">
        <f>IF(AND(Table1[[#This Row],[Years
InCurrentRole]]&gt; 4, Table1[[#This Row],[Performance
Rating]]&gt;=3), "High Risk", "Normal")</f>
        <v>High Risk</v>
      </c>
      <c r="X1444" t="str">
        <f>IF(Table1[[#This Row],[Performance
Rating]]&gt;=4, "High Performer", "Low Performer")</f>
        <v>Low Performer</v>
      </c>
    </row>
    <row r="1445" spans="2:24" x14ac:dyDescent="0.3">
      <c r="B1445" t="s">
        <v>19</v>
      </c>
      <c r="C1445" t="s">
        <v>25</v>
      </c>
      <c r="D1445">
        <v>1</v>
      </c>
      <c r="E1445" t="s">
        <v>28</v>
      </c>
      <c r="F1445">
        <v>3</v>
      </c>
      <c r="G1445" t="s">
        <v>31</v>
      </c>
      <c r="H1445">
        <v>4</v>
      </c>
      <c r="I1445">
        <v>10124</v>
      </c>
      <c r="J1445">
        <v>14</v>
      </c>
      <c r="K1445">
        <v>3</v>
      </c>
      <c r="L1445">
        <v>1</v>
      </c>
      <c r="M1445">
        <v>24</v>
      </c>
      <c r="N1445">
        <v>3</v>
      </c>
      <c r="O1445">
        <v>1</v>
      </c>
      <c r="P1445">
        <v>20</v>
      </c>
      <c r="Q1445">
        <v>8</v>
      </c>
      <c r="R1445">
        <v>13</v>
      </c>
      <c r="S1445" t="s">
        <v>23</v>
      </c>
      <c r="T1445" t="s">
        <v>37</v>
      </c>
      <c r="U1445" t="str">
        <f>IF(Table1[[#This Row],[YearsSince
LastPromotion]]&gt; 4, "Delayed", "Normal")</f>
        <v>Delayed</v>
      </c>
      <c r="V1445" t="str">
        <f>IF(Table1[[#This Row],[Years
InCurrentRole]]&gt;4, "Role Stagnent", "Normal")</f>
        <v>Role Stagnent</v>
      </c>
      <c r="W1445" t="str">
        <f>IF(AND(Table1[[#This Row],[Years
InCurrentRole]]&gt; 4, Table1[[#This Row],[Performance
Rating]]&gt;=3), "High Risk", "Normal")</f>
        <v>High Risk</v>
      </c>
      <c r="X1445" t="str">
        <f>IF(Table1[[#This Row],[Performance
Rating]]&gt;=4, "High Performer", "Low Performer")</f>
        <v>Low Performer</v>
      </c>
    </row>
    <row r="1446" spans="2:24" x14ac:dyDescent="0.3">
      <c r="B1446" t="s">
        <v>27</v>
      </c>
      <c r="C1446" t="s">
        <v>20</v>
      </c>
      <c r="D1446">
        <v>1</v>
      </c>
      <c r="E1446" t="s">
        <v>28</v>
      </c>
      <c r="F1446">
        <v>4</v>
      </c>
      <c r="G1446" t="s">
        <v>32</v>
      </c>
      <c r="H1446">
        <v>1</v>
      </c>
      <c r="I1446">
        <v>13758</v>
      </c>
      <c r="J1446">
        <v>12</v>
      </c>
      <c r="K1446">
        <v>3</v>
      </c>
      <c r="L1446">
        <v>0</v>
      </c>
      <c r="M1446">
        <v>22</v>
      </c>
      <c r="N1446">
        <v>2</v>
      </c>
      <c r="O1446">
        <v>2</v>
      </c>
      <c r="P1446">
        <v>21</v>
      </c>
      <c r="Q1446">
        <v>9</v>
      </c>
      <c r="R1446">
        <v>13</v>
      </c>
      <c r="S1446" t="s">
        <v>23</v>
      </c>
      <c r="T1446" t="s">
        <v>37</v>
      </c>
      <c r="U1446" t="str">
        <f>IF(Table1[[#This Row],[YearsSince
LastPromotion]]&gt; 4, "Delayed", "Normal")</f>
        <v>Delayed</v>
      </c>
      <c r="V1446" t="str">
        <f>IF(Table1[[#This Row],[Years
InCurrentRole]]&gt;4, "Role Stagnent", "Normal")</f>
        <v>Role Stagnent</v>
      </c>
      <c r="W1446" t="str">
        <f>IF(AND(Table1[[#This Row],[Years
InCurrentRole]]&gt; 4, Table1[[#This Row],[Performance
Rating]]&gt;=3), "High Risk", "Normal")</f>
        <v>High Risk</v>
      </c>
      <c r="X1446" t="str">
        <f>IF(Table1[[#This Row],[Performance
Rating]]&gt;=4, "High Performer", "Low Performer")</f>
        <v>Low Performer</v>
      </c>
    </row>
    <row r="1447" spans="2:24" x14ac:dyDescent="0.3">
      <c r="B1447" t="s">
        <v>19</v>
      </c>
      <c r="C1447" t="s">
        <v>25</v>
      </c>
      <c r="D1447">
        <v>1</v>
      </c>
      <c r="E1447" t="s">
        <v>28</v>
      </c>
      <c r="F1447">
        <v>5</v>
      </c>
      <c r="G1447" t="s">
        <v>22</v>
      </c>
      <c r="H1447">
        <v>4</v>
      </c>
      <c r="I1447">
        <v>19272</v>
      </c>
      <c r="J1447">
        <v>15</v>
      </c>
      <c r="K1447">
        <v>3</v>
      </c>
      <c r="L1447">
        <v>1</v>
      </c>
      <c r="M1447">
        <v>21</v>
      </c>
      <c r="N1447">
        <v>2</v>
      </c>
      <c r="O1447">
        <v>3</v>
      </c>
      <c r="P1447">
        <v>21</v>
      </c>
      <c r="Q1447">
        <v>9</v>
      </c>
      <c r="R1447">
        <v>13</v>
      </c>
      <c r="S1447" t="s">
        <v>34</v>
      </c>
      <c r="T1447" t="s">
        <v>37</v>
      </c>
      <c r="U1447" t="str">
        <f>IF(Table1[[#This Row],[YearsSince
LastPromotion]]&gt; 4, "Delayed", "Normal")</f>
        <v>Delayed</v>
      </c>
      <c r="V1447" t="str">
        <f>IF(Table1[[#This Row],[Years
InCurrentRole]]&gt;4, "Role Stagnent", "Normal")</f>
        <v>Role Stagnent</v>
      </c>
      <c r="W1447" t="str">
        <f>IF(AND(Table1[[#This Row],[Years
InCurrentRole]]&gt; 4, Table1[[#This Row],[Performance
Rating]]&gt;=3), "High Risk", "Normal")</f>
        <v>High Risk</v>
      </c>
      <c r="X1447" t="str">
        <f>IF(Table1[[#This Row],[Performance
Rating]]&gt;=4, "High Performer", "Low Performer")</f>
        <v>Low Performer</v>
      </c>
    </row>
    <row r="1448" spans="2:24" x14ac:dyDescent="0.3">
      <c r="B1448" t="s">
        <v>19</v>
      </c>
      <c r="C1448" t="s">
        <v>25</v>
      </c>
      <c r="D1448">
        <v>1</v>
      </c>
      <c r="E1448" t="s">
        <v>28</v>
      </c>
      <c r="F1448">
        <v>2</v>
      </c>
      <c r="G1448" t="s">
        <v>26</v>
      </c>
      <c r="H1448">
        <v>4</v>
      </c>
      <c r="I1448">
        <v>4541</v>
      </c>
      <c r="J1448">
        <v>25</v>
      </c>
      <c r="K1448">
        <v>4</v>
      </c>
      <c r="L1448">
        <v>0</v>
      </c>
      <c r="M1448">
        <v>20</v>
      </c>
      <c r="N1448">
        <v>3</v>
      </c>
      <c r="O1448">
        <v>3</v>
      </c>
      <c r="P1448">
        <v>20</v>
      </c>
      <c r="Q1448">
        <v>11</v>
      </c>
      <c r="R1448">
        <v>13</v>
      </c>
      <c r="S1448" t="s">
        <v>34</v>
      </c>
      <c r="T1448" t="s">
        <v>37</v>
      </c>
      <c r="U1448" t="str">
        <f>IF(Table1[[#This Row],[YearsSince
LastPromotion]]&gt; 4, "Delayed", "Normal")</f>
        <v>Delayed</v>
      </c>
      <c r="V1448" t="str">
        <f>IF(Table1[[#This Row],[Years
InCurrentRole]]&gt;4, "Role Stagnent", "Normal")</f>
        <v>Role Stagnent</v>
      </c>
      <c r="W1448" t="str">
        <f>IF(AND(Table1[[#This Row],[Years
InCurrentRole]]&gt; 4, Table1[[#This Row],[Performance
Rating]]&gt;=3), "High Risk", "Normal")</f>
        <v>High Risk</v>
      </c>
      <c r="X1448" t="str">
        <f>IF(Table1[[#This Row],[Performance
Rating]]&gt;=4, "High Performer", "Low Performer")</f>
        <v>High Performer</v>
      </c>
    </row>
    <row r="1449" spans="2:24" x14ac:dyDescent="0.3">
      <c r="B1449" t="s">
        <v>19</v>
      </c>
      <c r="C1449" t="s">
        <v>20</v>
      </c>
      <c r="D1449">
        <v>1</v>
      </c>
      <c r="E1449" t="s">
        <v>21</v>
      </c>
      <c r="F1449">
        <v>3</v>
      </c>
      <c r="G1449" t="s">
        <v>32</v>
      </c>
      <c r="H1449">
        <v>1</v>
      </c>
      <c r="I1449">
        <v>10266</v>
      </c>
      <c r="J1449">
        <v>19</v>
      </c>
      <c r="K1449">
        <v>3</v>
      </c>
      <c r="L1449">
        <v>0</v>
      </c>
      <c r="M1449">
        <v>22</v>
      </c>
      <c r="N1449">
        <v>5</v>
      </c>
      <c r="O1449">
        <v>4</v>
      </c>
      <c r="P1449">
        <v>18</v>
      </c>
      <c r="Q1449">
        <v>13</v>
      </c>
      <c r="R1449">
        <v>13</v>
      </c>
      <c r="S1449" t="s">
        <v>34</v>
      </c>
      <c r="T1449" t="s">
        <v>37</v>
      </c>
      <c r="U1449" t="str">
        <f>IF(Table1[[#This Row],[YearsSince
LastPromotion]]&gt; 4, "Delayed", "Normal")</f>
        <v>Delayed</v>
      </c>
      <c r="V1449" t="str">
        <f>IF(Table1[[#This Row],[Years
InCurrentRole]]&gt;4, "Role Stagnent", "Normal")</f>
        <v>Role Stagnent</v>
      </c>
      <c r="W1449" t="str">
        <f>IF(AND(Table1[[#This Row],[Years
InCurrentRole]]&gt; 4, Table1[[#This Row],[Performance
Rating]]&gt;=3), "High Risk", "Normal")</f>
        <v>High Risk</v>
      </c>
      <c r="X1449" t="str">
        <f>IF(Table1[[#This Row],[Performance
Rating]]&gt;=4, "High Performer", "Low Performer")</f>
        <v>Low Performer</v>
      </c>
    </row>
    <row r="1450" spans="2:24" x14ac:dyDescent="0.3">
      <c r="B1450" t="s">
        <v>19</v>
      </c>
      <c r="C1450" t="s">
        <v>20</v>
      </c>
      <c r="D1450">
        <v>1</v>
      </c>
      <c r="E1450" t="s">
        <v>21</v>
      </c>
      <c r="F1450">
        <v>3</v>
      </c>
      <c r="G1450" t="s">
        <v>32</v>
      </c>
      <c r="H1450">
        <v>3</v>
      </c>
      <c r="I1450">
        <v>10447</v>
      </c>
      <c r="J1450">
        <v>13</v>
      </c>
      <c r="K1450">
        <v>3</v>
      </c>
      <c r="L1450">
        <v>1</v>
      </c>
      <c r="M1450">
        <v>23</v>
      </c>
      <c r="N1450">
        <v>3</v>
      </c>
      <c r="O1450">
        <v>4</v>
      </c>
      <c r="P1450">
        <v>22</v>
      </c>
      <c r="Q1450">
        <v>14</v>
      </c>
      <c r="R1450">
        <v>13</v>
      </c>
      <c r="S1450" t="s">
        <v>34</v>
      </c>
      <c r="T1450" t="s">
        <v>37</v>
      </c>
      <c r="U1450" t="str">
        <f>IF(Table1[[#This Row],[YearsSince
LastPromotion]]&gt; 4, "Delayed", "Normal")</f>
        <v>Delayed</v>
      </c>
      <c r="V1450" t="str">
        <f>IF(Table1[[#This Row],[Years
InCurrentRole]]&gt;4, "Role Stagnent", "Normal")</f>
        <v>Role Stagnent</v>
      </c>
      <c r="W1450" t="str">
        <f>IF(AND(Table1[[#This Row],[Years
InCurrentRole]]&gt; 4, Table1[[#This Row],[Performance
Rating]]&gt;=3), "High Risk", "Normal")</f>
        <v>High Risk</v>
      </c>
      <c r="X1450" t="str">
        <f>IF(Table1[[#This Row],[Performance
Rating]]&gt;=4, "High Performer", "Low Performer")</f>
        <v>Low Performer</v>
      </c>
    </row>
    <row r="1451" spans="2:24" x14ac:dyDescent="0.3">
      <c r="B1451" t="s">
        <v>27</v>
      </c>
      <c r="C1451" t="s">
        <v>25</v>
      </c>
      <c r="D1451">
        <v>1</v>
      </c>
      <c r="E1451" t="s">
        <v>28</v>
      </c>
      <c r="F1451">
        <v>5</v>
      </c>
      <c r="G1451" t="s">
        <v>35</v>
      </c>
      <c r="H1451">
        <v>2</v>
      </c>
      <c r="I1451">
        <v>19246</v>
      </c>
      <c r="J1451">
        <v>12</v>
      </c>
      <c r="K1451">
        <v>3</v>
      </c>
      <c r="L1451">
        <v>0</v>
      </c>
      <c r="M1451">
        <v>40</v>
      </c>
      <c r="N1451">
        <v>2</v>
      </c>
      <c r="O1451">
        <v>3</v>
      </c>
      <c r="P1451">
        <v>31</v>
      </c>
      <c r="Q1451">
        <v>15</v>
      </c>
      <c r="R1451">
        <v>13</v>
      </c>
      <c r="S1451" t="s">
        <v>34</v>
      </c>
      <c r="T1451" t="s">
        <v>37</v>
      </c>
      <c r="U1451" t="str">
        <f>IF(Table1[[#This Row],[YearsSince
LastPromotion]]&gt; 4, "Delayed", "Normal")</f>
        <v>Delayed</v>
      </c>
      <c r="V1451" t="str">
        <f>IF(Table1[[#This Row],[Years
InCurrentRole]]&gt;4, "Role Stagnent", "Normal")</f>
        <v>Role Stagnent</v>
      </c>
      <c r="W1451" t="str">
        <f>IF(AND(Table1[[#This Row],[Years
InCurrentRole]]&gt; 4, Table1[[#This Row],[Performance
Rating]]&gt;=3), "High Risk", "Normal")</f>
        <v>High Risk</v>
      </c>
      <c r="X1451" t="str">
        <f>IF(Table1[[#This Row],[Performance
Rating]]&gt;=4, "High Performer", "Low Performer")</f>
        <v>Low Performer</v>
      </c>
    </row>
    <row r="1452" spans="2:24" x14ac:dyDescent="0.3">
      <c r="B1452" t="s">
        <v>27</v>
      </c>
      <c r="C1452" t="s">
        <v>20</v>
      </c>
      <c r="D1452">
        <v>1</v>
      </c>
      <c r="E1452" t="s">
        <v>28</v>
      </c>
      <c r="F1452">
        <v>4</v>
      </c>
      <c r="G1452" t="s">
        <v>32</v>
      </c>
      <c r="H1452">
        <v>3</v>
      </c>
      <c r="I1452">
        <v>12936</v>
      </c>
      <c r="J1452">
        <v>11</v>
      </c>
      <c r="K1452">
        <v>3</v>
      </c>
      <c r="L1452">
        <v>0</v>
      </c>
      <c r="M1452">
        <v>25</v>
      </c>
      <c r="N1452">
        <v>3</v>
      </c>
      <c r="O1452">
        <v>1</v>
      </c>
      <c r="P1452">
        <v>23</v>
      </c>
      <c r="Q1452">
        <v>5</v>
      </c>
      <c r="R1452">
        <v>14</v>
      </c>
      <c r="S1452" t="s">
        <v>23</v>
      </c>
      <c r="T1452" t="s">
        <v>37</v>
      </c>
      <c r="U1452" t="str">
        <f>IF(Table1[[#This Row],[YearsSince
LastPromotion]]&gt; 4, "Delayed", "Normal")</f>
        <v>Delayed</v>
      </c>
      <c r="V1452" t="str">
        <f>IF(Table1[[#This Row],[Years
InCurrentRole]]&gt;4, "Role Stagnent", "Normal")</f>
        <v>Role Stagnent</v>
      </c>
      <c r="W1452" t="str">
        <f>IF(AND(Table1[[#This Row],[Years
InCurrentRole]]&gt; 4, Table1[[#This Row],[Performance
Rating]]&gt;=3), "High Risk", "Normal")</f>
        <v>High Risk</v>
      </c>
      <c r="X1452" t="str">
        <f>IF(Table1[[#This Row],[Performance
Rating]]&gt;=4, "High Performer", "Low Performer")</f>
        <v>Low Performer</v>
      </c>
    </row>
    <row r="1453" spans="2:24" x14ac:dyDescent="0.3">
      <c r="B1453" t="s">
        <v>19</v>
      </c>
      <c r="C1453" t="s">
        <v>25</v>
      </c>
      <c r="D1453">
        <v>1</v>
      </c>
      <c r="E1453" t="s">
        <v>28</v>
      </c>
      <c r="F1453">
        <v>4</v>
      </c>
      <c r="G1453" t="s">
        <v>35</v>
      </c>
      <c r="H1453">
        <v>1</v>
      </c>
      <c r="I1453">
        <v>16328</v>
      </c>
      <c r="J1453">
        <v>13</v>
      </c>
      <c r="K1453">
        <v>3</v>
      </c>
      <c r="L1453">
        <v>1</v>
      </c>
      <c r="M1453">
        <v>24</v>
      </c>
      <c r="N1453">
        <v>1</v>
      </c>
      <c r="O1453">
        <v>4</v>
      </c>
      <c r="P1453">
        <v>20</v>
      </c>
      <c r="Q1453">
        <v>6</v>
      </c>
      <c r="R1453">
        <v>14</v>
      </c>
      <c r="S1453" t="s">
        <v>34</v>
      </c>
      <c r="T1453" t="s">
        <v>37</v>
      </c>
      <c r="U1453" t="str">
        <f>IF(Table1[[#This Row],[YearsSince
LastPromotion]]&gt; 4, "Delayed", "Normal")</f>
        <v>Delayed</v>
      </c>
      <c r="V1453" t="str">
        <f>IF(Table1[[#This Row],[Years
InCurrentRole]]&gt;4, "Role Stagnent", "Normal")</f>
        <v>Role Stagnent</v>
      </c>
      <c r="W1453" t="str">
        <f>IF(AND(Table1[[#This Row],[Years
InCurrentRole]]&gt; 4, Table1[[#This Row],[Performance
Rating]]&gt;=3), "High Risk", "Normal")</f>
        <v>High Risk</v>
      </c>
      <c r="X1453" t="str">
        <f>IF(Table1[[#This Row],[Performance
Rating]]&gt;=4, "High Performer", "Low Performer")</f>
        <v>Low Performer</v>
      </c>
    </row>
    <row r="1454" spans="2:24" x14ac:dyDescent="0.3">
      <c r="B1454" t="s">
        <v>19</v>
      </c>
      <c r="C1454" t="s">
        <v>25</v>
      </c>
      <c r="D1454">
        <v>1</v>
      </c>
      <c r="E1454" t="s">
        <v>28</v>
      </c>
      <c r="F1454">
        <v>4</v>
      </c>
      <c r="G1454" t="s">
        <v>22</v>
      </c>
      <c r="H1454">
        <v>1</v>
      </c>
      <c r="I1454">
        <v>17924</v>
      </c>
      <c r="J1454">
        <v>11</v>
      </c>
      <c r="K1454">
        <v>3</v>
      </c>
      <c r="L1454">
        <v>1</v>
      </c>
      <c r="M1454">
        <v>31</v>
      </c>
      <c r="N1454">
        <v>3</v>
      </c>
      <c r="O1454">
        <v>3</v>
      </c>
      <c r="P1454">
        <v>31</v>
      </c>
      <c r="Q1454">
        <v>6</v>
      </c>
      <c r="R1454">
        <v>14</v>
      </c>
      <c r="S1454" t="s">
        <v>34</v>
      </c>
      <c r="T1454" t="s">
        <v>37</v>
      </c>
      <c r="U1454" t="str">
        <f>IF(Table1[[#This Row],[YearsSince
LastPromotion]]&gt; 4, "Delayed", "Normal")</f>
        <v>Delayed</v>
      </c>
      <c r="V1454" t="str">
        <f>IF(Table1[[#This Row],[Years
InCurrentRole]]&gt;4, "Role Stagnent", "Normal")</f>
        <v>Role Stagnent</v>
      </c>
      <c r="W1454" t="str">
        <f>IF(AND(Table1[[#This Row],[Years
InCurrentRole]]&gt; 4, Table1[[#This Row],[Performance
Rating]]&gt;=3), "High Risk", "Normal")</f>
        <v>High Risk</v>
      </c>
      <c r="X1454" t="str">
        <f>IF(Table1[[#This Row],[Performance
Rating]]&gt;=4, "High Performer", "Low Performer")</f>
        <v>Low Performer</v>
      </c>
    </row>
    <row r="1455" spans="2:24" x14ac:dyDescent="0.3">
      <c r="B1455" t="s">
        <v>19</v>
      </c>
      <c r="C1455" t="s">
        <v>25</v>
      </c>
      <c r="D1455">
        <v>1</v>
      </c>
      <c r="E1455" t="s">
        <v>28</v>
      </c>
      <c r="F1455">
        <v>5</v>
      </c>
      <c r="G1455" t="s">
        <v>22</v>
      </c>
      <c r="H1455">
        <v>4</v>
      </c>
      <c r="I1455">
        <v>18430</v>
      </c>
      <c r="J1455">
        <v>13</v>
      </c>
      <c r="K1455">
        <v>3</v>
      </c>
      <c r="L1455">
        <v>1</v>
      </c>
      <c r="M1455">
        <v>24</v>
      </c>
      <c r="N1455">
        <v>4</v>
      </c>
      <c r="O1455">
        <v>2</v>
      </c>
      <c r="P1455">
        <v>24</v>
      </c>
      <c r="Q1455">
        <v>7</v>
      </c>
      <c r="R1455">
        <v>14</v>
      </c>
      <c r="S1455" t="s">
        <v>23</v>
      </c>
      <c r="T1455" t="s">
        <v>37</v>
      </c>
      <c r="U1455" t="str">
        <f>IF(Table1[[#This Row],[YearsSince
LastPromotion]]&gt; 4, "Delayed", "Normal")</f>
        <v>Delayed</v>
      </c>
      <c r="V1455" t="str">
        <f>IF(Table1[[#This Row],[Years
InCurrentRole]]&gt;4, "Role Stagnent", "Normal")</f>
        <v>Role Stagnent</v>
      </c>
      <c r="W1455" t="str">
        <f>IF(AND(Table1[[#This Row],[Years
InCurrentRole]]&gt; 4, Table1[[#This Row],[Performance
Rating]]&gt;=3), "High Risk", "Normal")</f>
        <v>High Risk</v>
      </c>
      <c r="X1455" t="str">
        <f>IF(Table1[[#This Row],[Performance
Rating]]&gt;=4, "High Performer", "Low Performer")</f>
        <v>Low Performer</v>
      </c>
    </row>
    <row r="1456" spans="2:24" x14ac:dyDescent="0.3">
      <c r="B1456" t="s">
        <v>19</v>
      </c>
      <c r="C1456" t="s">
        <v>20</v>
      </c>
      <c r="D1456">
        <v>1</v>
      </c>
      <c r="E1456" t="s">
        <v>28</v>
      </c>
      <c r="F1456">
        <v>4</v>
      </c>
      <c r="G1456" t="s">
        <v>22</v>
      </c>
      <c r="H1456">
        <v>2</v>
      </c>
      <c r="I1456">
        <v>16291</v>
      </c>
      <c r="J1456">
        <v>22</v>
      </c>
      <c r="K1456">
        <v>4</v>
      </c>
      <c r="L1456">
        <v>1</v>
      </c>
      <c r="M1456">
        <v>37</v>
      </c>
      <c r="N1456">
        <v>0</v>
      </c>
      <c r="O1456">
        <v>2</v>
      </c>
      <c r="P1456">
        <v>16</v>
      </c>
      <c r="Q1456">
        <v>9</v>
      </c>
      <c r="R1456">
        <v>14</v>
      </c>
      <c r="S1456" t="s">
        <v>23</v>
      </c>
      <c r="T1456" t="s">
        <v>37</v>
      </c>
      <c r="U1456" t="str">
        <f>IF(Table1[[#This Row],[YearsSince
LastPromotion]]&gt; 4, "Delayed", "Normal")</f>
        <v>Delayed</v>
      </c>
      <c r="V1456" t="str">
        <f>IF(Table1[[#This Row],[Years
InCurrentRole]]&gt;4, "Role Stagnent", "Normal")</f>
        <v>Role Stagnent</v>
      </c>
      <c r="W1456" t="str">
        <f>IF(AND(Table1[[#This Row],[Years
InCurrentRole]]&gt; 4, Table1[[#This Row],[Performance
Rating]]&gt;=3), "High Risk", "Normal")</f>
        <v>High Risk</v>
      </c>
      <c r="X1456" t="str">
        <f>IF(Table1[[#This Row],[Performance
Rating]]&gt;=4, "High Performer", "Low Performer")</f>
        <v>High Performer</v>
      </c>
    </row>
    <row r="1457" spans="2:24" x14ac:dyDescent="0.3">
      <c r="B1457" t="s">
        <v>19</v>
      </c>
      <c r="C1457" t="s">
        <v>25</v>
      </c>
      <c r="D1457">
        <v>1</v>
      </c>
      <c r="E1457" t="s">
        <v>28</v>
      </c>
      <c r="F1457">
        <v>5</v>
      </c>
      <c r="G1457" t="s">
        <v>22</v>
      </c>
      <c r="H1457">
        <v>1</v>
      </c>
      <c r="I1457">
        <v>19190</v>
      </c>
      <c r="J1457">
        <v>14</v>
      </c>
      <c r="K1457">
        <v>3</v>
      </c>
      <c r="L1457">
        <v>2</v>
      </c>
      <c r="M1457">
        <v>26</v>
      </c>
      <c r="N1457">
        <v>4</v>
      </c>
      <c r="O1457">
        <v>2</v>
      </c>
      <c r="P1457">
        <v>25</v>
      </c>
      <c r="Q1457">
        <v>9</v>
      </c>
      <c r="R1457">
        <v>14</v>
      </c>
      <c r="S1457" t="s">
        <v>23</v>
      </c>
      <c r="T1457" t="s">
        <v>37</v>
      </c>
      <c r="U1457" t="str">
        <f>IF(Table1[[#This Row],[YearsSince
LastPromotion]]&gt; 4, "Delayed", "Normal")</f>
        <v>Delayed</v>
      </c>
      <c r="V1457" t="str">
        <f>IF(Table1[[#This Row],[Years
InCurrentRole]]&gt;4, "Role Stagnent", "Normal")</f>
        <v>Role Stagnent</v>
      </c>
      <c r="W1457" t="str">
        <f>IF(AND(Table1[[#This Row],[Years
InCurrentRole]]&gt; 4, Table1[[#This Row],[Performance
Rating]]&gt;=3), "High Risk", "Normal")</f>
        <v>High Risk</v>
      </c>
      <c r="X1457" t="str">
        <f>IF(Table1[[#This Row],[Performance
Rating]]&gt;=4, "High Performer", "Low Performer")</f>
        <v>Low Performer</v>
      </c>
    </row>
    <row r="1458" spans="2:24" x14ac:dyDescent="0.3">
      <c r="B1458" t="s">
        <v>19</v>
      </c>
      <c r="C1458" t="s">
        <v>25</v>
      </c>
      <c r="D1458">
        <v>1</v>
      </c>
      <c r="E1458" t="s">
        <v>21</v>
      </c>
      <c r="F1458">
        <v>3</v>
      </c>
      <c r="G1458" t="s">
        <v>33</v>
      </c>
      <c r="H1458">
        <v>2</v>
      </c>
      <c r="I1458">
        <v>10333</v>
      </c>
      <c r="J1458">
        <v>12</v>
      </c>
      <c r="K1458">
        <v>3</v>
      </c>
      <c r="L1458">
        <v>1</v>
      </c>
      <c r="M1458">
        <v>28</v>
      </c>
      <c r="N1458">
        <v>4</v>
      </c>
      <c r="O1458">
        <v>3</v>
      </c>
      <c r="P1458">
        <v>22</v>
      </c>
      <c r="Q1458">
        <v>11</v>
      </c>
      <c r="R1458">
        <v>14</v>
      </c>
      <c r="S1458" t="s">
        <v>34</v>
      </c>
      <c r="T1458" t="s">
        <v>37</v>
      </c>
      <c r="U1458" t="str">
        <f>IF(Table1[[#This Row],[YearsSince
LastPromotion]]&gt; 4, "Delayed", "Normal")</f>
        <v>Delayed</v>
      </c>
      <c r="V1458" t="str">
        <f>IF(Table1[[#This Row],[Years
InCurrentRole]]&gt;4, "Role Stagnent", "Normal")</f>
        <v>Role Stagnent</v>
      </c>
      <c r="W1458" t="str">
        <f>IF(AND(Table1[[#This Row],[Years
InCurrentRole]]&gt; 4, Table1[[#This Row],[Performance
Rating]]&gt;=3), "High Risk", "Normal")</f>
        <v>High Risk</v>
      </c>
      <c r="X1458" t="str">
        <f>IF(Table1[[#This Row],[Performance
Rating]]&gt;=4, "High Performer", "Low Performer")</f>
        <v>Low Performer</v>
      </c>
    </row>
    <row r="1459" spans="2:24" x14ac:dyDescent="0.3">
      <c r="B1459" t="s">
        <v>19</v>
      </c>
      <c r="C1459" t="s">
        <v>25</v>
      </c>
      <c r="D1459">
        <v>1</v>
      </c>
      <c r="E1459" t="s">
        <v>21</v>
      </c>
      <c r="F1459">
        <v>3</v>
      </c>
      <c r="G1459" t="s">
        <v>33</v>
      </c>
      <c r="H1459">
        <v>3</v>
      </c>
      <c r="I1459">
        <v>10435</v>
      </c>
      <c r="J1459">
        <v>13</v>
      </c>
      <c r="K1459">
        <v>3</v>
      </c>
      <c r="L1459">
        <v>2</v>
      </c>
      <c r="M1459">
        <v>18</v>
      </c>
      <c r="N1459">
        <v>2</v>
      </c>
      <c r="O1459">
        <v>3</v>
      </c>
      <c r="P1459">
        <v>18</v>
      </c>
      <c r="Q1459">
        <v>15</v>
      </c>
      <c r="R1459">
        <v>14</v>
      </c>
      <c r="S1459" t="s">
        <v>34</v>
      </c>
      <c r="T1459" t="s">
        <v>37</v>
      </c>
      <c r="U1459" t="str">
        <f>IF(Table1[[#This Row],[YearsSince
LastPromotion]]&gt; 4, "Delayed", "Normal")</f>
        <v>Delayed</v>
      </c>
      <c r="V1459" t="str">
        <f>IF(Table1[[#This Row],[Years
InCurrentRole]]&gt;4, "Role Stagnent", "Normal")</f>
        <v>Role Stagnent</v>
      </c>
      <c r="W1459" t="str">
        <f>IF(AND(Table1[[#This Row],[Years
InCurrentRole]]&gt; 4, Table1[[#This Row],[Performance
Rating]]&gt;=3), "High Risk", "Normal")</f>
        <v>High Risk</v>
      </c>
      <c r="X1459" t="str">
        <f>IF(Table1[[#This Row],[Performance
Rating]]&gt;=4, "High Performer", "Low Performer")</f>
        <v>Low Performer</v>
      </c>
    </row>
    <row r="1460" spans="2:24" x14ac:dyDescent="0.3">
      <c r="B1460" t="s">
        <v>19</v>
      </c>
      <c r="C1460" t="s">
        <v>25</v>
      </c>
      <c r="D1460">
        <v>1</v>
      </c>
      <c r="E1460" t="s">
        <v>28</v>
      </c>
      <c r="F1460">
        <v>3</v>
      </c>
      <c r="G1460" t="s">
        <v>31</v>
      </c>
      <c r="H1460">
        <v>3</v>
      </c>
      <c r="I1460">
        <v>10748</v>
      </c>
      <c r="J1460">
        <v>23</v>
      </c>
      <c r="K1460">
        <v>4</v>
      </c>
      <c r="L1460">
        <v>1</v>
      </c>
      <c r="M1460">
        <v>25</v>
      </c>
      <c r="N1460">
        <v>3</v>
      </c>
      <c r="O1460">
        <v>2</v>
      </c>
      <c r="P1460">
        <v>23</v>
      </c>
      <c r="Q1460">
        <v>15</v>
      </c>
      <c r="R1460">
        <v>14</v>
      </c>
      <c r="S1460" t="s">
        <v>23</v>
      </c>
      <c r="T1460" t="s">
        <v>37</v>
      </c>
      <c r="U1460" t="str">
        <f>IF(Table1[[#This Row],[YearsSince
LastPromotion]]&gt; 4, "Delayed", "Normal")</f>
        <v>Delayed</v>
      </c>
      <c r="V1460" t="str">
        <f>IF(Table1[[#This Row],[Years
InCurrentRole]]&gt;4, "Role Stagnent", "Normal")</f>
        <v>Role Stagnent</v>
      </c>
      <c r="W1460" t="str">
        <f>IF(AND(Table1[[#This Row],[Years
InCurrentRole]]&gt; 4, Table1[[#This Row],[Performance
Rating]]&gt;=3), "High Risk", "Normal")</f>
        <v>High Risk</v>
      </c>
      <c r="X1460" t="str">
        <f>IF(Table1[[#This Row],[Performance
Rating]]&gt;=4, "High Performer", "Low Performer")</f>
        <v>High Performer</v>
      </c>
    </row>
    <row r="1461" spans="2:24" x14ac:dyDescent="0.3">
      <c r="B1461" t="s">
        <v>19</v>
      </c>
      <c r="C1461" t="s">
        <v>20</v>
      </c>
      <c r="D1461">
        <v>1</v>
      </c>
      <c r="E1461" t="s">
        <v>21</v>
      </c>
      <c r="F1461">
        <v>3</v>
      </c>
      <c r="G1461" t="s">
        <v>32</v>
      </c>
      <c r="H1461">
        <v>4</v>
      </c>
      <c r="I1461">
        <v>10231</v>
      </c>
      <c r="J1461">
        <v>14</v>
      </c>
      <c r="K1461">
        <v>3</v>
      </c>
      <c r="L1461">
        <v>0</v>
      </c>
      <c r="M1461">
        <v>23</v>
      </c>
      <c r="N1461">
        <v>3</v>
      </c>
      <c r="O1461">
        <v>4</v>
      </c>
      <c r="P1461">
        <v>21</v>
      </c>
      <c r="Q1461">
        <v>7</v>
      </c>
      <c r="R1461">
        <v>15</v>
      </c>
      <c r="S1461" t="s">
        <v>34</v>
      </c>
      <c r="T1461" t="s">
        <v>37</v>
      </c>
      <c r="U1461" t="str">
        <f>IF(Table1[[#This Row],[YearsSince
LastPromotion]]&gt; 4, "Delayed", "Normal")</f>
        <v>Delayed</v>
      </c>
      <c r="V1461" t="str">
        <f>IF(Table1[[#This Row],[Years
InCurrentRole]]&gt;4, "Role Stagnent", "Normal")</f>
        <v>Role Stagnent</v>
      </c>
      <c r="W1461" t="str">
        <f>IF(AND(Table1[[#This Row],[Years
InCurrentRole]]&gt; 4, Table1[[#This Row],[Performance
Rating]]&gt;=3), "High Risk", "Normal")</f>
        <v>High Risk</v>
      </c>
      <c r="X1461" t="str">
        <f>IF(Table1[[#This Row],[Performance
Rating]]&gt;=4, "High Performer", "Low Performer")</f>
        <v>Low Performer</v>
      </c>
    </row>
    <row r="1462" spans="2:24" x14ac:dyDescent="0.3">
      <c r="B1462" t="s">
        <v>19</v>
      </c>
      <c r="C1462" t="s">
        <v>20</v>
      </c>
      <c r="D1462">
        <v>1</v>
      </c>
      <c r="E1462" t="s">
        <v>28</v>
      </c>
      <c r="F1462">
        <v>5</v>
      </c>
      <c r="G1462" t="s">
        <v>22</v>
      </c>
      <c r="H1462">
        <v>3</v>
      </c>
      <c r="I1462">
        <v>19068</v>
      </c>
      <c r="J1462">
        <v>18</v>
      </c>
      <c r="K1462">
        <v>3</v>
      </c>
      <c r="L1462">
        <v>0</v>
      </c>
      <c r="M1462">
        <v>33</v>
      </c>
      <c r="N1462">
        <v>2</v>
      </c>
      <c r="O1462">
        <v>4</v>
      </c>
      <c r="P1462">
        <v>33</v>
      </c>
      <c r="Q1462">
        <v>7</v>
      </c>
      <c r="R1462">
        <v>15</v>
      </c>
      <c r="S1462" t="s">
        <v>34</v>
      </c>
      <c r="T1462" t="s">
        <v>37</v>
      </c>
      <c r="U1462" t="str">
        <f>IF(Table1[[#This Row],[YearsSince
LastPromotion]]&gt; 4, "Delayed", "Normal")</f>
        <v>Delayed</v>
      </c>
      <c r="V1462" t="str">
        <f>IF(Table1[[#This Row],[Years
InCurrentRole]]&gt;4, "Role Stagnent", "Normal")</f>
        <v>Role Stagnent</v>
      </c>
      <c r="W1462" t="str">
        <f>IF(AND(Table1[[#This Row],[Years
InCurrentRole]]&gt; 4, Table1[[#This Row],[Performance
Rating]]&gt;=3), "High Risk", "Normal")</f>
        <v>High Risk</v>
      </c>
      <c r="X1462" t="str">
        <f>IF(Table1[[#This Row],[Performance
Rating]]&gt;=4, "High Performer", "Low Performer")</f>
        <v>Low Performer</v>
      </c>
    </row>
    <row r="1463" spans="2:24" x14ac:dyDescent="0.3">
      <c r="B1463" t="s">
        <v>19</v>
      </c>
      <c r="C1463" t="s">
        <v>25</v>
      </c>
      <c r="D1463">
        <v>1</v>
      </c>
      <c r="E1463" t="s">
        <v>21</v>
      </c>
      <c r="F1463">
        <v>4</v>
      </c>
      <c r="G1463" t="s">
        <v>22</v>
      </c>
      <c r="H1463">
        <v>2</v>
      </c>
      <c r="I1463">
        <v>17123</v>
      </c>
      <c r="J1463">
        <v>13</v>
      </c>
      <c r="K1463">
        <v>3</v>
      </c>
      <c r="L1463">
        <v>2</v>
      </c>
      <c r="M1463">
        <v>21</v>
      </c>
      <c r="N1463">
        <v>4</v>
      </c>
      <c r="O1463">
        <v>3</v>
      </c>
      <c r="P1463">
        <v>19</v>
      </c>
      <c r="Q1463">
        <v>9</v>
      </c>
      <c r="R1463">
        <v>15</v>
      </c>
      <c r="S1463" t="s">
        <v>34</v>
      </c>
      <c r="T1463" t="s">
        <v>37</v>
      </c>
      <c r="U1463" t="str">
        <f>IF(Table1[[#This Row],[YearsSince
LastPromotion]]&gt; 4, "Delayed", "Normal")</f>
        <v>Delayed</v>
      </c>
      <c r="V1463" t="str">
        <f>IF(Table1[[#This Row],[Years
InCurrentRole]]&gt;4, "Role Stagnent", "Normal")</f>
        <v>Role Stagnent</v>
      </c>
      <c r="W1463" t="str">
        <f>IF(AND(Table1[[#This Row],[Years
InCurrentRole]]&gt; 4, Table1[[#This Row],[Performance
Rating]]&gt;=3), "High Risk", "Normal")</f>
        <v>High Risk</v>
      </c>
      <c r="X1463" t="str">
        <f>IF(Table1[[#This Row],[Performance
Rating]]&gt;=4, "High Performer", "Low Performer")</f>
        <v>Low Performer</v>
      </c>
    </row>
    <row r="1464" spans="2:24" x14ac:dyDescent="0.3">
      <c r="B1464" t="s">
        <v>19</v>
      </c>
      <c r="C1464" t="s">
        <v>25</v>
      </c>
      <c r="D1464">
        <v>1</v>
      </c>
      <c r="E1464" t="s">
        <v>28</v>
      </c>
      <c r="F1464">
        <v>4</v>
      </c>
      <c r="G1464" t="s">
        <v>31</v>
      </c>
      <c r="H1464">
        <v>2</v>
      </c>
      <c r="I1464">
        <v>13577</v>
      </c>
      <c r="J1464">
        <v>15</v>
      </c>
      <c r="K1464">
        <v>3</v>
      </c>
      <c r="L1464">
        <v>1</v>
      </c>
      <c r="M1464">
        <v>34</v>
      </c>
      <c r="N1464">
        <v>3</v>
      </c>
      <c r="O1464">
        <v>3</v>
      </c>
      <c r="P1464">
        <v>33</v>
      </c>
      <c r="Q1464">
        <v>9</v>
      </c>
      <c r="R1464">
        <v>15</v>
      </c>
      <c r="S1464" t="s">
        <v>34</v>
      </c>
      <c r="T1464" t="s">
        <v>37</v>
      </c>
      <c r="U1464" t="str">
        <f>IF(Table1[[#This Row],[YearsSince
LastPromotion]]&gt; 4, "Delayed", "Normal")</f>
        <v>Delayed</v>
      </c>
      <c r="V1464" t="str">
        <f>IF(Table1[[#This Row],[Years
InCurrentRole]]&gt;4, "Role Stagnent", "Normal")</f>
        <v>Role Stagnent</v>
      </c>
      <c r="W1464" t="str">
        <f>IF(AND(Table1[[#This Row],[Years
InCurrentRole]]&gt; 4, Table1[[#This Row],[Performance
Rating]]&gt;=3), "High Risk", "Normal")</f>
        <v>High Risk</v>
      </c>
      <c r="X1464" t="str">
        <f>IF(Table1[[#This Row],[Performance
Rating]]&gt;=4, "High Performer", "Low Performer")</f>
        <v>Low Performer</v>
      </c>
    </row>
    <row r="1465" spans="2:24" x14ac:dyDescent="0.3">
      <c r="B1465" t="s">
        <v>19</v>
      </c>
      <c r="C1465" t="s">
        <v>25</v>
      </c>
      <c r="D1465">
        <v>1</v>
      </c>
      <c r="E1465" t="s">
        <v>28</v>
      </c>
      <c r="F1465">
        <v>4</v>
      </c>
      <c r="G1465" t="s">
        <v>22</v>
      </c>
      <c r="H1465">
        <v>3</v>
      </c>
      <c r="I1465">
        <v>17046</v>
      </c>
      <c r="J1465">
        <v>15</v>
      </c>
      <c r="K1465">
        <v>3</v>
      </c>
      <c r="L1465">
        <v>1</v>
      </c>
      <c r="M1465">
        <v>28</v>
      </c>
      <c r="N1465">
        <v>2</v>
      </c>
      <c r="O1465">
        <v>3</v>
      </c>
      <c r="P1465">
        <v>27</v>
      </c>
      <c r="Q1465">
        <v>10</v>
      </c>
      <c r="R1465">
        <v>15</v>
      </c>
      <c r="S1465" t="s">
        <v>34</v>
      </c>
      <c r="T1465" t="s">
        <v>37</v>
      </c>
      <c r="U1465" t="str">
        <f>IF(Table1[[#This Row],[YearsSince
LastPromotion]]&gt; 4, "Delayed", "Normal")</f>
        <v>Delayed</v>
      </c>
      <c r="V1465" t="str">
        <f>IF(Table1[[#This Row],[Years
InCurrentRole]]&gt;4, "Role Stagnent", "Normal")</f>
        <v>Role Stagnent</v>
      </c>
      <c r="W1465" t="str">
        <f>IF(AND(Table1[[#This Row],[Years
InCurrentRole]]&gt; 4, Table1[[#This Row],[Performance
Rating]]&gt;=3), "High Risk", "Normal")</f>
        <v>High Risk</v>
      </c>
      <c r="X1465" t="str">
        <f>IF(Table1[[#This Row],[Performance
Rating]]&gt;=4, "High Performer", "Low Performer")</f>
        <v>Low Performer</v>
      </c>
    </row>
    <row r="1466" spans="2:24" x14ac:dyDescent="0.3">
      <c r="B1466" t="s">
        <v>27</v>
      </c>
      <c r="C1466" t="s">
        <v>25</v>
      </c>
      <c r="D1466">
        <v>1</v>
      </c>
      <c r="E1466" t="s">
        <v>21</v>
      </c>
      <c r="F1466">
        <v>3</v>
      </c>
      <c r="G1466" t="s">
        <v>31</v>
      </c>
      <c r="H1466">
        <v>4</v>
      </c>
      <c r="I1466">
        <v>10312</v>
      </c>
      <c r="J1466">
        <v>12</v>
      </c>
      <c r="K1466">
        <v>3</v>
      </c>
      <c r="L1466">
        <v>1</v>
      </c>
      <c r="M1466">
        <v>40</v>
      </c>
      <c r="N1466">
        <v>3</v>
      </c>
      <c r="O1466">
        <v>2</v>
      </c>
      <c r="P1466">
        <v>40</v>
      </c>
      <c r="Q1466">
        <v>10</v>
      </c>
      <c r="R1466">
        <v>15</v>
      </c>
      <c r="S1466" t="s">
        <v>23</v>
      </c>
      <c r="T1466" t="s">
        <v>37</v>
      </c>
      <c r="U1466" t="str">
        <f>IF(Table1[[#This Row],[YearsSince
LastPromotion]]&gt; 4, "Delayed", "Normal")</f>
        <v>Delayed</v>
      </c>
      <c r="V1466" t="str">
        <f>IF(Table1[[#This Row],[Years
InCurrentRole]]&gt;4, "Role Stagnent", "Normal")</f>
        <v>Role Stagnent</v>
      </c>
      <c r="W1466" t="str">
        <f>IF(AND(Table1[[#This Row],[Years
InCurrentRole]]&gt; 4, Table1[[#This Row],[Performance
Rating]]&gt;=3), "High Risk", "Normal")</f>
        <v>High Risk</v>
      </c>
      <c r="X1466" t="str">
        <f>IF(Table1[[#This Row],[Performance
Rating]]&gt;=4, "High Performer", "Low Performer")</f>
        <v>Low Performer</v>
      </c>
    </row>
    <row r="1467" spans="2:24" x14ac:dyDescent="0.3">
      <c r="B1467" t="s">
        <v>27</v>
      </c>
      <c r="C1467" t="s">
        <v>25</v>
      </c>
      <c r="D1467">
        <v>1</v>
      </c>
      <c r="E1467" t="s">
        <v>21</v>
      </c>
      <c r="F1467">
        <v>1</v>
      </c>
      <c r="G1467" t="s">
        <v>29</v>
      </c>
      <c r="H1467">
        <v>1</v>
      </c>
      <c r="I1467">
        <v>2743</v>
      </c>
      <c r="J1467">
        <v>16</v>
      </c>
      <c r="K1467">
        <v>3</v>
      </c>
      <c r="L1467">
        <v>0</v>
      </c>
      <c r="M1467">
        <v>18</v>
      </c>
      <c r="N1467">
        <v>1</v>
      </c>
      <c r="O1467">
        <v>3</v>
      </c>
      <c r="P1467">
        <v>17</v>
      </c>
      <c r="Q1467">
        <v>13</v>
      </c>
      <c r="R1467">
        <v>15</v>
      </c>
      <c r="S1467" t="s">
        <v>34</v>
      </c>
      <c r="T1467" t="s">
        <v>37</v>
      </c>
      <c r="U1467" t="str">
        <f>IF(Table1[[#This Row],[YearsSince
LastPromotion]]&gt; 4, "Delayed", "Normal")</f>
        <v>Delayed</v>
      </c>
      <c r="V1467" t="str">
        <f>IF(Table1[[#This Row],[Years
InCurrentRole]]&gt;4, "Role Stagnent", "Normal")</f>
        <v>Role Stagnent</v>
      </c>
      <c r="W1467" t="str">
        <f>IF(AND(Table1[[#This Row],[Years
InCurrentRole]]&gt; 4, Table1[[#This Row],[Performance
Rating]]&gt;=3), "High Risk", "Normal")</f>
        <v>High Risk</v>
      </c>
      <c r="X1467" t="str">
        <f>IF(Table1[[#This Row],[Performance
Rating]]&gt;=4, "High Performer", "Low Performer")</f>
        <v>Low Performer</v>
      </c>
    </row>
    <row r="1468" spans="2:24" x14ac:dyDescent="0.3">
      <c r="B1468" t="s">
        <v>19</v>
      </c>
      <c r="C1468" t="s">
        <v>20</v>
      </c>
      <c r="D1468">
        <v>1</v>
      </c>
      <c r="E1468" t="s">
        <v>28</v>
      </c>
      <c r="F1468">
        <v>4</v>
      </c>
      <c r="G1468" t="s">
        <v>22</v>
      </c>
      <c r="H1468">
        <v>3</v>
      </c>
      <c r="I1468">
        <v>14852</v>
      </c>
      <c r="J1468">
        <v>13</v>
      </c>
      <c r="K1468">
        <v>3</v>
      </c>
      <c r="L1468">
        <v>1</v>
      </c>
      <c r="M1468">
        <v>22</v>
      </c>
      <c r="N1468">
        <v>3</v>
      </c>
      <c r="O1468">
        <v>4</v>
      </c>
      <c r="P1468">
        <v>17</v>
      </c>
      <c r="Q1468">
        <v>13</v>
      </c>
      <c r="R1468">
        <v>15</v>
      </c>
      <c r="S1468" t="s">
        <v>34</v>
      </c>
      <c r="T1468" t="s">
        <v>37</v>
      </c>
      <c r="U1468" t="str">
        <f>IF(Table1[[#This Row],[YearsSince
LastPromotion]]&gt; 4, "Delayed", "Normal")</f>
        <v>Delayed</v>
      </c>
      <c r="V1468" t="str">
        <f>IF(Table1[[#This Row],[Years
InCurrentRole]]&gt;4, "Role Stagnent", "Normal")</f>
        <v>Role Stagnent</v>
      </c>
      <c r="W1468" t="str">
        <f>IF(AND(Table1[[#This Row],[Years
InCurrentRole]]&gt; 4, Table1[[#This Row],[Performance
Rating]]&gt;=3), "High Risk", "Normal")</f>
        <v>High Risk</v>
      </c>
      <c r="X1468" t="str">
        <f>IF(Table1[[#This Row],[Performance
Rating]]&gt;=4, "High Performer", "Low Performer")</f>
        <v>Low Performer</v>
      </c>
    </row>
    <row r="1469" spans="2:24" x14ac:dyDescent="0.3">
      <c r="B1469" t="s">
        <v>19</v>
      </c>
      <c r="C1469" t="s">
        <v>20</v>
      </c>
      <c r="D1469">
        <v>1</v>
      </c>
      <c r="E1469" t="s">
        <v>21</v>
      </c>
      <c r="F1469">
        <v>3</v>
      </c>
      <c r="G1469" t="s">
        <v>32</v>
      </c>
      <c r="H1469">
        <v>1</v>
      </c>
      <c r="I1469">
        <v>10453</v>
      </c>
      <c r="J1469">
        <v>25</v>
      </c>
      <c r="K1469">
        <v>4</v>
      </c>
      <c r="L1469">
        <v>3</v>
      </c>
      <c r="M1469">
        <v>24</v>
      </c>
      <c r="N1469">
        <v>2</v>
      </c>
      <c r="O1469">
        <v>3</v>
      </c>
      <c r="P1469">
        <v>24</v>
      </c>
      <c r="Q1469">
        <v>13</v>
      </c>
      <c r="R1469">
        <v>15</v>
      </c>
      <c r="S1469" t="s">
        <v>34</v>
      </c>
      <c r="T1469" t="s">
        <v>37</v>
      </c>
      <c r="U1469" t="str">
        <f>IF(Table1[[#This Row],[YearsSince
LastPromotion]]&gt; 4, "Delayed", "Normal")</f>
        <v>Delayed</v>
      </c>
      <c r="V1469" t="str">
        <f>IF(Table1[[#This Row],[Years
InCurrentRole]]&gt;4, "Role Stagnent", "Normal")</f>
        <v>Role Stagnent</v>
      </c>
      <c r="W1469" t="str">
        <f>IF(AND(Table1[[#This Row],[Years
InCurrentRole]]&gt; 4, Table1[[#This Row],[Performance
Rating]]&gt;=3), "High Risk", "Normal")</f>
        <v>High Risk</v>
      </c>
      <c r="X1469" t="str">
        <f>IF(Table1[[#This Row],[Performance
Rating]]&gt;=4, "High Performer", "Low Performer")</f>
        <v>High Performer</v>
      </c>
    </row>
    <row r="1470" spans="2:24" x14ac:dyDescent="0.3">
      <c r="B1470" t="s">
        <v>27</v>
      </c>
      <c r="C1470" t="s">
        <v>25</v>
      </c>
      <c r="D1470">
        <v>1</v>
      </c>
      <c r="E1470" t="s">
        <v>21</v>
      </c>
      <c r="F1470">
        <v>5</v>
      </c>
      <c r="G1470" t="s">
        <v>35</v>
      </c>
      <c r="H1470">
        <v>3</v>
      </c>
      <c r="I1470">
        <v>19545</v>
      </c>
      <c r="J1470">
        <v>12</v>
      </c>
      <c r="K1470">
        <v>3</v>
      </c>
      <c r="L1470">
        <v>0</v>
      </c>
      <c r="M1470">
        <v>23</v>
      </c>
      <c r="N1470">
        <v>0</v>
      </c>
      <c r="O1470">
        <v>3</v>
      </c>
      <c r="P1470">
        <v>22</v>
      </c>
      <c r="Q1470">
        <v>15</v>
      </c>
      <c r="R1470">
        <v>15</v>
      </c>
      <c r="S1470" t="s">
        <v>34</v>
      </c>
      <c r="T1470" t="s">
        <v>37</v>
      </c>
      <c r="U1470" t="str">
        <f>IF(Table1[[#This Row],[YearsSince
LastPromotion]]&gt; 4, "Delayed", "Normal")</f>
        <v>Delayed</v>
      </c>
      <c r="V1470" t="str">
        <f>IF(Table1[[#This Row],[Years
InCurrentRole]]&gt;4, "Role Stagnent", "Normal")</f>
        <v>Role Stagnent</v>
      </c>
      <c r="W1470" t="str">
        <f>IF(AND(Table1[[#This Row],[Years
InCurrentRole]]&gt; 4, Table1[[#This Row],[Performance
Rating]]&gt;=3), "High Risk", "Normal")</f>
        <v>High Risk</v>
      </c>
      <c r="X1470" t="str">
        <f>IF(Table1[[#This Row],[Performance
Rating]]&gt;=4, "High Performer", "Low Performer")</f>
        <v>Low Performer</v>
      </c>
    </row>
    <row r="1471" spans="2:24" x14ac:dyDescent="0.3">
      <c r="B1471" t="s">
        <v>19</v>
      </c>
      <c r="C1471" t="s">
        <v>20</v>
      </c>
      <c r="D1471">
        <v>1</v>
      </c>
      <c r="E1471" t="s">
        <v>21</v>
      </c>
      <c r="F1471">
        <v>4</v>
      </c>
      <c r="G1471" t="s">
        <v>22</v>
      </c>
      <c r="H1471">
        <v>1</v>
      </c>
      <c r="I1471">
        <v>17048</v>
      </c>
      <c r="J1471">
        <v>23</v>
      </c>
      <c r="K1471">
        <v>4</v>
      </c>
      <c r="L1471">
        <v>0</v>
      </c>
      <c r="M1471">
        <v>28</v>
      </c>
      <c r="N1471">
        <v>2</v>
      </c>
      <c r="O1471">
        <v>3</v>
      </c>
      <c r="P1471">
        <v>26</v>
      </c>
      <c r="Q1471">
        <v>15</v>
      </c>
      <c r="R1471">
        <v>15</v>
      </c>
      <c r="S1471" t="s">
        <v>34</v>
      </c>
      <c r="T1471" t="s">
        <v>37</v>
      </c>
      <c r="U1471" t="str">
        <f>IF(Table1[[#This Row],[YearsSince
LastPromotion]]&gt; 4, "Delayed", "Normal")</f>
        <v>Delayed</v>
      </c>
      <c r="V1471" t="str">
        <f>IF(Table1[[#This Row],[Years
InCurrentRole]]&gt;4, "Role Stagnent", "Normal")</f>
        <v>Role Stagnent</v>
      </c>
      <c r="W1471" t="str">
        <f>IF(AND(Table1[[#This Row],[Years
InCurrentRole]]&gt; 4, Table1[[#This Row],[Performance
Rating]]&gt;=3), "High Risk", "Normal")</f>
        <v>High Risk</v>
      </c>
      <c r="X1471" t="str">
        <f>IF(Table1[[#This Row],[Performance
Rating]]&gt;=4, "High Performer", "Low Performer")</f>
        <v>High Performer</v>
      </c>
    </row>
    <row r="1472" spans="2:24" x14ac:dyDescent="0.3">
      <c r="B1472" t="s">
        <v>19</v>
      </c>
      <c r="C1472" t="s">
        <v>25</v>
      </c>
      <c r="D1472">
        <v>1</v>
      </c>
      <c r="E1472" t="s">
        <v>28</v>
      </c>
      <c r="F1472">
        <v>4</v>
      </c>
      <c r="G1472" t="s">
        <v>33</v>
      </c>
      <c r="H1472">
        <v>2</v>
      </c>
      <c r="I1472">
        <v>13402</v>
      </c>
      <c r="J1472">
        <v>12</v>
      </c>
      <c r="K1472">
        <v>3</v>
      </c>
      <c r="L1472">
        <v>1</v>
      </c>
      <c r="M1472">
        <v>33</v>
      </c>
      <c r="N1472">
        <v>0</v>
      </c>
      <c r="O1472">
        <v>3</v>
      </c>
      <c r="P1472">
        <v>19</v>
      </c>
      <c r="Q1472">
        <v>16</v>
      </c>
      <c r="R1472">
        <v>15</v>
      </c>
      <c r="S1472" t="s">
        <v>34</v>
      </c>
      <c r="T1472" t="s">
        <v>37</v>
      </c>
      <c r="U1472" t="str">
        <f>IF(Table1[[#This Row],[YearsSince
LastPromotion]]&gt; 4, "Delayed", "Normal")</f>
        <v>Delayed</v>
      </c>
      <c r="V1472" t="str">
        <f>IF(Table1[[#This Row],[Years
InCurrentRole]]&gt;4, "Role Stagnent", "Normal")</f>
        <v>Role Stagnent</v>
      </c>
      <c r="W1472" t="str">
        <f>IF(AND(Table1[[#This Row],[Years
InCurrentRole]]&gt; 4, Table1[[#This Row],[Performance
Rating]]&gt;=3), "High Risk", "Normal")</f>
        <v>High Risk</v>
      </c>
      <c r="X1472" t="str">
        <f>IF(Table1[[#This Row],[Performance
Rating]]&gt;=4, "High Performer", "Low Performer")</f>
        <v>Low Performer</v>
      </c>
    </row>
    <row r="1473" spans="2:24" x14ac:dyDescent="0.3">
      <c r="B1473" t="s">
        <v>19</v>
      </c>
      <c r="C1473" t="s">
        <v>25</v>
      </c>
      <c r="D1473">
        <v>1</v>
      </c>
      <c r="E1473" t="s">
        <v>28</v>
      </c>
      <c r="F1473">
        <v>5</v>
      </c>
      <c r="G1473" t="s">
        <v>35</v>
      </c>
      <c r="H1473">
        <v>3</v>
      </c>
      <c r="I1473">
        <v>19537</v>
      </c>
      <c r="J1473">
        <v>13</v>
      </c>
      <c r="K1473">
        <v>3</v>
      </c>
      <c r="L1473">
        <v>0</v>
      </c>
      <c r="M1473">
        <v>23</v>
      </c>
      <c r="N1473">
        <v>5</v>
      </c>
      <c r="O1473">
        <v>3</v>
      </c>
      <c r="P1473">
        <v>20</v>
      </c>
      <c r="Q1473">
        <v>18</v>
      </c>
      <c r="R1473">
        <v>15</v>
      </c>
      <c r="S1473" t="s">
        <v>34</v>
      </c>
      <c r="T1473" t="s">
        <v>37</v>
      </c>
      <c r="U1473" t="str">
        <f>IF(Table1[[#This Row],[YearsSince
LastPromotion]]&gt; 4, "Delayed", "Normal")</f>
        <v>Delayed</v>
      </c>
      <c r="V1473" t="str">
        <f>IF(Table1[[#This Row],[Years
InCurrentRole]]&gt;4, "Role Stagnent", "Normal")</f>
        <v>Role Stagnent</v>
      </c>
      <c r="W1473" t="str">
        <f>IF(AND(Table1[[#This Row],[Years
InCurrentRole]]&gt; 4, Table1[[#This Row],[Performance
Rating]]&gt;=3), "High Risk", "Normal")</f>
        <v>High Risk</v>
      </c>
      <c r="X1473" t="str">
        <f>IF(Table1[[#This Row],[Performance
Rating]]&gt;=4, "High Performer", "Low Performer")</f>
        <v>Low Performer</v>
      </c>
    </row>
  </sheetData>
  <mergeCells count="1">
    <mergeCell ref="A1:W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3582-EBF9-425C-AEFC-DDA726099AA8}">
  <dimension ref="A1:S11"/>
  <sheetViews>
    <sheetView workbookViewId="0">
      <selection activeCell="B6" sqref="B6"/>
    </sheetView>
  </sheetViews>
  <sheetFormatPr defaultRowHeight="14.4" x14ac:dyDescent="0.3"/>
  <cols>
    <col min="1" max="1" width="16.6640625" customWidth="1"/>
  </cols>
  <sheetData>
    <row r="1" spans="1:19" x14ac:dyDescent="0.3">
      <c r="A1" s="16" t="s">
        <v>39</v>
      </c>
      <c r="B1" s="16"/>
      <c r="C1" s="16"/>
      <c r="D1" s="16"/>
      <c r="E1" s="16"/>
      <c r="F1" s="16"/>
      <c r="G1" s="16"/>
      <c r="H1" s="16"/>
      <c r="I1" s="16"/>
      <c r="J1" s="16"/>
      <c r="K1" s="16"/>
      <c r="L1" s="16"/>
      <c r="M1" s="16"/>
      <c r="N1" s="16"/>
      <c r="O1" s="16"/>
      <c r="P1" s="16"/>
      <c r="Q1" s="16"/>
      <c r="R1" s="16"/>
      <c r="S1" s="16"/>
    </row>
    <row r="2" spans="1:19" ht="15" thickBot="1" x14ac:dyDescent="0.35">
      <c r="A2" s="16"/>
      <c r="B2" s="16"/>
      <c r="C2" s="16"/>
      <c r="D2" s="16"/>
      <c r="E2" s="16"/>
      <c r="F2" s="16"/>
      <c r="G2" s="16"/>
      <c r="H2" s="16"/>
      <c r="I2" s="16"/>
      <c r="J2" s="16"/>
      <c r="K2" s="16"/>
      <c r="L2" s="16"/>
      <c r="M2" s="16"/>
      <c r="N2" s="16"/>
      <c r="O2" s="16"/>
      <c r="P2" s="16"/>
      <c r="Q2" s="16"/>
      <c r="R2" s="16"/>
      <c r="S2" s="16"/>
    </row>
    <row r="3" spans="1:19" ht="36.6" customHeight="1" thickTop="1" x14ac:dyDescent="0.3">
      <c r="A3" s="2" t="s">
        <v>45</v>
      </c>
      <c r="B3" s="2">
        <f>COUNT(Table1[Employee
Count])</f>
        <v>1470</v>
      </c>
    </row>
    <row r="5" spans="1:19" x14ac:dyDescent="0.3">
      <c r="A5" s="3" t="s">
        <v>67</v>
      </c>
      <c r="B5" s="3">
        <f>COUNTIF(Table1[Attrition], "Yes")</f>
        <v>237</v>
      </c>
    </row>
    <row r="6" spans="1:19" x14ac:dyDescent="0.3">
      <c r="A6" s="3" t="s">
        <v>46</v>
      </c>
      <c r="B6" s="3">
        <v>16.122448979591837</v>
      </c>
    </row>
    <row r="8" spans="1:19" x14ac:dyDescent="0.3">
      <c r="A8" s="3" t="s">
        <v>47</v>
      </c>
      <c r="B8" s="3">
        <f>AVERAGE(Table1[Percent
SalaryHike])</f>
        <v>15.209523809523809</v>
      </c>
    </row>
    <row r="10" spans="1:19" x14ac:dyDescent="0.3">
      <c r="A10" s="3" t="s">
        <v>48</v>
      </c>
      <c r="B10" s="3">
        <f>COUNTIF(Table1[Promotion Duration], "Delayed")</f>
        <v>260</v>
      </c>
    </row>
    <row r="11" spans="1:19" x14ac:dyDescent="0.3">
      <c r="A11" s="3" t="s">
        <v>49</v>
      </c>
      <c r="B11" s="3">
        <v>17.687074829931973</v>
      </c>
    </row>
  </sheetData>
  <mergeCells count="1">
    <mergeCell ref="A1:S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3AB1-47A7-4FB9-B53F-E7A12875F265}">
  <dimension ref="A1:Y31"/>
  <sheetViews>
    <sheetView zoomScale="60" zoomScaleNormal="60" workbookViewId="0">
      <selection activeCell="P31" sqref="P31"/>
    </sheetView>
  </sheetViews>
  <sheetFormatPr defaultRowHeight="14.4" x14ac:dyDescent="0.3"/>
  <cols>
    <col min="1" max="1" width="26" bestFit="1" customWidth="1"/>
    <col min="2" max="2" width="20.109375" customWidth="1"/>
    <col min="3" max="3" width="17.33203125" customWidth="1"/>
    <col min="4" max="4" width="23.6640625" customWidth="1"/>
    <col min="12" max="12" width="1.109375" customWidth="1"/>
    <col min="13" max="13" width="18.109375" customWidth="1"/>
    <col min="14" max="14" width="24.33203125" bestFit="1" customWidth="1"/>
    <col min="15" max="15" width="22.6640625" customWidth="1"/>
    <col min="16" max="16" width="15.77734375" customWidth="1"/>
    <col min="17" max="17" width="18.5546875" customWidth="1"/>
    <col min="18" max="18" width="15.6640625" bestFit="1" customWidth="1"/>
    <col min="19" max="19" width="7.6640625" bestFit="1" customWidth="1"/>
    <col min="20" max="20" width="18.88671875" bestFit="1" customWidth="1"/>
    <col min="21" max="21" width="11.109375" bestFit="1" customWidth="1"/>
    <col min="22" max="50" width="16.77734375" bestFit="1" customWidth="1"/>
    <col min="51" max="51" width="11.109375" bestFit="1" customWidth="1"/>
  </cols>
  <sheetData>
    <row r="1" spans="1:25" ht="14.4" customHeight="1" x14ac:dyDescent="0.3">
      <c r="A1" s="16" t="s">
        <v>39</v>
      </c>
      <c r="B1" s="16"/>
      <c r="C1" s="16"/>
      <c r="D1" s="16"/>
      <c r="E1" s="16"/>
      <c r="F1" s="16"/>
      <c r="G1" s="16"/>
      <c r="H1" s="16"/>
      <c r="I1" s="16"/>
      <c r="J1" s="16"/>
      <c r="K1" s="16"/>
      <c r="L1" s="16"/>
      <c r="M1" s="16"/>
      <c r="N1" s="16"/>
      <c r="O1" s="16"/>
      <c r="P1" s="16"/>
      <c r="Q1" s="16"/>
      <c r="R1" s="16"/>
      <c r="S1" s="16"/>
      <c r="T1" s="16"/>
      <c r="U1" s="16"/>
      <c r="V1" s="16"/>
      <c r="W1" s="16"/>
      <c r="X1" s="16"/>
      <c r="Y1" s="16"/>
    </row>
    <row r="2" spans="1:25" ht="14.4" customHeight="1" x14ac:dyDescent="0.3">
      <c r="A2" s="16"/>
      <c r="B2" s="16"/>
      <c r="C2" s="16"/>
      <c r="D2" s="16"/>
      <c r="E2" s="16"/>
      <c r="F2" s="16"/>
      <c r="G2" s="16"/>
      <c r="H2" s="16"/>
      <c r="I2" s="16"/>
      <c r="J2" s="16"/>
      <c r="K2" s="16"/>
      <c r="L2" s="16"/>
      <c r="M2" s="16"/>
      <c r="N2" s="16"/>
      <c r="O2" s="16"/>
      <c r="P2" s="16"/>
      <c r="Q2" s="16"/>
      <c r="R2" s="16"/>
      <c r="S2" s="16"/>
      <c r="T2" s="16"/>
      <c r="U2" s="16"/>
      <c r="V2" s="16"/>
      <c r="W2" s="16"/>
      <c r="X2" s="16"/>
      <c r="Y2" s="16"/>
    </row>
    <row r="3" spans="1:25" x14ac:dyDescent="0.3">
      <c r="A3" s="4" t="s">
        <v>57</v>
      </c>
      <c r="B3" s="4" t="s">
        <v>54</v>
      </c>
      <c r="N3" s="4" t="s">
        <v>63</v>
      </c>
      <c r="O3" s="4" t="s">
        <v>42</v>
      </c>
    </row>
    <row r="4" spans="1:25" x14ac:dyDescent="0.3">
      <c r="A4" s="4" t="s">
        <v>55</v>
      </c>
      <c r="B4" t="s">
        <v>52</v>
      </c>
      <c r="C4" t="s">
        <v>53</v>
      </c>
      <c r="D4" t="s">
        <v>51</v>
      </c>
      <c r="N4" s="4" t="s">
        <v>43</v>
      </c>
      <c r="O4" t="s">
        <v>62</v>
      </c>
      <c r="P4" t="s">
        <v>53</v>
      </c>
      <c r="Q4" s="1" t="s">
        <v>51</v>
      </c>
    </row>
    <row r="5" spans="1:25" ht="32.4" customHeight="1" x14ac:dyDescent="0.3">
      <c r="A5" s="5" t="s">
        <v>36</v>
      </c>
      <c r="B5">
        <v>8</v>
      </c>
      <c r="C5">
        <v>55</v>
      </c>
      <c r="D5">
        <v>63</v>
      </c>
      <c r="N5" s="5" t="s">
        <v>60</v>
      </c>
      <c r="O5">
        <v>94</v>
      </c>
      <c r="P5">
        <v>132</v>
      </c>
      <c r="Q5">
        <v>226</v>
      </c>
    </row>
    <row r="6" spans="1:25" ht="33" customHeight="1" x14ac:dyDescent="0.3">
      <c r="A6" s="5" t="s">
        <v>25</v>
      </c>
      <c r="B6">
        <v>160</v>
      </c>
      <c r="C6">
        <v>801</v>
      </c>
      <c r="D6">
        <v>961</v>
      </c>
      <c r="N6" s="5" t="s">
        <v>61</v>
      </c>
      <c r="O6">
        <v>464</v>
      </c>
      <c r="P6">
        <v>780</v>
      </c>
      <c r="Q6">
        <v>1244</v>
      </c>
    </row>
    <row r="7" spans="1:25" ht="26.4" customHeight="1" x14ac:dyDescent="0.3">
      <c r="A7" s="5" t="s">
        <v>20</v>
      </c>
      <c r="B7">
        <v>92</v>
      </c>
      <c r="C7">
        <v>354</v>
      </c>
      <c r="D7">
        <v>446</v>
      </c>
      <c r="N7" s="5" t="s">
        <v>51</v>
      </c>
      <c r="O7">
        <v>558</v>
      </c>
      <c r="P7">
        <v>912</v>
      </c>
      <c r="Q7">
        <v>1470</v>
      </c>
    </row>
    <row r="8" spans="1:25" x14ac:dyDescent="0.3">
      <c r="A8" s="5" t="s">
        <v>51</v>
      </c>
      <c r="B8">
        <v>260</v>
      </c>
      <c r="C8">
        <v>1210</v>
      </c>
      <c r="D8">
        <v>1470</v>
      </c>
      <c r="N8" s="17"/>
      <c r="O8" s="17"/>
      <c r="P8" s="17"/>
      <c r="Q8" s="17"/>
    </row>
    <row r="9" spans="1:25" x14ac:dyDescent="0.3">
      <c r="A9" s="17"/>
      <c r="B9" s="17"/>
      <c r="C9" s="17"/>
      <c r="D9" s="17"/>
      <c r="N9" s="17"/>
      <c r="O9" s="17"/>
      <c r="P9" s="17"/>
      <c r="Q9" s="17"/>
    </row>
    <row r="10" spans="1:25" x14ac:dyDescent="0.3">
      <c r="A10" s="17"/>
      <c r="B10" s="17"/>
      <c r="C10" s="17"/>
      <c r="D10" s="17"/>
      <c r="N10" s="17"/>
      <c r="O10" s="17"/>
      <c r="P10" s="17"/>
      <c r="Q10" s="17"/>
    </row>
    <row r="11" spans="1:25" x14ac:dyDescent="0.3">
      <c r="A11" s="17"/>
      <c r="B11" s="17"/>
      <c r="C11" s="17"/>
      <c r="D11" s="17"/>
      <c r="N11" s="17"/>
      <c r="O11" s="17"/>
      <c r="P11" s="17"/>
      <c r="Q11" s="17"/>
    </row>
    <row r="12" spans="1:25" x14ac:dyDescent="0.3">
      <c r="A12" s="4" t="s">
        <v>56</v>
      </c>
      <c r="B12" s="4" t="s">
        <v>59</v>
      </c>
      <c r="N12" s="17"/>
      <c r="O12" s="17"/>
      <c r="P12" s="17"/>
      <c r="Q12" s="17"/>
    </row>
    <row r="13" spans="1:25" x14ac:dyDescent="0.3">
      <c r="A13" s="4" t="s">
        <v>50</v>
      </c>
      <c r="B13" t="s">
        <v>53</v>
      </c>
      <c r="C13" t="s">
        <v>58</v>
      </c>
      <c r="D13" t="s">
        <v>51</v>
      </c>
      <c r="N13" s="4" t="s">
        <v>64</v>
      </c>
      <c r="O13" s="4" t="s">
        <v>40</v>
      </c>
    </row>
    <row r="14" spans="1:25" ht="27.6" customHeight="1" x14ac:dyDescent="0.3">
      <c r="A14" s="5" t="s">
        <v>31</v>
      </c>
      <c r="B14">
        <v>67</v>
      </c>
      <c r="C14">
        <v>64</v>
      </c>
      <c r="D14">
        <v>131</v>
      </c>
      <c r="N14" s="4" t="s">
        <v>43</v>
      </c>
      <c r="O14" t="s">
        <v>52</v>
      </c>
      <c r="P14" t="s">
        <v>53</v>
      </c>
      <c r="Q14" s="1" t="s">
        <v>51</v>
      </c>
    </row>
    <row r="15" spans="1:25" ht="34.200000000000003" customHeight="1" x14ac:dyDescent="0.3">
      <c r="A15" s="5" t="s">
        <v>36</v>
      </c>
      <c r="B15">
        <v>40</v>
      </c>
      <c r="C15">
        <v>12</v>
      </c>
      <c r="D15">
        <v>52</v>
      </c>
      <c r="N15" s="5" t="s">
        <v>60</v>
      </c>
      <c r="O15" s="6">
        <v>0.20353982300884957</v>
      </c>
      <c r="P15" s="6">
        <v>0.79646017699115046</v>
      </c>
      <c r="Q15" s="6">
        <v>1</v>
      </c>
    </row>
    <row r="16" spans="1:25" ht="32.4" customHeight="1" x14ac:dyDescent="0.3">
      <c r="A16" s="5" t="s">
        <v>29</v>
      </c>
      <c r="B16">
        <v>193</v>
      </c>
      <c r="C16">
        <v>66</v>
      </c>
      <c r="D16">
        <v>259</v>
      </c>
      <c r="N16" s="5" t="s">
        <v>61</v>
      </c>
      <c r="O16" s="6">
        <v>0.17202572347266881</v>
      </c>
      <c r="P16" s="6">
        <v>0.82797427652733124</v>
      </c>
      <c r="Q16" s="6">
        <v>1</v>
      </c>
    </row>
    <row r="17" spans="1:17" ht="27" customHeight="1" x14ac:dyDescent="0.3">
      <c r="A17" s="5" t="s">
        <v>22</v>
      </c>
      <c r="B17">
        <v>37</v>
      </c>
      <c r="C17">
        <v>65</v>
      </c>
      <c r="D17">
        <v>102</v>
      </c>
      <c r="N17" s="5" t="s">
        <v>51</v>
      </c>
      <c r="O17" s="6">
        <v>0.17687074829931973</v>
      </c>
      <c r="P17" s="6">
        <v>0.8231292517006803</v>
      </c>
      <c r="Q17" s="6">
        <v>1</v>
      </c>
    </row>
    <row r="18" spans="1:17" x14ac:dyDescent="0.3">
      <c r="A18" s="5" t="s">
        <v>33</v>
      </c>
      <c r="B18">
        <v>73</v>
      </c>
      <c r="C18">
        <v>72</v>
      </c>
      <c r="D18">
        <v>145</v>
      </c>
      <c r="N18" s="17"/>
      <c r="O18" s="17"/>
      <c r="P18" s="17"/>
      <c r="Q18" s="17"/>
    </row>
    <row r="19" spans="1:17" x14ac:dyDescent="0.3">
      <c r="A19" s="5" t="s">
        <v>35</v>
      </c>
      <c r="B19">
        <v>34</v>
      </c>
      <c r="C19">
        <v>46</v>
      </c>
      <c r="D19">
        <v>80</v>
      </c>
      <c r="N19" s="17"/>
      <c r="O19" s="17"/>
      <c r="P19" s="17"/>
      <c r="Q19" s="17"/>
    </row>
    <row r="20" spans="1:17" x14ac:dyDescent="0.3">
      <c r="A20" s="5" t="s">
        <v>26</v>
      </c>
      <c r="B20">
        <v>220</v>
      </c>
      <c r="C20">
        <v>72</v>
      </c>
      <c r="D20">
        <v>292</v>
      </c>
      <c r="N20" s="17"/>
      <c r="O20" s="17"/>
      <c r="P20" s="17"/>
      <c r="Q20" s="17"/>
    </row>
    <row r="21" spans="1:17" x14ac:dyDescent="0.3">
      <c r="A21" s="5" t="s">
        <v>32</v>
      </c>
      <c r="B21">
        <v>174</v>
      </c>
      <c r="C21">
        <v>152</v>
      </c>
      <c r="D21">
        <v>326</v>
      </c>
    </row>
    <row r="22" spans="1:17" x14ac:dyDescent="0.3">
      <c r="A22" s="5" t="s">
        <v>30</v>
      </c>
      <c r="B22">
        <v>74</v>
      </c>
      <c r="C22">
        <v>9</v>
      </c>
      <c r="D22">
        <v>83</v>
      </c>
    </row>
    <row r="23" spans="1:17" x14ac:dyDescent="0.3">
      <c r="A23" s="5" t="s">
        <v>51</v>
      </c>
      <c r="B23">
        <v>912</v>
      </c>
      <c r="C23">
        <v>558</v>
      </c>
      <c r="D23">
        <v>1470</v>
      </c>
    </row>
    <row r="24" spans="1:17" x14ac:dyDescent="0.3">
      <c r="A24" s="17"/>
      <c r="B24" s="17"/>
      <c r="C24" s="17"/>
      <c r="D24" s="17"/>
    </row>
    <row r="25" spans="1:17" x14ac:dyDescent="0.3">
      <c r="A25" s="17"/>
      <c r="B25" s="17"/>
      <c r="C25" s="17"/>
      <c r="D25" s="17"/>
    </row>
    <row r="26" spans="1:17" x14ac:dyDescent="0.3">
      <c r="A26" s="17"/>
      <c r="B26" s="17"/>
      <c r="C26" s="17"/>
      <c r="D26" s="17"/>
    </row>
    <row r="28" spans="1:17" ht="29.4" customHeight="1" x14ac:dyDescent="0.3">
      <c r="A28" s="4" t="s">
        <v>66</v>
      </c>
      <c r="B28" s="1" t="s">
        <v>65</v>
      </c>
    </row>
    <row r="29" spans="1:17" ht="31.8" customHeight="1" x14ac:dyDescent="0.3">
      <c r="A29" s="5">
        <v>3</v>
      </c>
      <c r="B29" s="7">
        <v>14.003215434083602</v>
      </c>
    </row>
    <row r="30" spans="1:17" ht="21" customHeight="1" x14ac:dyDescent="0.3">
      <c r="A30" s="5">
        <v>4</v>
      </c>
      <c r="B30" s="7">
        <v>21.849557522123895</v>
      </c>
    </row>
    <row r="31" spans="1:17" ht="32.4" customHeight="1" x14ac:dyDescent="0.3">
      <c r="A31" s="5" t="s">
        <v>51</v>
      </c>
      <c r="B31" s="7">
        <v>15.209523809523809</v>
      </c>
    </row>
  </sheetData>
  <mergeCells count="5">
    <mergeCell ref="A9:D11"/>
    <mergeCell ref="A24:D26"/>
    <mergeCell ref="N8:Q12"/>
    <mergeCell ref="A1:Y2"/>
    <mergeCell ref="N18:Q20"/>
  </mergeCells>
  <conditionalFormatting pivot="1" sqref="B5:D7">
    <cfRule type="dataBar" priority="12">
      <dataBar>
        <cfvo type="min"/>
        <cfvo type="max"/>
        <color rgb="FF638EC6"/>
      </dataBar>
      <extLst>
        <ext xmlns:x14="http://schemas.microsoft.com/office/spreadsheetml/2009/9/main" uri="{B025F937-C7B1-47D3-B67F-A62EFF666E3E}">
          <x14:id>{E4F88AEF-AE09-4AF4-BA64-F10705044696}</x14:id>
        </ext>
      </extLst>
    </cfRule>
  </conditionalFormatting>
  <conditionalFormatting pivot="1" sqref="B5:D7">
    <cfRule type="dataBar" priority="11">
      <dataBar>
        <cfvo type="min"/>
        <cfvo type="max"/>
        <color theme="4" tint="0.59999389629810485"/>
      </dataBar>
      <extLst>
        <ext xmlns:x14="http://schemas.microsoft.com/office/spreadsheetml/2009/9/main" uri="{B025F937-C7B1-47D3-B67F-A62EFF666E3E}">
          <x14:id>{33E8C081-388E-458E-8635-36AA830AD4CD}</x14:id>
        </ext>
      </extLst>
    </cfRule>
  </conditionalFormatting>
  <conditionalFormatting pivot="1" sqref="B5:D7">
    <cfRule type="dataBar" priority="10">
      <dataBar>
        <cfvo type="min"/>
        <cfvo type="max"/>
        <color theme="4" tint="0.59999389629810485"/>
      </dataBar>
      <extLst>
        <ext xmlns:x14="http://schemas.microsoft.com/office/spreadsheetml/2009/9/main" uri="{B025F937-C7B1-47D3-B67F-A62EFF666E3E}">
          <x14:id>{71320A98-3CB8-4408-A517-7DE226386984}</x14:id>
        </ext>
      </extLst>
    </cfRule>
  </conditionalFormatting>
  <conditionalFormatting pivot="1" sqref="B14:D22">
    <cfRule type="colorScale" priority="9">
      <colorScale>
        <cfvo type="min"/>
        <cfvo type="max"/>
        <color theme="4" tint="0.39997558519241921"/>
        <color theme="4" tint="0.79998168889431442"/>
      </colorScale>
    </cfRule>
  </conditionalFormatting>
  <conditionalFormatting pivot="1" sqref="B14:D22">
    <cfRule type="colorScale" priority="7">
      <colorScale>
        <cfvo type="min"/>
        <cfvo type="max"/>
        <color rgb="FFFCFCFF"/>
        <color rgb="FF63BE7B"/>
      </colorScale>
    </cfRule>
  </conditionalFormatting>
  <conditionalFormatting pivot="1" sqref="B14:D22">
    <cfRule type="colorScale" priority="6">
      <colorScale>
        <cfvo type="min"/>
        <cfvo type="max"/>
        <color theme="4" tint="0.39997558519241921"/>
        <color theme="6" tint="0.79998168889431442"/>
      </colorScale>
    </cfRule>
  </conditionalFormatting>
  <conditionalFormatting pivot="1" sqref="O15:P16">
    <cfRule type="dataBar" priority="5">
      <dataBar>
        <cfvo type="min"/>
        <cfvo type="max"/>
        <color theme="4" tint="0.39997558519241921"/>
      </dataBar>
      <extLst>
        <ext xmlns:x14="http://schemas.microsoft.com/office/spreadsheetml/2009/9/main" uri="{B025F937-C7B1-47D3-B67F-A62EFF666E3E}">
          <x14:id>{CE941CF9-8D40-4190-8983-DBC7AB91ECFD}</x14:id>
        </ext>
      </extLst>
    </cfRule>
  </conditionalFormatting>
  <conditionalFormatting pivot="1" sqref="O15:P16">
    <cfRule type="top10" dxfId="0" priority="4" bottom="1" rank="32"/>
  </conditionalFormatting>
  <conditionalFormatting pivot="1" sqref="O15:P16">
    <cfRule type="dataBar" priority="3">
      <dataBar>
        <cfvo type="min"/>
        <cfvo type="max"/>
        <color theme="4" tint="0.39997558519241921"/>
      </dataBar>
      <extLst>
        <ext xmlns:x14="http://schemas.microsoft.com/office/spreadsheetml/2009/9/main" uri="{B025F937-C7B1-47D3-B67F-A62EFF666E3E}">
          <x14:id>{1C50F835-E464-479A-9946-9FE3DE24E38A}</x14:id>
        </ext>
      </extLst>
    </cfRule>
  </conditionalFormatting>
  <conditionalFormatting pivot="1" sqref="O5:P6">
    <cfRule type="dataBar" priority="2">
      <dataBar>
        <cfvo type="percent" val="0"/>
        <cfvo type="max"/>
        <color theme="5" tint="0.39997558519241921"/>
      </dataBar>
      <extLst>
        <ext xmlns:x14="http://schemas.microsoft.com/office/spreadsheetml/2009/9/main" uri="{B025F937-C7B1-47D3-B67F-A62EFF666E3E}">
          <x14:id>{A295943F-8325-417D-9B65-661A80C056F0}</x14:id>
        </ext>
      </extLst>
    </cfRule>
  </conditionalFormatting>
  <conditionalFormatting pivot="1" sqref="O5:Q6">
    <cfRule type="dataBar" priority="1">
      <dataBar>
        <cfvo type="min"/>
        <cfvo type="max"/>
        <color theme="5" tint="0.39997558519241921"/>
      </dataBar>
      <extLst>
        <ext xmlns:x14="http://schemas.microsoft.com/office/spreadsheetml/2009/9/main" uri="{B025F937-C7B1-47D3-B67F-A62EFF666E3E}">
          <x14:id>{0F08E79A-3EAA-4C9E-A805-B9BEF585CDEF}</x14:id>
        </ext>
      </extLst>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pivot="1">
          <x14:cfRule type="dataBar" id="{E4F88AEF-AE09-4AF4-BA64-F10705044696}">
            <x14:dataBar minLength="0" maxLength="100">
              <x14:cfvo type="autoMin"/>
              <x14:cfvo type="autoMax"/>
              <x14:negativeFillColor rgb="FFFF0000"/>
              <x14:axisColor rgb="FF000000"/>
            </x14:dataBar>
          </x14:cfRule>
          <xm:sqref>B5:D7</xm:sqref>
        </x14:conditionalFormatting>
        <x14:conditionalFormatting xmlns:xm="http://schemas.microsoft.com/office/excel/2006/main" pivot="1">
          <x14:cfRule type="dataBar" id="{33E8C081-388E-458E-8635-36AA830AD4CD}">
            <x14:dataBar minLength="0" maxLength="100" gradient="0">
              <x14:cfvo type="autoMin"/>
              <x14:cfvo type="autoMax"/>
              <x14:negativeFillColor rgb="FFFF0000"/>
              <x14:axisColor rgb="FF000000"/>
            </x14:dataBar>
          </x14:cfRule>
          <xm:sqref>B5:D7</xm:sqref>
        </x14:conditionalFormatting>
        <x14:conditionalFormatting xmlns:xm="http://schemas.microsoft.com/office/excel/2006/main" pivot="1">
          <x14:cfRule type="dataBar" id="{71320A98-3CB8-4408-A517-7DE226386984}">
            <x14:dataBar minLength="0" maxLength="100">
              <x14:cfvo type="autoMin"/>
              <x14:cfvo type="autoMax"/>
              <x14:negativeFillColor rgb="FFFF0000"/>
              <x14:axisColor rgb="FF000000"/>
            </x14:dataBar>
          </x14:cfRule>
          <xm:sqref>B5:D7</xm:sqref>
        </x14:conditionalFormatting>
        <x14:conditionalFormatting xmlns:xm="http://schemas.microsoft.com/office/excel/2006/main" pivot="1">
          <x14:cfRule type="dataBar" id="{CE941CF9-8D40-4190-8983-DBC7AB91ECFD}">
            <x14:dataBar minLength="0" maxLength="100" gradient="0">
              <x14:cfvo type="autoMin"/>
              <x14:cfvo type="autoMax"/>
              <x14:negativeFillColor rgb="FFFF0000"/>
              <x14:axisColor rgb="FF000000"/>
            </x14:dataBar>
          </x14:cfRule>
          <xm:sqref>O15:P16</xm:sqref>
        </x14:conditionalFormatting>
        <x14:conditionalFormatting xmlns:xm="http://schemas.microsoft.com/office/excel/2006/main" pivot="1">
          <x14:cfRule type="dataBar" id="{1C50F835-E464-479A-9946-9FE3DE24E38A}">
            <x14:dataBar minLength="0" maxLength="100">
              <x14:cfvo type="autoMin"/>
              <x14:cfvo type="autoMax"/>
              <x14:negativeFillColor rgb="FFFF0000"/>
              <x14:axisColor rgb="FF000000"/>
            </x14:dataBar>
          </x14:cfRule>
          <xm:sqref>O15:P16</xm:sqref>
        </x14:conditionalFormatting>
        <x14:conditionalFormatting xmlns:xm="http://schemas.microsoft.com/office/excel/2006/main" pivot="1">
          <x14:cfRule type="dataBar" id="{A295943F-8325-417D-9B65-661A80C056F0}">
            <x14:dataBar minLength="0" maxLength="100">
              <x14:cfvo type="percent">
                <xm:f>0</xm:f>
              </x14:cfvo>
              <x14:cfvo type="autoMax"/>
              <x14:negativeFillColor rgb="FFFF0000"/>
              <x14:axisColor rgb="FF000000"/>
            </x14:dataBar>
          </x14:cfRule>
          <xm:sqref>O5:P6</xm:sqref>
        </x14:conditionalFormatting>
        <x14:conditionalFormatting xmlns:xm="http://schemas.microsoft.com/office/excel/2006/main" pivot="1">
          <x14:cfRule type="dataBar" id="{0F08E79A-3EAA-4C9E-A805-B9BEF585CDEF}">
            <x14:dataBar minLength="0" maxLength="100">
              <x14:cfvo type="autoMin"/>
              <x14:cfvo type="autoMax"/>
              <x14:negativeFillColor rgb="FFFF0000"/>
              <x14:axisColor rgb="FF000000"/>
            </x14:dataBar>
          </x14:cfRule>
          <xm:sqref>O5:Q6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248C-6482-427B-958E-9A70C08ED2D5}">
  <dimension ref="A1:AS35"/>
  <sheetViews>
    <sheetView showGridLines="0" zoomScale="42" zoomScaleNormal="42" workbookViewId="0">
      <selection activeCell="AR34" sqref="AR34"/>
    </sheetView>
  </sheetViews>
  <sheetFormatPr defaultRowHeight="14.4" x14ac:dyDescent="0.3"/>
  <cols>
    <col min="1" max="1" width="28" style="9" customWidth="1"/>
    <col min="2" max="2" width="27.77734375" style="9" customWidth="1"/>
    <col min="3" max="3" width="30.6640625" style="9" customWidth="1"/>
    <col min="4" max="4" width="46.44140625" style="9" customWidth="1"/>
    <col min="5" max="21" width="8.88671875" style="9"/>
    <col min="22" max="22" width="10.21875" style="9" customWidth="1"/>
    <col min="23" max="24" width="8.88671875" style="9"/>
    <col min="25" max="25" width="2.6640625" style="9" customWidth="1"/>
    <col min="26" max="16384" width="8.88671875" style="9"/>
  </cols>
  <sheetData>
    <row r="1" spans="1:38" ht="19.2" customHeight="1" x14ac:dyDescent="0.3">
      <c r="A1" s="15" t="s">
        <v>39</v>
      </c>
      <c r="B1" s="15"/>
      <c r="C1" s="15"/>
      <c r="D1" s="15"/>
      <c r="E1" s="15"/>
      <c r="F1" s="15"/>
      <c r="G1" s="15"/>
      <c r="H1" s="15"/>
      <c r="I1" s="15"/>
      <c r="J1" s="15"/>
      <c r="K1" s="15"/>
      <c r="L1" s="15"/>
      <c r="M1" s="15"/>
      <c r="N1" s="15"/>
      <c r="O1" s="15"/>
      <c r="P1" s="15"/>
      <c r="Q1" s="15"/>
      <c r="R1" s="15"/>
      <c r="S1" s="15"/>
      <c r="T1" s="15"/>
      <c r="U1" s="15"/>
      <c r="V1" s="15"/>
      <c r="W1" s="15"/>
      <c r="X1" s="15"/>
      <c r="Y1" s="15"/>
      <c r="AA1" s="11"/>
      <c r="AB1" s="11"/>
      <c r="AC1" s="11"/>
      <c r="AD1" s="11"/>
      <c r="AE1" s="11"/>
      <c r="AF1" s="11"/>
      <c r="AG1" s="11"/>
      <c r="AH1" s="11"/>
      <c r="AI1" s="11"/>
      <c r="AJ1" s="11"/>
      <c r="AK1" s="11"/>
      <c r="AL1" s="11"/>
    </row>
    <row r="2" spans="1:38" ht="16.8" customHeight="1" x14ac:dyDescent="0.3">
      <c r="A2" s="15"/>
      <c r="B2" s="15"/>
      <c r="C2" s="15"/>
      <c r="D2" s="15"/>
      <c r="E2" s="15"/>
      <c r="F2" s="15"/>
      <c r="G2" s="15"/>
      <c r="H2" s="15"/>
      <c r="I2" s="15"/>
      <c r="J2" s="15"/>
      <c r="K2" s="15"/>
      <c r="L2" s="15"/>
      <c r="M2" s="15"/>
      <c r="N2" s="15"/>
      <c r="O2" s="15"/>
      <c r="P2" s="15"/>
      <c r="Q2" s="15"/>
      <c r="R2" s="15"/>
      <c r="S2" s="15"/>
      <c r="T2" s="15"/>
      <c r="U2" s="15"/>
      <c r="V2" s="15"/>
      <c r="W2" s="15"/>
      <c r="X2" s="15"/>
      <c r="Y2" s="15"/>
      <c r="Z2" s="11"/>
      <c r="AA2" s="11"/>
      <c r="AB2" s="11"/>
      <c r="AC2" s="11"/>
      <c r="AD2" s="11"/>
      <c r="AE2" s="11"/>
      <c r="AF2" s="11"/>
      <c r="AG2" s="11"/>
      <c r="AH2" s="11"/>
      <c r="AI2" s="11"/>
      <c r="AJ2" s="11"/>
      <c r="AK2" s="11"/>
      <c r="AL2" s="11"/>
    </row>
    <row r="3" spans="1:38" ht="15.6" customHeight="1" x14ac:dyDescent="0.3">
      <c r="A3" s="15"/>
      <c r="B3" s="15"/>
      <c r="C3" s="15"/>
      <c r="D3" s="15"/>
      <c r="E3" s="15"/>
      <c r="F3" s="15"/>
      <c r="G3" s="15"/>
      <c r="H3" s="15"/>
      <c r="I3" s="15"/>
      <c r="J3" s="15"/>
      <c r="K3" s="15"/>
      <c r="L3" s="15"/>
      <c r="M3" s="15"/>
      <c r="N3" s="15"/>
      <c r="O3" s="15"/>
      <c r="P3" s="15"/>
      <c r="Q3" s="15"/>
      <c r="R3" s="15"/>
      <c r="S3" s="15"/>
      <c r="T3" s="15"/>
      <c r="U3" s="15"/>
      <c r="V3" s="15"/>
      <c r="W3" s="15"/>
      <c r="X3" s="15"/>
      <c r="Y3" s="15"/>
      <c r="Z3" s="11"/>
      <c r="AA3" s="11"/>
      <c r="AB3" s="11"/>
      <c r="AC3" s="11"/>
      <c r="AD3" s="11"/>
      <c r="AE3" s="11"/>
      <c r="AF3" s="11"/>
      <c r="AG3" s="11"/>
      <c r="AH3" s="11"/>
      <c r="AI3" s="11"/>
      <c r="AJ3" s="11"/>
      <c r="AK3" s="11"/>
      <c r="AL3" s="11"/>
    </row>
    <row r="4" spans="1:38" ht="39.6" customHeight="1" x14ac:dyDescent="0.3">
      <c r="A4" s="12" t="s">
        <v>68</v>
      </c>
      <c r="B4" s="13" t="s">
        <v>71</v>
      </c>
      <c r="C4" s="13" t="s">
        <v>69</v>
      </c>
      <c r="D4" s="13" t="s">
        <v>70</v>
      </c>
      <c r="AB4" s="11"/>
    </row>
    <row r="5" spans="1:38" ht="41.4" customHeight="1" x14ac:dyDescent="0.3">
      <c r="A5" s="14" t="s">
        <v>45</v>
      </c>
      <c r="B5" s="14" t="s">
        <v>46</v>
      </c>
      <c r="C5" s="14" t="s">
        <v>47</v>
      </c>
      <c r="D5" s="14" t="s">
        <v>49</v>
      </c>
    </row>
    <row r="7" spans="1:38" ht="42" customHeight="1" x14ac:dyDescent="0.3"/>
    <row r="8" spans="1:38" ht="31.2" customHeight="1" x14ac:dyDescent="0.3"/>
    <row r="9" spans="1:38" ht="49.2" customHeight="1" x14ac:dyDescent="0.3"/>
    <row r="20" spans="3:4" ht="21" x14ac:dyDescent="0.3">
      <c r="C20" s="10"/>
      <c r="D20" s="8"/>
    </row>
    <row r="23" spans="3:4" ht="21" x14ac:dyDescent="0.3">
      <c r="C23" s="10"/>
      <c r="D23" s="8"/>
    </row>
    <row r="35" spans="45:45" x14ac:dyDescent="0.3"/>
  </sheetData>
  <mergeCells count="1">
    <mergeCell ref="A1:Y3"/>
  </mergeCells>
  <pageMargins left="0.7" right="0.7" top="0.75" bottom="0.75" header="0.3" footer="0.3"/>
  <drawing r:id="rId1"/>
  <legacy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vt:lpstr>
      <vt:lpstr>KPIS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Upadhayay</dc:creator>
  <cp:lastModifiedBy>Ishita Upadhayay</cp:lastModifiedBy>
  <dcterms:created xsi:type="dcterms:W3CDTF">2026-03-05T20:21:36Z</dcterms:created>
  <dcterms:modified xsi:type="dcterms:W3CDTF">2026-03-11T14:13:12Z</dcterms:modified>
</cp:coreProperties>
</file>